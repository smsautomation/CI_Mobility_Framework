
<file path=[Content_Types].xml><?xml version="1.0" encoding="utf-8"?>
<Types xmlns="http://schemas.openxmlformats.org/package/2006/content-types">
  <Default Extension="bin" ContentType="application/vnd.openxmlformats-officedocument.spreadsheetml.printerSettings"/>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comments6.xml" ContentType="application/vnd.openxmlformats-officedocument.spreadsheetml.comment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comments4.xml" ContentType="application/vnd.openxmlformats-officedocument.spreadsheetml.comments+xml"/>
  <Override PartName="/xl/comments5.xml" ContentType="application/vnd.openxmlformats-officedocument.spreadsheetml.comment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comments2.xml" ContentType="application/vnd.openxmlformats-officedocument.spreadsheetml.comments+xml"/>
  <Override PartName="/xl/comments3.xml" ContentType="application/vnd.openxmlformats-officedocument.spreadsheetml.comments+xml"/>
  <Override PartName="/docProps/custom.xml" ContentType="application/vnd.openxmlformats-officedocument.custom-propertie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0" yWindow="30" windowWidth="15390" windowHeight="8265" activeTab="1"/>
  </bookViews>
  <sheets>
    <sheet name="Run Parameters" sheetId="3" r:id="rId1"/>
    <sheet name="Data" sheetId="40" r:id="rId2"/>
    <sheet name="EXCH14" sheetId="42" r:id="rId3"/>
    <sheet name="NMEX5" sheetId="43" r:id="rId4"/>
    <sheet name="FLTY5" sheetId="44" r:id="rId5"/>
    <sheet name="EXCH2" sheetId="46" r:id="rId6"/>
    <sheet name="EXCH3" sheetId="45" r:id="rId7"/>
    <sheet name="FLTY17" sheetId="41" r:id="rId8"/>
    <sheet name="EXCH6" sheetId="35" r:id="rId9"/>
  </sheets>
  <definedNames>
    <definedName name="_xlnm._FilterDatabase" localSheetId="1" hidden="1">Data!$A$1:$EC$228</definedName>
  </definedNames>
  <calcPr calcId="125725"/>
</workbook>
</file>

<file path=xl/calcChain.xml><?xml version="1.0" encoding="utf-8"?>
<calcChain xmlns="http://schemas.openxmlformats.org/spreadsheetml/2006/main">
  <c r="AJ115" i="40"/>
  <c r="AI115"/>
  <c r="AG115"/>
  <c r="AF115"/>
  <c r="AC115"/>
  <c r="AB115"/>
  <c r="AA115"/>
  <c r="D115"/>
  <c r="BC115" s="1"/>
  <c r="BH115" s="1"/>
  <c r="AJ114"/>
  <c r="AI114"/>
  <c r="AG114"/>
  <c r="AF114"/>
  <c r="AC114"/>
  <c r="AB114"/>
  <c r="AA114"/>
  <c r="D114"/>
  <c r="BJ114" s="1"/>
  <c r="AJ113"/>
  <c r="AI113"/>
  <c r="AG113"/>
  <c r="AF113"/>
  <c r="AC113"/>
  <c r="AB113"/>
  <c r="AA113"/>
  <c r="D113"/>
  <c r="BC113" s="1"/>
  <c r="BH113" s="1"/>
  <c r="AJ112"/>
  <c r="AI112"/>
  <c r="AG112"/>
  <c r="AF112"/>
  <c r="AC112"/>
  <c r="AB112"/>
  <c r="AA112"/>
  <c r="D112"/>
  <c r="BJ112" s="1"/>
  <c r="AJ111"/>
  <c r="AI111"/>
  <c r="AG111"/>
  <c r="AF111"/>
  <c r="AC111"/>
  <c r="AB111"/>
  <c r="AA111"/>
  <c r="D111"/>
  <c r="BC111" s="1"/>
  <c r="BH111" s="1"/>
  <c r="AJ110"/>
  <c r="AI110"/>
  <c r="AG110"/>
  <c r="AF110"/>
  <c r="AC110"/>
  <c r="AB110"/>
  <c r="AA110"/>
  <c r="D110"/>
  <c r="BJ110" s="1"/>
  <c r="AJ109"/>
  <c r="AI109"/>
  <c r="AG109"/>
  <c r="AF109"/>
  <c r="AC109"/>
  <c r="AB109"/>
  <c r="AA109"/>
  <c r="D109"/>
  <c r="BC109" s="1"/>
  <c r="BH109" s="1"/>
  <c r="AJ108"/>
  <c r="AI108"/>
  <c r="AG108"/>
  <c r="AF108"/>
  <c r="AC108"/>
  <c r="AB108"/>
  <c r="AA108"/>
  <c r="D108"/>
  <c r="BJ108" s="1"/>
  <c r="AJ227"/>
  <c r="AI227"/>
  <c r="AG227"/>
  <c r="AF227"/>
  <c r="AC227"/>
  <c r="AB227"/>
  <c r="AA227"/>
  <c r="D227"/>
  <c r="CQ227" s="1"/>
  <c r="AJ226"/>
  <c r="AI226"/>
  <c r="AG226"/>
  <c r="AF226"/>
  <c r="AC226"/>
  <c r="AB226"/>
  <c r="AA226"/>
  <c r="D226"/>
  <c r="CO226" s="1"/>
  <c r="AJ225"/>
  <c r="AI225"/>
  <c r="AG225"/>
  <c r="AF225"/>
  <c r="AC225"/>
  <c r="AB225"/>
  <c r="AA225"/>
  <c r="D225"/>
  <c r="DN225" s="1"/>
  <c r="AJ224"/>
  <c r="AI224"/>
  <c r="AG224"/>
  <c r="AF224"/>
  <c r="AC224"/>
  <c r="AB224"/>
  <c r="AA224"/>
  <c r="D224"/>
  <c r="DB224" s="1"/>
  <c r="AJ223"/>
  <c r="AI223"/>
  <c r="AG223"/>
  <c r="AF223"/>
  <c r="AC223"/>
  <c r="AB223"/>
  <c r="AA223"/>
  <c r="D223"/>
  <c r="CQ223" s="1"/>
  <c r="AJ222"/>
  <c r="AI222"/>
  <c r="AG222"/>
  <c r="AF222"/>
  <c r="AC222"/>
  <c r="AB222"/>
  <c r="AA222"/>
  <c r="D222"/>
  <c r="CO222" s="1"/>
  <c r="AJ221"/>
  <c r="AI221"/>
  <c r="AG221"/>
  <c r="AF221"/>
  <c r="AC221"/>
  <c r="AB221"/>
  <c r="AA221"/>
  <c r="D221"/>
  <c r="DN221" s="1"/>
  <c r="AJ220"/>
  <c r="AI220"/>
  <c r="AG220"/>
  <c r="AF220"/>
  <c r="AC220"/>
  <c r="AB220"/>
  <c r="AA220"/>
  <c r="D220"/>
  <c r="DB220" s="1"/>
  <c r="AJ219"/>
  <c r="AI219"/>
  <c r="AG219"/>
  <c r="AF219"/>
  <c r="AC219"/>
  <c r="AB219"/>
  <c r="AA219"/>
  <c r="D219"/>
  <c r="CQ219" s="1"/>
  <c r="AJ218"/>
  <c r="AI218"/>
  <c r="AG218"/>
  <c r="AF218"/>
  <c r="AC218"/>
  <c r="AB218"/>
  <c r="AA218"/>
  <c r="D218"/>
  <c r="CO218" s="1"/>
  <c r="AJ217"/>
  <c r="AI217"/>
  <c r="AG217"/>
  <c r="AF217"/>
  <c r="AC217"/>
  <c r="AB217"/>
  <c r="AA217"/>
  <c r="D217"/>
  <c r="DN217" s="1"/>
  <c r="AJ216"/>
  <c r="AI216"/>
  <c r="AG216"/>
  <c r="AF216"/>
  <c r="AC216"/>
  <c r="AB216"/>
  <c r="AA216"/>
  <c r="D216"/>
  <c r="DB216" s="1"/>
  <c r="D205"/>
  <c r="L205" s="1"/>
  <c r="AA205"/>
  <c r="AB205"/>
  <c r="AC205"/>
  <c r="AF205"/>
  <c r="AG205"/>
  <c r="AI205"/>
  <c r="AJ205"/>
  <c r="D206"/>
  <c r="G206" s="1"/>
  <c r="AA206"/>
  <c r="AB206"/>
  <c r="AC206"/>
  <c r="AE206"/>
  <c r="AF206"/>
  <c r="AG206"/>
  <c r="AI206"/>
  <c r="AJ206"/>
  <c r="D207"/>
  <c r="G207" s="1"/>
  <c r="AA207"/>
  <c r="AB207"/>
  <c r="AC207"/>
  <c r="AF207"/>
  <c r="AG207"/>
  <c r="AI207"/>
  <c r="AJ207"/>
  <c r="D208"/>
  <c r="R208" s="1"/>
  <c r="AA208"/>
  <c r="AB208"/>
  <c r="AC208"/>
  <c r="AF208"/>
  <c r="AG208"/>
  <c r="AI208"/>
  <c r="AJ208"/>
  <c r="CQ208"/>
  <c r="D209"/>
  <c r="L209" s="1"/>
  <c r="AA209"/>
  <c r="AB209"/>
  <c r="AC209"/>
  <c r="AF209"/>
  <c r="AG209"/>
  <c r="AI209"/>
  <c r="AJ209"/>
  <c r="D210"/>
  <c r="G210" s="1"/>
  <c r="AA210"/>
  <c r="AB210"/>
  <c r="AC210"/>
  <c r="AF210"/>
  <c r="AG210"/>
  <c r="AI210"/>
  <c r="AJ210"/>
  <c r="CO210"/>
  <c r="D211"/>
  <c r="G211" s="1"/>
  <c r="AA211"/>
  <c r="AB211"/>
  <c r="AC211"/>
  <c r="AF211"/>
  <c r="AG211"/>
  <c r="AI211"/>
  <c r="AJ211"/>
  <c r="D212"/>
  <c r="R212" s="1"/>
  <c r="AA212"/>
  <c r="AB212"/>
  <c r="AC212"/>
  <c r="AF212"/>
  <c r="AG212"/>
  <c r="AI212"/>
  <c r="AJ212"/>
  <c r="D213"/>
  <c r="L213" s="1"/>
  <c r="AA213"/>
  <c r="AB213"/>
  <c r="AC213"/>
  <c r="AF213"/>
  <c r="AG213"/>
  <c r="AI213"/>
  <c r="AJ213"/>
  <c r="D214"/>
  <c r="G214" s="1"/>
  <c r="AA214"/>
  <c r="AB214"/>
  <c r="AC214"/>
  <c r="AF214"/>
  <c r="AG214"/>
  <c r="AI214"/>
  <c r="AJ214"/>
  <c r="D215"/>
  <c r="G215" s="1"/>
  <c r="AA215"/>
  <c r="AB215"/>
  <c r="AC215"/>
  <c r="AF215"/>
  <c r="AG215"/>
  <c r="AI215"/>
  <c r="AJ215"/>
  <c r="D204"/>
  <c r="L204" s="1"/>
  <c r="AA204"/>
  <c r="AB204"/>
  <c r="AC204"/>
  <c r="AF204"/>
  <c r="AG204"/>
  <c r="AI204"/>
  <c r="AJ204"/>
  <c r="AJ228"/>
  <c r="AI228"/>
  <c r="AG228"/>
  <c r="AF228"/>
  <c r="AC228"/>
  <c r="AB228"/>
  <c r="AA228"/>
  <c r="D228"/>
  <c r="CT228" s="1"/>
  <c r="AJ149"/>
  <c r="AI149"/>
  <c r="AG149"/>
  <c r="AF149"/>
  <c r="AC149"/>
  <c r="AB149"/>
  <c r="AA149"/>
  <c r="D149"/>
  <c r="CQ149" s="1"/>
  <c r="AJ148"/>
  <c r="AI148"/>
  <c r="AG148"/>
  <c r="AF148"/>
  <c r="AC148"/>
  <c r="AB148"/>
  <c r="AA148"/>
  <c r="D148"/>
  <c r="T148" s="1"/>
  <c r="AJ147"/>
  <c r="AI147"/>
  <c r="AG147"/>
  <c r="AF147"/>
  <c r="AC147"/>
  <c r="AB147"/>
  <c r="AA147"/>
  <c r="D147"/>
  <c r="CQ147" s="1"/>
  <c r="AJ146"/>
  <c r="AI146"/>
  <c r="AG146"/>
  <c r="AF146"/>
  <c r="AC146"/>
  <c r="AB146"/>
  <c r="AA146"/>
  <c r="D146"/>
  <c r="CQ146" s="1"/>
  <c r="AJ31"/>
  <c r="AI31"/>
  <c r="AG31"/>
  <c r="AF31"/>
  <c r="AC31"/>
  <c r="AB31"/>
  <c r="AA31"/>
  <c r="D31"/>
  <c r="CT31" s="1"/>
  <c r="AJ30"/>
  <c r="AI30"/>
  <c r="AG30"/>
  <c r="AF30"/>
  <c r="AC30"/>
  <c r="AB30"/>
  <c r="AA30"/>
  <c r="D30"/>
  <c r="DB30" s="1"/>
  <c r="AJ29"/>
  <c r="AI29"/>
  <c r="AG29"/>
  <c r="AF29"/>
  <c r="AC29"/>
  <c r="AB29"/>
  <c r="AA29"/>
  <c r="D29"/>
  <c r="DN29" s="1"/>
  <c r="AJ28"/>
  <c r="AI28"/>
  <c r="AG28"/>
  <c r="AF28"/>
  <c r="AC28"/>
  <c r="AB28"/>
  <c r="AA28"/>
  <c r="D28"/>
  <c r="CQ28" s="1"/>
  <c r="AJ27"/>
  <c r="AI27"/>
  <c r="AG27"/>
  <c r="AF27"/>
  <c r="AC27"/>
  <c r="AB27"/>
  <c r="AA27"/>
  <c r="D27"/>
  <c r="CT27" s="1"/>
  <c r="AJ26"/>
  <c r="AI26"/>
  <c r="AG26"/>
  <c r="AF26"/>
  <c r="AC26"/>
  <c r="AB26"/>
  <c r="AA26"/>
  <c r="D26"/>
  <c r="DB26" s="1"/>
  <c r="AJ25"/>
  <c r="AI25"/>
  <c r="AG25"/>
  <c r="AF25"/>
  <c r="AC25"/>
  <c r="AB25"/>
  <c r="AA25"/>
  <c r="D25"/>
  <c r="CQ25" s="1"/>
  <c r="AJ24"/>
  <c r="AI24"/>
  <c r="AG24"/>
  <c r="AF24"/>
  <c r="AC24"/>
  <c r="AB24"/>
  <c r="AA24"/>
  <c r="D24"/>
  <c r="CQ24" s="1"/>
  <c r="AJ23"/>
  <c r="AI23"/>
  <c r="AG23"/>
  <c r="AF23"/>
  <c r="AC23"/>
  <c r="AB23"/>
  <c r="AA23"/>
  <c r="D23"/>
  <c r="CT23" s="1"/>
  <c r="AJ22"/>
  <c r="AI22"/>
  <c r="AG22"/>
  <c r="AF22"/>
  <c r="AC22"/>
  <c r="AB22"/>
  <c r="AA22"/>
  <c r="D22"/>
  <c r="DB22" s="1"/>
  <c r="AJ21"/>
  <c r="AI21"/>
  <c r="AG21"/>
  <c r="AF21"/>
  <c r="AC21"/>
  <c r="AB21"/>
  <c r="AA21"/>
  <c r="D21"/>
  <c r="CQ21" s="1"/>
  <c r="AJ20"/>
  <c r="AI20"/>
  <c r="AG20"/>
  <c r="AF20"/>
  <c r="AC20"/>
  <c r="AB20"/>
  <c r="AA20"/>
  <c r="D20"/>
  <c r="CQ20" s="1"/>
  <c r="AJ19"/>
  <c r="AI19"/>
  <c r="AG19"/>
  <c r="AF19"/>
  <c r="AC19"/>
  <c r="AB19"/>
  <c r="AA19"/>
  <c r="D19"/>
  <c r="CT19" s="1"/>
  <c r="AJ18"/>
  <c r="AI18"/>
  <c r="AG18"/>
  <c r="AF18"/>
  <c r="AC18"/>
  <c r="AB18"/>
  <c r="AA18"/>
  <c r="D18"/>
  <c r="DB18" s="1"/>
  <c r="AJ17"/>
  <c r="AI17"/>
  <c r="AG17"/>
  <c r="AF17"/>
  <c r="AC17"/>
  <c r="AB17"/>
  <c r="AA17"/>
  <c r="D17"/>
  <c r="DN17" s="1"/>
  <c r="AJ16"/>
  <c r="AI16"/>
  <c r="AG16"/>
  <c r="AF16"/>
  <c r="AC16"/>
  <c r="AB16"/>
  <c r="AA16"/>
  <c r="D16"/>
  <c r="CQ16" s="1"/>
  <c r="AJ15"/>
  <c r="AI15"/>
  <c r="AG15"/>
  <c r="AF15"/>
  <c r="AC15"/>
  <c r="AB15"/>
  <c r="AA15"/>
  <c r="D15"/>
  <c r="CT15" s="1"/>
  <c r="AJ14"/>
  <c r="AI14"/>
  <c r="AG14"/>
  <c r="AF14"/>
  <c r="AC14"/>
  <c r="AB14"/>
  <c r="AA14"/>
  <c r="D14"/>
  <c r="DB14" s="1"/>
  <c r="AJ13"/>
  <c r="AI13"/>
  <c r="AG13"/>
  <c r="AF13"/>
  <c r="AC13"/>
  <c r="AB13"/>
  <c r="AA13"/>
  <c r="D13"/>
  <c r="DN13" s="1"/>
  <c r="AJ12"/>
  <c r="AI12"/>
  <c r="AG12"/>
  <c r="AF12"/>
  <c r="AC12"/>
  <c r="AB12"/>
  <c r="AA12"/>
  <c r="D12"/>
  <c r="CQ12" s="1"/>
  <c r="AJ11"/>
  <c r="AI11"/>
  <c r="AG11"/>
  <c r="AF11"/>
  <c r="AC11"/>
  <c r="AB11"/>
  <c r="AA11"/>
  <c r="D11"/>
  <c r="CT11" s="1"/>
  <c r="AJ10"/>
  <c r="AI10"/>
  <c r="AG10"/>
  <c r="AF10"/>
  <c r="AC10"/>
  <c r="AB10"/>
  <c r="AA10"/>
  <c r="D10"/>
  <c r="DB10" s="1"/>
  <c r="AJ9"/>
  <c r="AI9"/>
  <c r="AG9"/>
  <c r="AF9"/>
  <c r="AC9"/>
  <c r="AB9"/>
  <c r="AA9"/>
  <c r="D9"/>
  <c r="DN9" s="1"/>
  <c r="AJ8"/>
  <c r="AI8"/>
  <c r="AG8"/>
  <c r="AF8"/>
  <c r="AC8"/>
  <c r="AB8"/>
  <c r="AA8"/>
  <c r="D8"/>
  <c r="CQ8" s="1"/>
  <c r="AJ7"/>
  <c r="AI7"/>
  <c r="AG7"/>
  <c r="AF7"/>
  <c r="AC7"/>
  <c r="AB7"/>
  <c r="AA7"/>
  <c r="D7"/>
  <c r="CT7" s="1"/>
  <c r="AJ6"/>
  <c r="AI6"/>
  <c r="AG6"/>
  <c r="AF6"/>
  <c r="AC6"/>
  <c r="AB6"/>
  <c r="AA6"/>
  <c r="D6"/>
  <c r="DB6" s="1"/>
  <c r="AJ5"/>
  <c r="AI5"/>
  <c r="AG5"/>
  <c r="AF5"/>
  <c r="AC5"/>
  <c r="AB5"/>
  <c r="AA5"/>
  <c r="D5"/>
  <c r="DN5" s="1"/>
  <c r="AJ4"/>
  <c r="AI4"/>
  <c r="AG4"/>
  <c r="AF4"/>
  <c r="AC4"/>
  <c r="AB4"/>
  <c r="AA4"/>
  <c r="D4"/>
  <c r="CQ4" s="1"/>
  <c r="AJ3"/>
  <c r="AI3"/>
  <c r="AG3"/>
  <c r="AF3"/>
  <c r="AC3"/>
  <c r="AB3"/>
  <c r="AA3"/>
  <c r="D3"/>
  <c r="CT3" s="1"/>
  <c r="AJ2"/>
  <c r="AI2"/>
  <c r="AG2"/>
  <c r="AF2"/>
  <c r="AC2"/>
  <c r="AB2"/>
  <c r="AA2"/>
  <c r="D2"/>
  <c r="CT2" s="1"/>
  <c r="AJ95"/>
  <c r="AI95"/>
  <c r="AG95"/>
  <c r="AF95"/>
  <c r="AC95"/>
  <c r="AB95"/>
  <c r="AA95"/>
  <c r="D95"/>
  <c r="DN95" s="1"/>
  <c r="AJ94"/>
  <c r="AI94"/>
  <c r="AG94"/>
  <c r="AF94"/>
  <c r="AC94"/>
  <c r="AB94"/>
  <c r="AA94"/>
  <c r="D94"/>
  <c r="BO94" s="1"/>
  <c r="AJ93"/>
  <c r="AI93"/>
  <c r="AG93"/>
  <c r="AF93"/>
  <c r="AC93"/>
  <c r="AB93"/>
  <c r="AA93"/>
  <c r="D93"/>
  <c r="BJ93" s="1"/>
  <c r="AJ92"/>
  <c r="AI92"/>
  <c r="AG92"/>
  <c r="AF92"/>
  <c r="AC92"/>
  <c r="AB92"/>
  <c r="AA92"/>
  <c r="D92"/>
  <c r="AL92" s="1"/>
  <c r="AJ91"/>
  <c r="AI91"/>
  <c r="AG91"/>
  <c r="AF91"/>
  <c r="AC91"/>
  <c r="AB91"/>
  <c r="AA91"/>
  <c r="D91"/>
  <c r="DN91" s="1"/>
  <c r="AJ90"/>
  <c r="AI90"/>
  <c r="AG90"/>
  <c r="AF90"/>
  <c r="AC90"/>
  <c r="AB90"/>
  <c r="AA90"/>
  <c r="D90"/>
  <c r="BO90" s="1"/>
  <c r="AJ89"/>
  <c r="AI89"/>
  <c r="AG89"/>
  <c r="AF89"/>
  <c r="AC89"/>
  <c r="AB89"/>
  <c r="AA89"/>
  <c r="D89"/>
  <c r="BJ89" s="1"/>
  <c r="AJ88"/>
  <c r="AI88"/>
  <c r="AG88"/>
  <c r="AF88"/>
  <c r="AC88"/>
  <c r="AB88"/>
  <c r="AA88"/>
  <c r="D88"/>
  <c r="AL88" s="1"/>
  <c r="AJ87"/>
  <c r="AI87"/>
  <c r="AG87"/>
  <c r="AF87"/>
  <c r="AC87"/>
  <c r="AB87"/>
  <c r="AA87"/>
  <c r="D87"/>
  <c r="DN87" s="1"/>
  <c r="AJ86"/>
  <c r="AI86"/>
  <c r="AG86"/>
  <c r="AF86"/>
  <c r="AC86"/>
  <c r="AB86"/>
  <c r="AA86"/>
  <c r="D86"/>
  <c r="BO86" s="1"/>
  <c r="AJ85"/>
  <c r="AI85"/>
  <c r="AG85"/>
  <c r="AF85"/>
  <c r="AC85"/>
  <c r="AB85"/>
  <c r="AA85"/>
  <c r="D85"/>
  <c r="BJ85" s="1"/>
  <c r="AJ84"/>
  <c r="AI84"/>
  <c r="AG84"/>
  <c r="AF84"/>
  <c r="AC84"/>
  <c r="AB84"/>
  <c r="AA84"/>
  <c r="D84"/>
  <c r="AL84" s="1"/>
  <c r="AJ203"/>
  <c r="AI203"/>
  <c r="AG203"/>
  <c r="AF203"/>
  <c r="AC203"/>
  <c r="AB203"/>
  <c r="AA203"/>
  <c r="D203"/>
  <c r="CT203" s="1"/>
  <c r="AJ202"/>
  <c r="AI202"/>
  <c r="AG202"/>
  <c r="AF202"/>
  <c r="AC202"/>
  <c r="AB202"/>
  <c r="AA202"/>
  <c r="D202"/>
  <c r="DB202" s="1"/>
  <c r="AJ201"/>
  <c r="AI201"/>
  <c r="AG201"/>
  <c r="AF201"/>
  <c r="AC201"/>
  <c r="AB201"/>
  <c r="AA201"/>
  <c r="D201"/>
  <c r="DN201" s="1"/>
  <c r="AJ200"/>
  <c r="AI200"/>
  <c r="AG200"/>
  <c r="AF200"/>
  <c r="AC200"/>
  <c r="AB200"/>
  <c r="AA200"/>
  <c r="D200"/>
  <c r="CQ200" s="1"/>
  <c r="AJ199"/>
  <c r="AI199"/>
  <c r="AG199"/>
  <c r="AF199"/>
  <c r="AC199"/>
  <c r="AB199"/>
  <c r="AA199"/>
  <c r="D199"/>
  <c r="CT199" s="1"/>
  <c r="AJ198"/>
  <c r="AI198"/>
  <c r="AG198"/>
  <c r="AF198"/>
  <c r="AC198"/>
  <c r="AB198"/>
  <c r="AA198"/>
  <c r="D198"/>
  <c r="DB198" s="1"/>
  <c r="AJ197"/>
  <c r="AI197"/>
  <c r="AG197"/>
  <c r="AF197"/>
  <c r="AC197"/>
  <c r="AB197"/>
  <c r="AA197"/>
  <c r="D197"/>
  <c r="DN197" s="1"/>
  <c r="AJ196"/>
  <c r="AI196"/>
  <c r="AG196"/>
  <c r="AF196"/>
  <c r="AC196"/>
  <c r="AB196"/>
  <c r="AA196"/>
  <c r="D196"/>
  <c r="CQ196" s="1"/>
  <c r="AJ195"/>
  <c r="AI195"/>
  <c r="AG195"/>
  <c r="AF195"/>
  <c r="AC195"/>
  <c r="AB195"/>
  <c r="AA195"/>
  <c r="D195"/>
  <c r="CT195" s="1"/>
  <c r="AJ194"/>
  <c r="AI194"/>
  <c r="AG194"/>
  <c r="AF194"/>
  <c r="AC194"/>
  <c r="AB194"/>
  <c r="AA194"/>
  <c r="D194"/>
  <c r="DB194" s="1"/>
  <c r="AJ193"/>
  <c r="AI193"/>
  <c r="AG193"/>
  <c r="AF193"/>
  <c r="AC193"/>
  <c r="AB193"/>
  <c r="AA193"/>
  <c r="D193"/>
  <c r="DN193" s="1"/>
  <c r="AJ192"/>
  <c r="AI192"/>
  <c r="AG192"/>
  <c r="AF192"/>
  <c r="AC192"/>
  <c r="AB192"/>
  <c r="AA192"/>
  <c r="D192"/>
  <c r="CQ192" s="1"/>
  <c r="AJ191"/>
  <c r="AI191"/>
  <c r="AG191"/>
  <c r="AF191"/>
  <c r="AC191"/>
  <c r="AB191"/>
  <c r="AA191"/>
  <c r="D191"/>
  <c r="CT191" s="1"/>
  <c r="AJ190"/>
  <c r="AI190"/>
  <c r="AG190"/>
  <c r="AF190"/>
  <c r="AC190"/>
  <c r="AB190"/>
  <c r="AA190"/>
  <c r="D190"/>
  <c r="DB190" s="1"/>
  <c r="AJ189"/>
  <c r="AI189"/>
  <c r="AG189"/>
  <c r="AF189"/>
  <c r="AC189"/>
  <c r="AB189"/>
  <c r="AA189"/>
  <c r="D189"/>
  <c r="DN189" s="1"/>
  <c r="AJ188"/>
  <c r="AI188"/>
  <c r="AG188"/>
  <c r="AF188"/>
  <c r="AC188"/>
  <c r="AB188"/>
  <c r="AA188"/>
  <c r="D188"/>
  <c r="CQ188" s="1"/>
  <c r="AJ187"/>
  <c r="AI187"/>
  <c r="AG187"/>
  <c r="AF187"/>
  <c r="AC187"/>
  <c r="AB187"/>
  <c r="AA187"/>
  <c r="D187"/>
  <c r="CT187" s="1"/>
  <c r="AJ186"/>
  <c r="AI186"/>
  <c r="AG186"/>
  <c r="AF186"/>
  <c r="AC186"/>
  <c r="AB186"/>
  <c r="AA186"/>
  <c r="D186"/>
  <c r="DB186" s="1"/>
  <c r="AJ185"/>
  <c r="AI185"/>
  <c r="AG185"/>
  <c r="AF185"/>
  <c r="AC185"/>
  <c r="AB185"/>
  <c r="AA185"/>
  <c r="D185"/>
  <c r="DN185" s="1"/>
  <c r="AJ184"/>
  <c r="AI184"/>
  <c r="AG184"/>
  <c r="AF184"/>
  <c r="AC184"/>
  <c r="AB184"/>
  <c r="AA184"/>
  <c r="D184"/>
  <c r="CQ184" s="1"/>
  <c r="AJ183"/>
  <c r="AI183"/>
  <c r="AG183"/>
  <c r="AF183"/>
  <c r="AC183"/>
  <c r="AB183"/>
  <c r="AA183"/>
  <c r="D183"/>
  <c r="CT183" s="1"/>
  <c r="AJ182"/>
  <c r="AI182"/>
  <c r="AG182"/>
  <c r="AF182"/>
  <c r="AC182"/>
  <c r="AB182"/>
  <c r="AA182"/>
  <c r="D182"/>
  <c r="DB182" s="1"/>
  <c r="AJ181"/>
  <c r="AI181"/>
  <c r="AG181"/>
  <c r="AF181"/>
  <c r="AC181"/>
  <c r="AB181"/>
  <c r="AA181"/>
  <c r="D181"/>
  <c r="DN181" s="1"/>
  <c r="AJ180"/>
  <c r="AI180"/>
  <c r="AG180"/>
  <c r="AF180"/>
  <c r="AC180"/>
  <c r="AB180"/>
  <c r="AA180"/>
  <c r="D180"/>
  <c r="CQ180" s="1"/>
  <c r="AJ179"/>
  <c r="AI179"/>
  <c r="AG179"/>
  <c r="AF179"/>
  <c r="AC179"/>
  <c r="AB179"/>
  <c r="AA179"/>
  <c r="D179"/>
  <c r="CT179" s="1"/>
  <c r="AJ178"/>
  <c r="AI178"/>
  <c r="AG178"/>
  <c r="AF178"/>
  <c r="AC178"/>
  <c r="AB178"/>
  <c r="AA178"/>
  <c r="D178"/>
  <c r="DB178" s="1"/>
  <c r="AJ177"/>
  <c r="AI177"/>
  <c r="AG177"/>
  <c r="AF177"/>
  <c r="AC177"/>
  <c r="AB177"/>
  <c r="AA177"/>
  <c r="D177"/>
  <c r="DN177" s="1"/>
  <c r="AJ107"/>
  <c r="AI107"/>
  <c r="AG107"/>
  <c r="AF107"/>
  <c r="AC107"/>
  <c r="AB107"/>
  <c r="AA107"/>
  <c r="D107"/>
  <c r="BJ107" s="1"/>
  <c r="AJ106"/>
  <c r="AI106"/>
  <c r="AG106"/>
  <c r="AF106"/>
  <c r="AC106"/>
  <c r="AB106"/>
  <c r="AA106"/>
  <c r="D106"/>
  <c r="DN106" s="1"/>
  <c r="AJ105"/>
  <c r="AI105"/>
  <c r="AG105"/>
  <c r="AF105"/>
  <c r="AC105"/>
  <c r="AB105"/>
  <c r="AA105"/>
  <c r="D105"/>
  <c r="BO105" s="1"/>
  <c r="AJ104"/>
  <c r="AI104"/>
  <c r="AG104"/>
  <c r="AF104"/>
  <c r="AC104"/>
  <c r="AB104"/>
  <c r="AA104"/>
  <c r="D104"/>
  <c r="BJ104" s="1"/>
  <c r="AJ103"/>
  <c r="AI103"/>
  <c r="AG103"/>
  <c r="AF103"/>
  <c r="AC103"/>
  <c r="AB103"/>
  <c r="AA103"/>
  <c r="D103"/>
  <c r="BJ103" s="1"/>
  <c r="AJ102"/>
  <c r="AI102"/>
  <c r="AG102"/>
  <c r="AF102"/>
  <c r="AC102"/>
  <c r="AB102"/>
  <c r="AA102"/>
  <c r="D102"/>
  <c r="DN102" s="1"/>
  <c r="AJ101"/>
  <c r="AI101"/>
  <c r="AG101"/>
  <c r="AF101"/>
  <c r="AC101"/>
  <c r="AB101"/>
  <c r="AA101"/>
  <c r="D101"/>
  <c r="BO101" s="1"/>
  <c r="AJ100"/>
  <c r="AI100"/>
  <c r="AG100"/>
  <c r="AF100"/>
  <c r="AC100"/>
  <c r="AB100"/>
  <c r="AA100"/>
  <c r="D100"/>
  <c r="BJ100" s="1"/>
  <c r="AJ99"/>
  <c r="AI99"/>
  <c r="AG99"/>
  <c r="AF99"/>
  <c r="AC99"/>
  <c r="AB99"/>
  <c r="AA99"/>
  <c r="D99"/>
  <c r="BJ99" s="1"/>
  <c r="AJ98"/>
  <c r="AI98"/>
  <c r="AG98"/>
  <c r="AF98"/>
  <c r="AC98"/>
  <c r="AB98"/>
  <c r="AA98"/>
  <c r="D98"/>
  <c r="DN98" s="1"/>
  <c r="AJ97"/>
  <c r="AI97"/>
  <c r="AG97"/>
  <c r="AF97"/>
  <c r="AC97"/>
  <c r="AB97"/>
  <c r="AA97"/>
  <c r="D97"/>
  <c r="BO97" s="1"/>
  <c r="AJ96"/>
  <c r="AI96"/>
  <c r="AG96"/>
  <c r="AF96"/>
  <c r="AC96"/>
  <c r="AB96"/>
  <c r="AA96"/>
  <c r="D96"/>
  <c r="BJ96" s="1"/>
  <c r="AJ83"/>
  <c r="AI83"/>
  <c r="AG83"/>
  <c r="AF83"/>
  <c r="AC83"/>
  <c r="AB83"/>
  <c r="AA83"/>
  <c r="D83"/>
  <c r="AL83" s="1"/>
  <c r="AJ82"/>
  <c r="AI82"/>
  <c r="AG82"/>
  <c r="AF82"/>
  <c r="AC82"/>
  <c r="AB82"/>
  <c r="AA82"/>
  <c r="D82"/>
  <c r="DN82" s="1"/>
  <c r="AJ81"/>
  <c r="AI81"/>
  <c r="AG81"/>
  <c r="AF81"/>
  <c r="AC81"/>
  <c r="AB81"/>
  <c r="AA81"/>
  <c r="D81"/>
  <c r="BO81" s="1"/>
  <c r="AJ80"/>
  <c r="AI80"/>
  <c r="AG80"/>
  <c r="AF80"/>
  <c r="AC80"/>
  <c r="AB80"/>
  <c r="AA80"/>
  <c r="D80"/>
  <c r="BJ80" s="1"/>
  <c r="AJ79"/>
  <c r="AI79"/>
  <c r="AG79"/>
  <c r="AF79"/>
  <c r="AC79"/>
  <c r="AB79"/>
  <c r="AA79"/>
  <c r="D79"/>
  <c r="AL79" s="1"/>
  <c r="AJ78"/>
  <c r="AI78"/>
  <c r="AG78"/>
  <c r="AF78"/>
  <c r="AC78"/>
  <c r="AB78"/>
  <c r="AA78"/>
  <c r="D78"/>
  <c r="DN78" s="1"/>
  <c r="AJ77"/>
  <c r="AI77"/>
  <c r="AG77"/>
  <c r="AF77"/>
  <c r="AC77"/>
  <c r="AB77"/>
  <c r="AA77"/>
  <c r="D77"/>
  <c r="BO77" s="1"/>
  <c r="AJ76"/>
  <c r="AI76"/>
  <c r="AG76"/>
  <c r="AF76"/>
  <c r="AC76"/>
  <c r="AB76"/>
  <c r="AA76"/>
  <c r="D76"/>
  <c r="BJ76" s="1"/>
  <c r="AJ75"/>
  <c r="AI75"/>
  <c r="AG75"/>
  <c r="AF75"/>
  <c r="AC75"/>
  <c r="AB75"/>
  <c r="AA75"/>
  <c r="D75"/>
  <c r="AL75" s="1"/>
  <c r="AJ74"/>
  <c r="AI74"/>
  <c r="AG74"/>
  <c r="AF74"/>
  <c r="AC74"/>
  <c r="AB74"/>
  <c r="AA74"/>
  <c r="D74"/>
  <c r="DN74" s="1"/>
  <c r="AJ73"/>
  <c r="AI73"/>
  <c r="AG73"/>
  <c r="AF73"/>
  <c r="AC73"/>
  <c r="AB73"/>
  <c r="AA73"/>
  <c r="D73"/>
  <c r="BO73" s="1"/>
  <c r="AJ72"/>
  <c r="AI72"/>
  <c r="AG72"/>
  <c r="AF72"/>
  <c r="AC72"/>
  <c r="AB72"/>
  <c r="AA72"/>
  <c r="D72"/>
  <c r="BJ72" s="1"/>
  <c r="AJ176"/>
  <c r="AI176"/>
  <c r="AG176"/>
  <c r="AF176"/>
  <c r="AC176"/>
  <c r="AB176"/>
  <c r="AA176"/>
  <c r="D176"/>
  <c r="CQ176" s="1"/>
  <c r="I2" l="1"/>
  <c r="L112"/>
  <c r="I216"/>
  <c r="I220"/>
  <c r="I224"/>
  <c r="I228"/>
  <c r="R110"/>
  <c r="I114"/>
  <c r="I219"/>
  <c r="I223"/>
  <c r="I227"/>
  <c r="CO215"/>
  <c r="L110"/>
  <c r="R114"/>
  <c r="I110"/>
  <c r="I218"/>
  <c r="I222"/>
  <c r="I226"/>
  <c r="L114"/>
  <c r="I217"/>
  <c r="I221"/>
  <c r="I225"/>
  <c r="BJ214"/>
  <c r="R112"/>
  <c r="AV113"/>
  <c r="AV115"/>
  <c r="S210"/>
  <c r="CJ210"/>
  <c r="G109"/>
  <c r="DN109"/>
  <c r="S110"/>
  <c r="AL110"/>
  <c r="G111"/>
  <c r="DN111"/>
  <c r="S112"/>
  <c r="AL112"/>
  <c r="G113"/>
  <c r="DN113"/>
  <c r="S114"/>
  <c r="AL114"/>
  <c r="G115"/>
  <c r="DN115"/>
  <c r="I111"/>
  <c r="I115"/>
  <c r="I204"/>
  <c r="AV109"/>
  <c r="AV111"/>
  <c r="Y109"/>
  <c r="AE109"/>
  <c r="Y111"/>
  <c r="AE111"/>
  <c r="Y113"/>
  <c r="AE113"/>
  <c r="Y115"/>
  <c r="AE115"/>
  <c r="I109"/>
  <c r="I113"/>
  <c r="CO214"/>
  <c r="AL210"/>
  <c r="T210"/>
  <c r="BC108"/>
  <c r="BH108" s="1"/>
  <c r="Q109"/>
  <c r="BC110"/>
  <c r="BH110" s="1"/>
  <c r="Q111"/>
  <c r="BC112"/>
  <c r="BH112" s="1"/>
  <c r="Q113"/>
  <c r="BC114"/>
  <c r="BH114" s="1"/>
  <c r="Q115"/>
  <c r="I108"/>
  <c r="I112"/>
  <c r="I12"/>
  <c r="I76"/>
  <c r="I92"/>
  <c r="I147"/>
  <c r="I180"/>
  <c r="I188"/>
  <c r="I196"/>
  <c r="I215"/>
  <c r="AL207"/>
  <c r="I11"/>
  <c r="I27"/>
  <c r="I83"/>
  <c r="I107"/>
  <c r="I187"/>
  <c r="I211"/>
  <c r="AM109"/>
  <c r="BJ109"/>
  <c r="P111"/>
  <c r="T111"/>
  <c r="AH111"/>
  <c r="AM113"/>
  <c r="BJ115"/>
  <c r="AH212"/>
  <c r="AM211"/>
  <c r="AH211"/>
  <c r="I8"/>
  <c r="I16"/>
  <c r="I24"/>
  <c r="I72"/>
  <c r="I80"/>
  <c r="I88"/>
  <c r="I96"/>
  <c r="I104"/>
  <c r="I176"/>
  <c r="I184"/>
  <c r="I192"/>
  <c r="I200"/>
  <c r="I208"/>
  <c r="AV108"/>
  <c r="DN108"/>
  <c r="L109"/>
  <c r="S109"/>
  <c r="AL109"/>
  <c r="G110"/>
  <c r="Q110"/>
  <c r="Y110"/>
  <c r="AE110"/>
  <c r="AV110"/>
  <c r="DN110"/>
  <c r="L111"/>
  <c r="S111"/>
  <c r="AL111"/>
  <c r="G112"/>
  <c r="Q112"/>
  <c r="Y112"/>
  <c r="AE112"/>
  <c r="AV112"/>
  <c r="DN112"/>
  <c r="L113"/>
  <c r="S113"/>
  <c r="AL113"/>
  <c r="G114"/>
  <c r="Q114"/>
  <c r="Y114"/>
  <c r="AE114"/>
  <c r="AV114"/>
  <c r="DN114"/>
  <c r="L115"/>
  <c r="S115"/>
  <c r="AL115"/>
  <c r="I4"/>
  <c r="I20"/>
  <c r="I28"/>
  <c r="I84"/>
  <c r="I100"/>
  <c r="CQ212"/>
  <c r="AL211"/>
  <c r="S207"/>
  <c r="I3"/>
  <c r="I19"/>
  <c r="I75"/>
  <c r="I91"/>
  <c r="I99"/>
  <c r="I179"/>
  <c r="I195"/>
  <c r="I203"/>
  <c r="P109"/>
  <c r="T109"/>
  <c r="AH109"/>
  <c r="AM111"/>
  <c r="BJ111"/>
  <c r="P113"/>
  <c r="T113"/>
  <c r="AH113"/>
  <c r="BJ113"/>
  <c r="P115"/>
  <c r="T115"/>
  <c r="AH115"/>
  <c r="AM115"/>
  <c r="CQ211"/>
  <c r="I7"/>
  <c r="I15"/>
  <c r="I23"/>
  <c r="I31"/>
  <c r="I79"/>
  <c r="I87"/>
  <c r="I95"/>
  <c r="I103"/>
  <c r="I148"/>
  <c r="I183"/>
  <c r="I191"/>
  <c r="I199"/>
  <c r="I207"/>
  <c r="R109"/>
  <c r="P110"/>
  <c r="T110"/>
  <c r="AH110"/>
  <c r="AM110"/>
  <c r="R111"/>
  <c r="P112"/>
  <c r="T112"/>
  <c r="AH112"/>
  <c r="AM112"/>
  <c r="R113"/>
  <c r="P114"/>
  <c r="T114"/>
  <c r="AH114"/>
  <c r="AM114"/>
  <c r="R115"/>
  <c r="T108"/>
  <c r="AH108"/>
  <c r="G108"/>
  <c r="Q108"/>
  <c r="Y108"/>
  <c r="AE108"/>
  <c r="P108"/>
  <c r="AM108"/>
  <c r="L108"/>
  <c r="S108"/>
  <c r="AL108"/>
  <c r="R108"/>
  <c r="CJ220"/>
  <c r="I212"/>
  <c r="P212"/>
  <c r="Y220"/>
  <c r="AE220"/>
  <c r="Q214"/>
  <c r="T212"/>
  <c r="CO206"/>
  <c r="Q220"/>
  <c r="I6"/>
  <c r="I10"/>
  <c r="I14"/>
  <c r="I18"/>
  <c r="I22"/>
  <c r="I26"/>
  <c r="I30"/>
  <c r="I74"/>
  <c r="I78"/>
  <c r="I82"/>
  <c r="I86"/>
  <c r="I90"/>
  <c r="I94"/>
  <c r="I98"/>
  <c r="I102"/>
  <c r="I106"/>
  <c r="I146"/>
  <c r="I178"/>
  <c r="I182"/>
  <c r="I186"/>
  <c r="I190"/>
  <c r="I194"/>
  <c r="I198"/>
  <c r="I202"/>
  <c r="I206"/>
  <c r="I210"/>
  <c r="I214"/>
  <c r="AV214"/>
  <c r="EA214" s="1"/>
  <c r="S214"/>
  <c r="AM212"/>
  <c r="DB211"/>
  <c r="P211"/>
  <c r="AM210"/>
  <c r="AH210"/>
  <c r="L210"/>
  <c r="L220"/>
  <c r="DN220"/>
  <c r="I5"/>
  <c r="I9"/>
  <c r="I13"/>
  <c r="I17"/>
  <c r="I21"/>
  <c r="I25"/>
  <c r="I29"/>
  <c r="I73"/>
  <c r="I77"/>
  <c r="I81"/>
  <c r="I85"/>
  <c r="I89"/>
  <c r="I93"/>
  <c r="I97"/>
  <c r="I101"/>
  <c r="I105"/>
  <c r="I149"/>
  <c r="I177"/>
  <c r="I181"/>
  <c r="I185"/>
  <c r="I189"/>
  <c r="I193"/>
  <c r="I197"/>
  <c r="I201"/>
  <c r="I205"/>
  <c r="I209"/>
  <c r="I213"/>
  <c r="S224"/>
  <c r="DN224"/>
  <c r="AE214"/>
  <c r="Y214"/>
  <c r="BC211"/>
  <c r="BH211" s="1"/>
  <c r="R211"/>
  <c r="DB210"/>
  <c r="AV210"/>
  <c r="AE210"/>
  <c r="Y210"/>
  <c r="P210"/>
  <c r="BJ209"/>
  <c r="BC207"/>
  <c r="BH207" s="1"/>
  <c r="S216"/>
  <c r="CJ216"/>
  <c r="CQ218"/>
  <c r="AL220"/>
  <c r="R223"/>
  <c r="BC223"/>
  <c r="BH223" s="1"/>
  <c r="Q224"/>
  <c r="CJ224"/>
  <c r="CO211"/>
  <c r="S211"/>
  <c r="DN210"/>
  <c r="BJ210"/>
  <c r="Q210"/>
  <c r="DB209"/>
  <c r="AH209"/>
  <c r="CO207"/>
  <c r="AH205"/>
  <c r="G216"/>
  <c r="Y218"/>
  <c r="AE218"/>
  <c r="CO219"/>
  <c r="L224"/>
  <c r="AL224"/>
  <c r="Q226"/>
  <c r="AV226"/>
  <c r="EA226" s="1"/>
  <c r="G218"/>
  <c r="R219"/>
  <c r="BC219"/>
  <c r="BH219" s="1"/>
  <c r="G224"/>
  <c r="Y224"/>
  <c r="AE224"/>
  <c r="Y206"/>
  <c r="S222"/>
  <c r="AL215"/>
  <c r="S215"/>
  <c r="AH213"/>
  <c r="AM208"/>
  <c r="AH208"/>
  <c r="P208"/>
  <c r="AV206"/>
  <c r="EA206" s="1"/>
  <c r="Q206"/>
  <c r="Q216"/>
  <c r="AL216"/>
  <c r="DN216"/>
  <c r="Q218"/>
  <c r="AV218"/>
  <c r="EA218" s="1"/>
  <c r="G220"/>
  <c r="S220"/>
  <c r="BC220"/>
  <c r="BH220" s="1"/>
  <c r="CQ220"/>
  <c r="L222"/>
  <c r="AL222"/>
  <c r="DN222"/>
  <c r="R224"/>
  <c r="AV224"/>
  <c r="EA224" s="1"/>
  <c r="CO224"/>
  <c r="G226"/>
  <c r="Y226"/>
  <c r="AE226"/>
  <c r="CQ226"/>
  <c r="CO227"/>
  <c r="BC215"/>
  <c r="BH215" s="1"/>
  <c r="DB214"/>
  <c r="AL214"/>
  <c r="L214"/>
  <c r="BJ211"/>
  <c r="T211"/>
  <c r="L211"/>
  <c r="CQ210"/>
  <c r="BC210"/>
  <c r="BH210" s="1"/>
  <c r="R210"/>
  <c r="AM209"/>
  <c r="BJ208"/>
  <c r="S208"/>
  <c r="DB207"/>
  <c r="P207"/>
  <c r="BJ206"/>
  <c r="S206"/>
  <c r="BJ205"/>
  <c r="L216"/>
  <c r="Y216"/>
  <c r="AE216"/>
  <c r="CQ216"/>
  <c r="L218"/>
  <c r="AL218"/>
  <c r="DN218"/>
  <c r="R220"/>
  <c r="AV220"/>
  <c r="EA220" s="1"/>
  <c r="CO220"/>
  <c r="G222"/>
  <c r="Y222"/>
  <c r="AE222"/>
  <c r="CQ222"/>
  <c r="CO223"/>
  <c r="S226"/>
  <c r="CJ226"/>
  <c r="R227"/>
  <c r="BC227"/>
  <c r="BH227" s="1"/>
  <c r="T208"/>
  <c r="CJ222"/>
  <c r="DB215"/>
  <c r="P215"/>
  <c r="BJ213"/>
  <c r="DB208"/>
  <c r="AL208"/>
  <c r="L208"/>
  <c r="DB206"/>
  <c r="AL206"/>
  <c r="L206"/>
  <c r="R216"/>
  <c r="AV216"/>
  <c r="EA216" s="1"/>
  <c r="S218"/>
  <c r="CJ218"/>
  <c r="Q222"/>
  <c r="AV222"/>
  <c r="EA222" s="1"/>
  <c r="BC224"/>
  <c r="BH224" s="1"/>
  <c r="CQ224"/>
  <c r="L226"/>
  <c r="AL226"/>
  <c r="DN226"/>
  <c r="P217"/>
  <c r="T217"/>
  <c r="AH217"/>
  <c r="AM217"/>
  <c r="BJ217"/>
  <c r="DB217"/>
  <c r="P221"/>
  <c r="T221"/>
  <c r="AH221"/>
  <c r="AM221"/>
  <c r="BJ221"/>
  <c r="DB221"/>
  <c r="P225"/>
  <c r="T225"/>
  <c r="AH225"/>
  <c r="AM225"/>
  <c r="BJ225"/>
  <c r="DB225"/>
  <c r="CQ215"/>
  <c r="AM215"/>
  <c r="AH215"/>
  <c r="R215"/>
  <c r="DN214"/>
  <c r="CJ214"/>
  <c r="AM214"/>
  <c r="AH214"/>
  <c r="T214"/>
  <c r="P214"/>
  <c r="DB213"/>
  <c r="P213"/>
  <c r="BJ212"/>
  <c r="S212"/>
  <c r="CQ207"/>
  <c r="AM207"/>
  <c r="AH207"/>
  <c r="R207"/>
  <c r="DN206"/>
  <c r="CJ206"/>
  <c r="AM206"/>
  <c r="AH206"/>
  <c r="T206"/>
  <c r="P206"/>
  <c r="DB205"/>
  <c r="P205"/>
  <c r="BC216"/>
  <c r="BH216" s="1"/>
  <c r="CO216"/>
  <c r="L217"/>
  <c r="S217"/>
  <c r="AL217"/>
  <c r="CQ217"/>
  <c r="P218"/>
  <c r="T218"/>
  <c r="AH218"/>
  <c r="AM218"/>
  <c r="BJ218"/>
  <c r="DB218"/>
  <c r="G219"/>
  <c r="Q219"/>
  <c r="Y219"/>
  <c r="AE219"/>
  <c r="AV219"/>
  <c r="CJ219"/>
  <c r="DN219"/>
  <c r="L221"/>
  <c r="S221"/>
  <c r="AL221"/>
  <c r="CQ221"/>
  <c r="P222"/>
  <c r="T222"/>
  <c r="AH222"/>
  <c r="AM222"/>
  <c r="BJ222"/>
  <c r="DB222"/>
  <c r="G223"/>
  <c r="Q223"/>
  <c r="Y223"/>
  <c r="AE223"/>
  <c r="AV223"/>
  <c r="CJ223"/>
  <c r="DN223"/>
  <c r="L225"/>
  <c r="S225"/>
  <c r="AL225"/>
  <c r="CQ225"/>
  <c r="P226"/>
  <c r="T226"/>
  <c r="AH226"/>
  <c r="AM226"/>
  <c r="BJ226"/>
  <c r="DB226"/>
  <c r="G227"/>
  <c r="Q227"/>
  <c r="Y227"/>
  <c r="AE227"/>
  <c r="AV227"/>
  <c r="CJ227"/>
  <c r="DN227"/>
  <c r="T213"/>
  <c r="T205"/>
  <c r="R217"/>
  <c r="BC217"/>
  <c r="BH217" s="1"/>
  <c r="CO217"/>
  <c r="P219"/>
  <c r="T219"/>
  <c r="AH219"/>
  <c r="AM219"/>
  <c r="BJ219"/>
  <c r="DB219"/>
  <c r="R221"/>
  <c r="BC221"/>
  <c r="BH221" s="1"/>
  <c r="CO221"/>
  <c r="P223"/>
  <c r="T223"/>
  <c r="AH223"/>
  <c r="AM223"/>
  <c r="BJ223"/>
  <c r="DB223"/>
  <c r="R225"/>
  <c r="BC225"/>
  <c r="BH225" s="1"/>
  <c r="CO225"/>
  <c r="P227"/>
  <c r="T227"/>
  <c r="AH227"/>
  <c r="AM227"/>
  <c r="BJ227"/>
  <c r="DB227"/>
  <c r="BJ215"/>
  <c r="T215"/>
  <c r="L215"/>
  <c r="CQ214"/>
  <c r="BC214"/>
  <c r="BH214" s="1"/>
  <c r="R214"/>
  <c r="AM213"/>
  <c r="DB212"/>
  <c r="AL212"/>
  <c r="L212"/>
  <c r="BJ207"/>
  <c r="T207"/>
  <c r="L207"/>
  <c r="CQ206"/>
  <c r="BC206"/>
  <c r="BH206" s="1"/>
  <c r="R206"/>
  <c r="AM205"/>
  <c r="P216"/>
  <c r="T216"/>
  <c r="AH216"/>
  <c r="AM216"/>
  <c r="BJ216"/>
  <c r="G217"/>
  <c r="Q217"/>
  <c r="Y217"/>
  <c r="AE217"/>
  <c r="AV217"/>
  <c r="CJ217"/>
  <c r="R218"/>
  <c r="BC218"/>
  <c r="BH218" s="1"/>
  <c r="L219"/>
  <c r="S219"/>
  <c r="AL219"/>
  <c r="P220"/>
  <c r="T220"/>
  <c r="AH220"/>
  <c r="AM220"/>
  <c r="BJ220"/>
  <c r="G221"/>
  <c r="Q221"/>
  <c r="Y221"/>
  <c r="AE221"/>
  <c r="AV221"/>
  <c r="CJ221"/>
  <c r="R222"/>
  <c r="BC222"/>
  <c r="BH222" s="1"/>
  <c r="L223"/>
  <c r="S223"/>
  <c r="AL223"/>
  <c r="P224"/>
  <c r="T224"/>
  <c r="AH224"/>
  <c r="AM224"/>
  <c r="BJ224"/>
  <c r="G225"/>
  <c r="Q225"/>
  <c r="Y225"/>
  <c r="AE225"/>
  <c r="AV225"/>
  <c r="CJ225"/>
  <c r="R226"/>
  <c r="BC226"/>
  <c r="BH226" s="1"/>
  <c r="L227"/>
  <c r="S227"/>
  <c r="AL227"/>
  <c r="AV213"/>
  <c r="Y213"/>
  <c r="T209"/>
  <c r="P209"/>
  <c r="DN213"/>
  <c r="CJ213"/>
  <c r="AE213"/>
  <c r="Q213"/>
  <c r="G213"/>
  <c r="DN209"/>
  <c r="CJ209"/>
  <c r="AV209"/>
  <c r="AE209"/>
  <c r="Y209"/>
  <c r="Q209"/>
  <c r="G209"/>
  <c r="DN205"/>
  <c r="CJ205"/>
  <c r="AV205"/>
  <c r="AE205"/>
  <c r="Y205"/>
  <c r="Q205"/>
  <c r="G205"/>
  <c r="CO213"/>
  <c r="BC213"/>
  <c r="BH213" s="1"/>
  <c r="R213"/>
  <c r="DN212"/>
  <c r="CJ212"/>
  <c r="AV212"/>
  <c r="AE212"/>
  <c r="Y212"/>
  <c r="Q212"/>
  <c r="G212"/>
  <c r="CO209"/>
  <c r="BC209"/>
  <c r="BH209" s="1"/>
  <c r="R209"/>
  <c r="DN208"/>
  <c r="CJ208"/>
  <c r="AV208"/>
  <c r="AE208"/>
  <c r="Y208"/>
  <c r="Q208"/>
  <c r="G208"/>
  <c r="CO205"/>
  <c r="BC205"/>
  <c r="BH205" s="1"/>
  <c r="R205"/>
  <c r="DN215"/>
  <c r="CJ215"/>
  <c r="AV215"/>
  <c r="AE215"/>
  <c r="Y215"/>
  <c r="Q215"/>
  <c r="CQ213"/>
  <c r="AL213"/>
  <c r="S213"/>
  <c r="CO212"/>
  <c r="BC212"/>
  <c r="BH212" s="1"/>
  <c r="DN211"/>
  <c r="CJ211"/>
  <c r="AV211"/>
  <c r="AE211"/>
  <c r="Y211"/>
  <c r="Q211"/>
  <c r="CQ209"/>
  <c r="AL209"/>
  <c r="S209"/>
  <c r="CO208"/>
  <c r="BC208"/>
  <c r="BH208" s="1"/>
  <c r="DN207"/>
  <c r="CJ207"/>
  <c r="AV207"/>
  <c r="AE207"/>
  <c r="Y207"/>
  <c r="Q207"/>
  <c r="CQ205"/>
  <c r="AL205"/>
  <c r="S205"/>
  <c r="BJ204"/>
  <c r="AH204"/>
  <c r="CQ204"/>
  <c r="P204"/>
  <c r="T204"/>
  <c r="AM204"/>
  <c r="AV204"/>
  <c r="AE204"/>
  <c r="Y204"/>
  <c r="Q204"/>
  <c r="G204"/>
  <c r="DB204"/>
  <c r="CJ204"/>
  <c r="BC204"/>
  <c r="BH204" s="1"/>
  <c r="R204"/>
  <c r="DN204"/>
  <c r="CO204"/>
  <c r="AL204"/>
  <c r="S204"/>
  <c r="P228"/>
  <c r="T228"/>
  <c r="AH228"/>
  <c r="AM228"/>
  <c r="BJ228"/>
  <c r="CQ228"/>
  <c r="L228"/>
  <c r="S228"/>
  <c r="AL228"/>
  <c r="CO228"/>
  <c r="DN228"/>
  <c r="R228"/>
  <c r="BC228"/>
  <c r="BH228" s="1"/>
  <c r="CJ228"/>
  <c r="DB228"/>
  <c r="G228"/>
  <c r="Q228"/>
  <c r="Y228"/>
  <c r="AE228"/>
  <c r="AV228"/>
  <c r="BO228"/>
  <c r="R146"/>
  <c r="BO146"/>
  <c r="R147"/>
  <c r="BO147"/>
  <c r="R148"/>
  <c r="BO148"/>
  <c r="R149"/>
  <c r="BO149"/>
  <c r="Q30"/>
  <c r="CT30"/>
  <c r="Q146"/>
  <c r="BC146"/>
  <c r="BH146" s="1"/>
  <c r="DB146"/>
  <c r="Q147"/>
  <c r="BC147"/>
  <c r="BH147" s="1"/>
  <c r="DB147"/>
  <c r="Q148"/>
  <c r="BC148"/>
  <c r="BH148" s="1"/>
  <c r="DB148"/>
  <c r="Q149"/>
  <c r="BC149"/>
  <c r="BH149" s="1"/>
  <c r="DB149"/>
  <c r="AV146"/>
  <c r="CT146"/>
  <c r="AV147"/>
  <c r="CT147"/>
  <c r="AV148"/>
  <c r="CT148"/>
  <c r="AV149"/>
  <c r="CT149"/>
  <c r="G146"/>
  <c r="Y146"/>
  <c r="AE146"/>
  <c r="CJ146"/>
  <c r="G147"/>
  <c r="Y147"/>
  <c r="AE147"/>
  <c r="CJ147"/>
  <c r="G148"/>
  <c r="Y148"/>
  <c r="AE148"/>
  <c r="CJ148"/>
  <c r="G149"/>
  <c r="Y149"/>
  <c r="AE149"/>
  <c r="CJ149"/>
  <c r="P147"/>
  <c r="T147"/>
  <c r="AH147"/>
  <c r="BJ147"/>
  <c r="AH148"/>
  <c r="AM148"/>
  <c r="BJ148"/>
  <c r="CQ148"/>
  <c r="P149"/>
  <c r="T149"/>
  <c r="L147"/>
  <c r="S147"/>
  <c r="AL147"/>
  <c r="CO147"/>
  <c r="DN147"/>
  <c r="L148"/>
  <c r="S148"/>
  <c r="AL148"/>
  <c r="CO148"/>
  <c r="DN148"/>
  <c r="L149"/>
  <c r="S149"/>
  <c r="AL149"/>
  <c r="CO149"/>
  <c r="DN149"/>
  <c r="AM147"/>
  <c r="P148"/>
  <c r="AH149"/>
  <c r="AM149"/>
  <c r="BJ149"/>
  <c r="P146"/>
  <c r="T146"/>
  <c r="BJ146"/>
  <c r="L146"/>
  <c r="S146"/>
  <c r="AL146"/>
  <c r="CO146"/>
  <c r="DN146"/>
  <c r="AH146"/>
  <c r="AM146"/>
  <c r="G30"/>
  <c r="Y21"/>
  <c r="G21"/>
  <c r="AV21"/>
  <c r="EA21" s="1"/>
  <c r="L24"/>
  <c r="AE21"/>
  <c r="S21"/>
  <c r="DN21"/>
  <c r="L21"/>
  <c r="DB21"/>
  <c r="S24"/>
  <c r="AL24"/>
  <c r="CT29"/>
  <c r="DB25"/>
  <c r="CT26"/>
  <c r="CO28"/>
  <c r="S29"/>
  <c r="CJ29"/>
  <c r="CO21"/>
  <c r="R25"/>
  <c r="AV25"/>
  <c r="EA25" s="1"/>
  <c r="Q26"/>
  <c r="AV26"/>
  <c r="S28"/>
  <c r="AL28"/>
  <c r="R29"/>
  <c r="R21"/>
  <c r="CJ21"/>
  <c r="G25"/>
  <c r="G26"/>
  <c r="L28"/>
  <c r="G29"/>
  <c r="AV22"/>
  <c r="Y22"/>
  <c r="AE22"/>
  <c r="Q25"/>
  <c r="AL25"/>
  <c r="CT25"/>
  <c r="Q22"/>
  <c r="DN24"/>
  <c r="L25"/>
  <c r="Y25"/>
  <c r="AE25"/>
  <c r="CO25"/>
  <c r="Y26"/>
  <c r="AE26"/>
  <c r="Q29"/>
  <c r="AV29"/>
  <c r="AV30"/>
  <c r="Q21"/>
  <c r="AL21"/>
  <c r="CT21"/>
  <c r="G22"/>
  <c r="CT22"/>
  <c r="CO24"/>
  <c r="S25"/>
  <c r="CJ25"/>
  <c r="DN25"/>
  <c r="R26"/>
  <c r="DN28"/>
  <c r="L29"/>
  <c r="Y29"/>
  <c r="AE29"/>
  <c r="DB29"/>
  <c r="Y30"/>
  <c r="AE30"/>
  <c r="P23"/>
  <c r="T23"/>
  <c r="AH23"/>
  <c r="CQ23"/>
  <c r="AM27"/>
  <c r="CQ27"/>
  <c r="AH31"/>
  <c r="P22"/>
  <c r="T22"/>
  <c r="AH22"/>
  <c r="AM22"/>
  <c r="CQ22"/>
  <c r="L23"/>
  <c r="S23"/>
  <c r="AL23"/>
  <c r="CO23"/>
  <c r="DN23"/>
  <c r="R24"/>
  <c r="CJ24"/>
  <c r="DB24"/>
  <c r="P26"/>
  <c r="T26"/>
  <c r="AH26"/>
  <c r="AM26"/>
  <c r="CQ26"/>
  <c r="L27"/>
  <c r="S27"/>
  <c r="AL27"/>
  <c r="CO27"/>
  <c r="DN27"/>
  <c r="R28"/>
  <c r="CJ28"/>
  <c r="DB28"/>
  <c r="P30"/>
  <c r="T30"/>
  <c r="AH30"/>
  <c r="AM30"/>
  <c r="CQ30"/>
  <c r="L31"/>
  <c r="S31"/>
  <c r="AL31"/>
  <c r="CO31"/>
  <c r="DN31"/>
  <c r="P31"/>
  <c r="AM31"/>
  <c r="P21"/>
  <c r="T21"/>
  <c r="AH21"/>
  <c r="AM21"/>
  <c r="L22"/>
  <c r="S22"/>
  <c r="AL22"/>
  <c r="CO22"/>
  <c r="DN22"/>
  <c r="R23"/>
  <c r="CJ23"/>
  <c r="DB23"/>
  <c r="G24"/>
  <c r="Q24"/>
  <c r="Y24"/>
  <c r="AE24"/>
  <c r="AV24"/>
  <c r="CT24"/>
  <c r="P25"/>
  <c r="T25"/>
  <c r="AH25"/>
  <c r="AM25"/>
  <c r="L26"/>
  <c r="S26"/>
  <c r="AL26"/>
  <c r="CO26"/>
  <c r="DN26"/>
  <c r="R27"/>
  <c r="CJ27"/>
  <c r="DB27"/>
  <c r="G28"/>
  <c r="Q28"/>
  <c r="Y28"/>
  <c r="AE28"/>
  <c r="AV28"/>
  <c r="CT28"/>
  <c r="P29"/>
  <c r="T29"/>
  <c r="AH29"/>
  <c r="AM29"/>
  <c r="CQ29"/>
  <c r="L30"/>
  <c r="S30"/>
  <c r="AL30"/>
  <c r="CO30"/>
  <c r="DN30"/>
  <c r="R31"/>
  <c r="CJ31"/>
  <c r="DB31"/>
  <c r="AM23"/>
  <c r="P27"/>
  <c r="T27"/>
  <c r="AH27"/>
  <c r="T31"/>
  <c r="CQ31"/>
  <c r="R22"/>
  <c r="CJ22"/>
  <c r="G23"/>
  <c r="Q23"/>
  <c r="Y23"/>
  <c r="AE23"/>
  <c r="AV23"/>
  <c r="P24"/>
  <c r="T24"/>
  <c r="AH24"/>
  <c r="AM24"/>
  <c r="CJ26"/>
  <c r="G27"/>
  <c r="Q27"/>
  <c r="Y27"/>
  <c r="AE27"/>
  <c r="AV27"/>
  <c r="P28"/>
  <c r="T28"/>
  <c r="AH28"/>
  <c r="AM28"/>
  <c r="AL29"/>
  <c r="CO29"/>
  <c r="R30"/>
  <c r="CJ30"/>
  <c r="G31"/>
  <c r="Q31"/>
  <c r="Y31"/>
  <c r="AE31"/>
  <c r="AV31"/>
  <c r="G5"/>
  <c r="Y20"/>
  <c r="AE20"/>
  <c r="L20"/>
  <c r="G20"/>
  <c r="DN20"/>
  <c r="L19"/>
  <c r="CT20"/>
  <c r="G8"/>
  <c r="L3"/>
  <c r="L15"/>
  <c r="DB15"/>
  <c r="AL20"/>
  <c r="G9"/>
  <c r="R19"/>
  <c r="CO19"/>
  <c r="S16"/>
  <c r="DB16"/>
  <c r="L16"/>
  <c r="CO16"/>
  <c r="DB8"/>
  <c r="AV16"/>
  <c r="S20"/>
  <c r="CO20"/>
  <c r="G4"/>
  <c r="CJ4"/>
  <c r="R8"/>
  <c r="AV8"/>
  <c r="EA8" s="1"/>
  <c r="Q9"/>
  <c r="CT9"/>
  <c r="G16"/>
  <c r="Y16"/>
  <c r="AE16"/>
  <c r="DN16"/>
  <c r="DB19"/>
  <c r="Q20"/>
  <c r="CJ20"/>
  <c r="S4"/>
  <c r="AV4"/>
  <c r="CT5"/>
  <c r="CO15"/>
  <c r="DB3"/>
  <c r="R4"/>
  <c r="DN4"/>
  <c r="Y5"/>
  <c r="AE5"/>
  <c r="G13"/>
  <c r="CT13"/>
  <c r="S15"/>
  <c r="AL15"/>
  <c r="R16"/>
  <c r="CJ16"/>
  <c r="R20"/>
  <c r="AV20"/>
  <c r="DB20"/>
  <c r="R3"/>
  <c r="CO3"/>
  <c r="DB4"/>
  <c r="Q5"/>
  <c r="L7"/>
  <c r="CO7"/>
  <c r="R15"/>
  <c r="DN15"/>
  <c r="P20"/>
  <c r="T20"/>
  <c r="AH20"/>
  <c r="AM20"/>
  <c r="Q12"/>
  <c r="AL12"/>
  <c r="CT12"/>
  <c r="S3"/>
  <c r="AL3"/>
  <c r="DN3"/>
  <c r="L4"/>
  <c r="Y4"/>
  <c r="AE4"/>
  <c r="CO4"/>
  <c r="AV5"/>
  <c r="R7"/>
  <c r="DB7"/>
  <c r="S8"/>
  <c r="CJ8"/>
  <c r="DN8"/>
  <c r="Y9"/>
  <c r="AE9"/>
  <c r="L11"/>
  <c r="CO11"/>
  <c r="G12"/>
  <c r="R12"/>
  <c r="AV12"/>
  <c r="DB12"/>
  <c r="Q13"/>
  <c r="CJ15"/>
  <c r="Q16"/>
  <c r="AL16"/>
  <c r="CT16"/>
  <c r="G17"/>
  <c r="CT17"/>
  <c r="S19"/>
  <c r="AL19"/>
  <c r="DN19"/>
  <c r="CJ11"/>
  <c r="AV17"/>
  <c r="EA17" s="1"/>
  <c r="CJ7"/>
  <c r="Q8"/>
  <c r="AL8"/>
  <c r="CT8"/>
  <c r="S11"/>
  <c r="AL11"/>
  <c r="DN11"/>
  <c r="L12"/>
  <c r="Y12"/>
  <c r="AE12"/>
  <c r="CO12"/>
  <c r="AV13"/>
  <c r="EA13" s="1"/>
  <c r="Y17"/>
  <c r="AE17"/>
  <c r="CJ3"/>
  <c r="Q4"/>
  <c r="AL4"/>
  <c r="CT4"/>
  <c r="S7"/>
  <c r="AL7"/>
  <c r="DN7"/>
  <c r="L8"/>
  <c r="Y8"/>
  <c r="AE8"/>
  <c r="CO8"/>
  <c r="AV9"/>
  <c r="EA9" s="1"/>
  <c r="R11"/>
  <c r="DB11"/>
  <c r="S12"/>
  <c r="CJ12"/>
  <c r="DN12"/>
  <c r="Y13"/>
  <c r="AE13"/>
  <c r="Q17"/>
  <c r="CJ19"/>
  <c r="P6"/>
  <c r="T6"/>
  <c r="AH6"/>
  <c r="AH10"/>
  <c r="AM10"/>
  <c r="CQ10"/>
  <c r="AH14"/>
  <c r="CQ14"/>
  <c r="AH18"/>
  <c r="CQ18"/>
  <c r="AM5"/>
  <c r="AL6"/>
  <c r="T9"/>
  <c r="P3"/>
  <c r="T3"/>
  <c r="AH3"/>
  <c r="AM3"/>
  <c r="CQ3"/>
  <c r="R5"/>
  <c r="CJ5"/>
  <c r="DB5"/>
  <c r="G6"/>
  <c r="Q6"/>
  <c r="Y6"/>
  <c r="AE6"/>
  <c r="AV6"/>
  <c r="CT6"/>
  <c r="P7"/>
  <c r="T7"/>
  <c r="AH7"/>
  <c r="AM7"/>
  <c r="CQ7"/>
  <c r="R9"/>
  <c r="CJ9"/>
  <c r="DB9"/>
  <c r="G10"/>
  <c r="Q10"/>
  <c r="Y10"/>
  <c r="AE10"/>
  <c r="AV10"/>
  <c r="CT10"/>
  <c r="P11"/>
  <c r="T11"/>
  <c r="AH11"/>
  <c r="AM11"/>
  <c r="CQ11"/>
  <c r="R13"/>
  <c r="CJ13"/>
  <c r="DB13"/>
  <c r="G14"/>
  <c r="Q14"/>
  <c r="Y14"/>
  <c r="AE14"/>
  <c r="AV14"/>
  <c r="CT14"/>
  <c r="P15"/>
  <c r="T15"/>
  <c r="AH15"/>
  <c r="AM15"/>
  <c r="CQ15"/>
  <c r="R17"/>
  <c r="CJ17"/>
  <c r="DB17"/>
  <c r="G18"/>
  <c r="Q18"/>
  <c r="Y18"/>
  <c r="AE18"/>
  <c r="AV18"/>
  <c r="CT18"/>
  <c r="P19"/>
  <c r="T19"/>
  <c r="AH19"/>
  <c r="AM19"/>
  <c r="CQ19"/>
  <c r="AM6"/>
  <c r="CQ6"/>
  <c r="P10"/>
  <c r="T10"/>
  <c r="P14"/>
  <c r="T14"/>
  <c r="AM14"/>
  <c r="P18"/>
  <c r="T18"/>
  <c r="AM18"/>
  <c r="P5"/>
  <c r="T5"/>
  <c r="AH5"/>
  <c r="CQ5"/>
  <c r="L6"/>
  <c r="S6"/>
  <c r="CO6"/>
  <c r="DN6"/>
  <c r="P9"/>
  <c r="AH9"/>
  <c r="AM9"/>
  <c r="CQ9"/>
  <c r="L10"/>
  <c r="S10"/>
  <c r="AL10"/>
  <c r="CO10"/>
  <c r="DN10"/>
  <c r="P13"/>
  <c r="T13"/>
  <c r="AH13"/>
  <c r="AM13"/>
  <c r="CQ13"/>
  <c r="L14"/>
  <c r="S14"/>
  <c r="AL14"/>
  <c r="CO14"/>
  <c r="DN14"/>
  <c r="P17"/>
  <c r="T17"/>
  <c r="AH17"/>
  <c r="AM17"/>
  <c r="CQ17"/>
  <c r="L18"/>
  <c r="S18"/>
  <c r="AL18"/>
  <c r="CO18"/>
  <c r="DN18"/>
  <c r="G3"/>
  <c r="Q3"/>
  <c r="Y3"/>
  <c r="AE3"/>
  <c r="AV3"/>
  <c r="P4"/>
  <c r="T4"/>
  <c r="AH4"/>
  <c r="AM4"/>
  <c r="L5"/>
  <c r="S5"/>
  <c r="AL5"/>
  <c r="CO5"/>
  <c r="R6"/>
  <c r="CJ6"/>
  <c r="G7"/>
  <c r="Q7"/>
  <c r="Y7"/>
  <c r="AE7"/>
  <c r="AV7"/>
  <c r="P8"/>
  <c r="T8"/>
  <c r="AH8"/>
  <c r="AM8"/>
  <c r="L9"/>
  <c r="S9"/>
  <c r="AL9"/>
  <c r="CO9"/>
  <c r="R10"/>
  <c r="CJ10"/>
  <c r="G11"/>
  <c r="Q11"/>
  <c r="Y11"/>
  <c r="AE11"/>
  <c r="AV11"/>
  <c r="P12"/>
  <c r="T12"/>
  <c r="AH12"/>
  <c r="AM12"/>
  <c r="L13"/>
  <c r="S13"/>
  <c r="AL13"/>
  <c r="CO13"/>
  <c r="R14"/>
  <c r="CJ14"/>
  <c r="G15"/>
  <c r="Q15"/>
  <c r="Y15"/>
  <c r="AE15"/>
  <c r="AV15"/>
  <c r="P16"/>
  <c r="T16"/>
  <c r="AH16"/>
  <c r="AM16"/>
  <c r="L17"/>
  <c r="S17"/>
  <c r="AL17"/>
  <c r="CO17"/>
  <c r="R18"/>
  <c r="CJ18"/>
  <c r="G19"/>
  <c r="Q19"/>
  <c r="Y19"/>
  <c r="AE19"/>
  <c r="AV19"/>
  <c r="S93"/>
  <c r="T2"/>
  <c r="AH2"/>
  <c r="L2"/>
  <c r="S2"/>
  <c r="AL2"/>
  <c r="CO2"/>
  <c r="DN2"/>
  <c r="P2"/>
  <c r="AM2"/>
  <c r="CQ2"/>
  <c r="R2"/>
  <c r="CJ2"/>
  <c r="DB2"/>
  <c r="G2"/>
  <c r="Q2"/>
  <c r="Y2"/>
  <c r="AE2"/>
  <c r="AV2"/>
  <c r="Y93"/>
  <c r="AE93"/>
  <c r="Y88"/>
  <c r="AE88"/>
  <c r="S86"/>
  <c r="AL86"/>
  <c r="L93"/>
  <c r="R86"/>
  <c r="Q88"/>
  <c r="BO93"/>
  <c r="R89"/>
  <c r="AV89"/>
  <c r="DN94"/>
  <c r="Y84"/>
  <c r="AE84"/>
  <c r="S94"/>
  <c r="AL94"/>
  <c r="Q84"/>
  <c r="L86"/>
  <c r="G89"/>
  <c r="BC93"/>
  <c r="BH93" s="1"/>
  <c r="R94"/>
  <c r="BO84"/>
  <c r="G84"/>
  <c r="DN86"/>
  <c r="G92"/>
  <c r="BO92"/>
  <c r="L94"/>
  <c r="R85"/>
  <c r="BO85"/>
  <c r="Q85"/>
  <c r="BC85"/>
  <c r="BH85" s="1"/>
  <c r="Q89"/>
  <c r="AL89"/>
  <c r="DN89"/>
  <c r="S90"/>
  <c r="AL90"/>
  <c r="AV92"/>
  <c r="AV84"/>
  <c r="AV85"/>
  <c r="BC86"/>
  <c r="BH86" s="1"/>
  <c r="G88"/>
  <c r="BO88"/>
  <c r="L89"/>
  <c r="Y89"/>
  <c r="AE89"/>
  <c r="BO89"/>
  <c r="R90"/>
  <c r="DN90"/>
  <c r="Y92"/>
  <c r="AE92"/>
  <c r="G93"/>
  <c r="R93"/>
  <c r="AV93"/>
  <c r="BC94"/>
  <c r="BH94" s="1"/>
  <c r="BC90"/>
  <c r="BH90" s="1"/>
  <c r="G85"/>
  <c r="Y85"/>
  <c r="AE85"/>
  <c r="DN85"/>
  <c r="AV88"/>
  <c r="S89"/>
  <c r="BC89"/>
  <c r="BH89" s="1"/>
  <c r="L90"/>
  <c r="Q92"/>
  <c r="Q93"/>
  <c r="AL93"/>
  <c r="DN93"/>
  <c r="AM87"/>
  <c r="P91"/>
  <c r="T91"/>
  <c r="AH91"/>
  <c r="AM95"/>
  <c r="BJ95"/>
  <c r="AM84"/>
  <c r="L87"/>
  <c r="AM88"/>
  <c r="BJ88"/>
  <c r="AM92"/>
  <c r="BJ92"/>
  <c r="R84"/>
  <c r="BC84"/>
  <c r="BH84" s="1"/>
  <c r="DN84"/>
  <c r="L85"/>
  <c r="S85"/>
  <c r="AL85"/>
  <c r="P86"/>
  <c r="T86"/>
  <c r="AH86"/>
  <c r="AM86"/>
  <c r="BJ86"/>
  <c r="G87"/>
  <c r="Q87"/>
  <c r="Y87"/>
  <c r="AE87"/>
  <c r="AV87"/>
  <c r="BO87"/>
  <c r="R88"/>
  <c r="BC88"/>
  <c r="BH88" s="1"/>
  <c r="DN88"/>
  <c r="P90"/>
  <c r="T90"/>
  <c r="AH90"/>
  <c r="AM90"/>
  <c r="BJ90"/>
  <c r="G91"/>
  <c r="Q91"/>
  <c r="Y91"/>
  <c r="AE91"/>
  <c r="AV91"/>
  <c r="BO91"/>
  <c r="R92"/>
  <c r="BC92"/>
  <c r="BH92" s="1"/>
  <c r="DN92"/>
  <c r="P94"/>
  <c r="T94"/>
  <c r="AH94"/>
  <c r="AM94"/>
  <c r="BJ94"/>
  <c r="G95"/>
  <c r="Q95"/>
  <c r="Y95"/>
  <c r="AE95"/>
  <c r="AV95"/>
  <c r="BO95"/>
  <c r="P87"/>
  <c r="T87"/>
  <c r="AH87"/>
  <c r="BJ87"/>
  <c r="AM91"/>
  <c r="BJ91"/>
  <c r="P95"/>
  <c r="T95"/>
  <c r="AH95"/>
  <c r="P84"/>
  <c r="T84"/>
  <c r="AH84"/>
  <c r="BJ84"/>
  <c r="S87"/>
  <c r="AL87"/>
  <c r="P88"/>
  <c r="T88"/>
  <c r="AH88"/>
  <c r="L91"/>
  <c r="S91"/>
  <c r="AL91"/>
  <c r="P92"/>
  <c r="T92"/>
  <c r="AH92"/>
  <c r="L95"/>
  <c r="S95"/>
  <c r="AL95"/>
  <c r="L84"/>
  <c r="S84"/>
  <c r="P85"/>
  <c r="T85"/>
  <c r="AH85"/>
  <c r="AM85"/>
  <c r="G86"/>
  <c r="Q86"/>
  <c r="Y86"/>
  <c r="AE86"/>
  <c r="AV86"/>
  <c r="R87"/>
  <c r="BC87"/>
  <c r="BH87" s="1"/>
  <c r="L88"/>
  <c r="S88"/>
  <c r="P89"/>
  <c r="T89"/>
  <c r="AH89"/>
  <c r="AM89"/>
  <c r="G90"/>
  <c r="Q90"/>
  <c r="Y90"/>
  <c r="AE90"/>
  <c r="AV90"/>
  <c r="R91"/>
  <c r="BC91"/>
  <c r="BH91" s="1"/>
  <c r="L92"/>
  <c r="S92"/>
  <c r="P93"/>
  <c r="T93"/>
  <c r="AH93"/>
  <c r="AM93"/>
  <c r="G94"/>
  <c r="Q94"/>
  <c r="Y94"/>
  <c r="AE94"/>
  <c r="AV94"/>
  <c r="R95"/>
  <c r="BC95"/>
  <c r="BH95" s="1"/>
  <c r="S196"/>
  <c r="CJ196"/>
  <c r="Y180"/>
  <c r="AE180"/>
  <c r="AV201"/>
  <c r="CT192"/>
  <c r="Y192"/>
  <c r="AE192"/>
  <c r="S192"/>
  <c r="G196"/>
  <c r="Y198"/>
  <c r="AE198"/>
  <c r="G177"/>
  <c r="BC177"/>
  <c r="BH177" s="1"/>
  <c r="L192"/>
  <c r="Q198"/>
  <c r="S180"/>
  <c r="DB185"/>
  <c r="CJ189"/>
  <c r="CJ193"/>
  <c r="G180"/>
  <c r="CO180"/>
  <c r="Q189"/>
  <c r="BC189"/>
  <c r="BH189" s="1"/>
  <c r="CO192"/>
  <c r="Y193"/>
  <c r="AE193"/>
  <c r="G198"/>
  <c r="CT186"/>
  <c r="CJ180"/>
  <c r="G190"/>
  <c r="CT190"/>
  <c r="G193"/>
  <c r="G194"/>
  <c r="BO194"/>
  <c r="CT198"/>
  <c r="Q202"/>
  <c r="R180"/>
  <c r="BC180"/>
  <c r="BH180" s="1"/>
  <c r="DN180"/>
  <c r="CJ184"/>
  <c r="R185"/>
  <c r="CJ185"/>
  <c r="Y186"/>
  <c r="AE186"/>
  <c r="BO190"/>
  <c r="R196"/>
  <c r="BC196"/>
  <c r="BH196" s="1"/>
  <c r="DN196"/>
  <c r="G202"/>
  <c r="CT202"/>
  <c r="G178"/>
  <c r="BO178"/>
  <c r="L180"/>
  <c r="AV180"/>
  <c r="CT180"/>
  <c r="R184"/>
  <c r="AV184"/>
  <c r="EA184" s="1"/>
  <c r="Q185"/>
  <c r="Q186"/>
  <c r="G189"/>
  <c r="AV189"/>
  <c r="DB189"/>
  <c r="Y190"/>
  <c r="AE190"/>
  <c r="L196"/>
  <c r="AV196"/>
  <c r="CT196"/>
  <c r="BO202"/>
  <c r="DN184"/>
  <c r="G184"/>
  <c r="Y189"/>
  <c r="AE189"/>
  <c r="CT189"/>
  <c r="Q190"/>
  <c r="BC192"/>
  <c r="BH192" s="1"/>
  <c r="Y196"/>
  <c r="AE196"/>
  <c r="CO196"/>
  <c r="R197"/>
  <c r="BO198"/>
  <c r="CT201"/>
  <c r="Y202"/>
  <c r="AE202"/>
  <c r="Q188"/>
  <c r="Y177"/>
  <c r="AE177"/>
  <c r="AV178"/>
  <c r="DB181"/>
  <c r="Y182"/>
  <c r="AE182"/>
  <c r="Q184"/>
  <c r="AL184"/>
  <c r="BO184"/>
  <c r="DB184"/>
  <c r="L188"/>
  <c r="Y188"/>
  <c r="AE188"/>
  <c r="CT188"/>
  <c r="R193"/>
  <c r="BO193"/>
  <c r="AV194"/>
  <c r="Q197"/>
  <c r="BC197"/>
  <c r="BH197" s="1"/>
  <c r="DB197"/>
  <c r="Q200"/>
  <c r="AL200"/>
  <c r="BO200"/>
  <c r="DB200"/>
  <c r="AV182"/>
  <c r="R177"/>
  <c r="DB177"/>
  <c r="Y178"/>
  <c r="AE178"/>
  <c r="Q180"/>
  <c r="AL180"/>
  <c r="BO180"/>
  <c r="DB180"/>
  <c r="CJ181"/>
  <c r="Q182"/>
  <c r="CT182"/>
  <c r="L184"/>
  <c r="Y184"/>
  <c r="AE184"/>
  <c r="CT184"/>
  <c r="G185"/>
  <c r="BC185"/>
  <c r="BH185" s="1"/>
  <c r="G186"/>
  <c r="BO186"/>
  <c r="S188"/>
  <c r="BC188"/>
  <c r="BH188" s="1"/>
  <c r="CO188"/>
  <c r="R189"/>
  <c r="BO189"/>
  <c r="AV190"/>
  <c r="G192"/>
  <c r="R192"/>
  <c r="AV192"/>
  <c r="CJ192"/>
  <c r="DN192"/>
  <c r="Q193"/>
  <c r="BC193"/>
  <c r="BH193" s="1"/>
  <c r="DB193"/>
  <c r="Y194"/>
  <c r="AE194"/>
  <c r="Q196"/>
  <c r="AL196"/>
  <c r="BO196"/>
  <c r="DB196"/>
  <c r="AV197"/>
  <c r="CT197"/>
  <c r="L200"/>
  <c r="Y200"/>
  <c r="AE200"/>
  <c r="CT200"/>
  <c r="G201"/>
  <c r="Y201"/>
  <c r="AE201"/>
  <c r="CJ201"/>
  <c r="AL188"/>
  <c r="BO188"/>
  <c r="DB188"/>
  <c r="Q177"/>
  <c r="CJ177"/>
  <c r="Q178"/>
  <c r="CT178"/>
  <c r="R181"/>
  <c r="BC181"/>
  <c r="BH181" s="1"/>
  <c r="G182"/>
  <c r="BO182"/>
  <c r="S184"/>
  <c r="BC184"/>
  <c r="BH184" s="1"/>
  <c r="CO184"/>
  <c r="Y185"/>
  <c r="AE185"/>
  <c r="AV186"/>
  <c r="G188"/>
  <c r="R188"/>
  <c r="AV188"/>
  <c r="CJ188"/>
  <c r="DN188"/>
  <c r="Q192"/>
  <c r="AL192"/>
  <c r="BO192"/>
  <c r="DB192"/>
  <c r="AV193"/>
  <c r="CT193"/>
  <c r="Q194"/>
  <c r="CT194"/>
  <c r="G197"/>
  <c r="Y197"/>
  <c r="AE197"/>
  <c r="CJ197"/>
  <c r="S200"/>
  <c r="BC200"/>
  <c r="BH200" s="1"/>
  <c r="CO200"/>
  <c r="R201"/>
  <c r="BO201"/>
  <c r="AV202"/>
  <c r="BO197"/>
  <c r="AV198"/>
  <c r="G200"/>
  <c r="R200"/>
  <c r="AV200"/>
  <c r="CJ200"/>
  <c r="DN200"/>
  <c r="Q201"/>
  <c r="BC201"/>
  <c r="BH201" s="1"/>
  <c r="DB201"/>
  <c r="T179"/>
  <c r="AH179"/>
  <c r="AM179"/>
  <c r="BJ179"/>
  <c r="CQ179"/>
  <c r="P183"/>
  <c r="AH183"/>
  <c r="P187"/>
  <c r="AH187"/>
  <c r="P191"/>
  <c r="AH191"/>
  <c r="BJ191"/>
  <c r="CQ191"/>
  <c r="T195"/>
  <c r="AH195"/>
  <c r="BJ195"/>
  <c r="P199"/>
  <c r="AH199"/>
  <c r="BJ203"/>
  <c r="AV177"/>
  <c r="BO177"/>
  <c r="CT177"/>
  <c r="P178"/>
  <c r="T178"/>
  <c r="AH178"/>
  <c r="AM178"/>
  <c r="BJ178"/>
  <c r="CQ178"/>
  <c r="L179"/>
  <c r="S179"/>
  <c r="AL179"/>
  <c r="CO179"/>
  <c r="DN179"/>
  <c r="G181"/>
  <c r="Q181"/>
  <c r="Y181"/>
  <c r="AE181"/>
  <c r="AV181"/>
  <c r="BO181"/>
  <c r="CT181"/>
  <c r="P182"/>
  <c r="T182"/>
  <c r="AH182"/>
  <c r="AM182"/>
  <c r="BJ182"/>
  <c r="CQ182"/>
  <c r="L183"/>
  <c r="S183"/>
  <c r="AL183"/>
  <c r="CO183"/>
  <c r="DN183"/>
  <c r="AV185"/>
  <c r="BO185"/>
  <c r="CT185"/>
  <c r="P186"/>
  <c r="T186"/>
  <c r="AH186"/>
  <c r="AM186"/>
  <c r="BJ186"/>
  <c r="CQ186"/>
  <c r="L187"/>
  <c r="S187"/>
  <c r="AL187"/>
  <c r="CO187"/>
  <c r="DN187"/>
  <c r="P190"/>
  <c r="T190"/>
  <c r="AH190"/>
  <c r="AM190"/>
  <c r="BJ190"/>
  <c r="CQ190"/>
  <c r="L191"/>
  <c r="S191"/>
  <c r="AL191"/>
  <c r="CO191"/>
  <c r="DN191"/>
  <c r="P194"/>
  <c r="T194"/>
  <c r="AH194"/>
  <c r="AM194"/>
  <c r="BJ194"/>
  <c r="CQ194"/>
  <c r="L195"/>
  <c r="S195"/>
  <c r="AL195"/>
  <c r="CO195"/>
  <c r="DN195"/>
  <c r="P198"/>
  <c r="T198"/>
  <c r="AH198"/>
  <c r="AM198"/>
  <c r="BJ198"/>
  <c r="CQ198"/>
  <c r="L199"/>
  <c r="S199"/>
  <c r="AL199"/>
  <c r="CO199"/>
  <c r="DN199"/>
  <c r="P202"/>
  <c r="T202"/>
  <c r="AH202"/>
  <c r="AM202"/>
  <c r="BJ202"/>
  <c r="CQ202"/>
  <c r="L203"/>
  <c r="S203"/>
  <c r="AL203"/>
  <c r="CO203"/>
  <c r="DN203"/>
  <c r="P179"/>
  <c r="AM183"/>
  <c r="CQ183"/>
  <c r="T187"/>
  <c r="T191"/>
  <c r="AM191"/>
  <c r="AM195"/>
  <c r="CQ195"/>
  <c r="AM199"/>
  <c r="BJ199"/>
  <c r="CQ199"/>
  <c r="P203"/>
  <c r="T203"/>
  <c r="AH203"/>
  <c r="AM177"/>
  <c r="CO178"/>
  <c r="R179"/>
  <c r="BC179"/>
  <c r="BH179" s="1"/>
  <c r="CJ179"/>
  <c r="DB179"/>
  <c r="P181"/>
  <c r="T181"/>
  <c r="AH181"/>
  <c r="AM181"/>
  <c r="BJ181"/>
  <c r="CQ181"/>
  <c r="L182"/>
  <c r="S182"/>
  <c r="AL182"/>
  <c r="CO182"/>
  <c r="DN182"/>
  <c r="R183"/>
  <c r="BC183"/>
  <c r="BH183" s="1"/>
  <c r="CJ183"/>
  <c r="DB183"/>
  <c r="P185"/>
  <c r="T185"/>
  <c r="AH185"/>
  <c r="AM185"/>
  <c r="BJ185"/>
  <c r="CQ185"/>
  <c r="L186"/>
  <c r="S186"/>
  <c r="AL186"/>
  <c r="CO186"/>
  <c r="DN186"/>
  <c r="R187"/>
  <c r="BC187"/>
  <c r="BH187" s="1"/>
  <c r="CJ187"/>
  <c r="DB187"/>
  <c r="P189"/>
  <c r="T189"/>
  <c r="AH189"/>
  <c r="AM189"/>
  <c r="BJ189"/>
  <c r="CQ189"/>
  <c r="L190"/>
  <c r="S190"/>
  <c r="AL190"/>
  <c r="CO190"/>
  <c r="DN190"/>
  <c r="R191"/>
  <c r="BC191"/>
  <c r="BH191" s="1"/>
  <c r="CJ191"/>
  <c r="DB191"/>
  <c r="P193"/>
  <c r="T193"/>
  <c r="AH193"/>
  <c r="AM193"/>
  <c r="BJ193"/>
  <c r="CQ193"/>
  <c r="L194"/>
  <c r="S194"/>
  <c r="AL194"/>
  <c r="CO194"/>
  <c r="DN194"/>
  <c r="R195"/>
  <c r="BC195"/>
  <c r="BH195" s="1"/>
  <c r="CJ195"/>
  <c r="DB195"/>
  <c r="P197"/>
  <c r="T197"/>
  <c r="AH197"/>
  <c r="AM197"/>
  <c r="BJ197"/>
  <c r="CQ197"/>
  <c r="L198"/>
  <c r="S198"/>
  <c r="AL198"/>
  <c r="CO198"/>
  <c r="DN198"/>
  <c r="R199"/>
  <c r="BC199"/>
  <c r="BH199" s="1"/>
  <c r="CJ199"/>
  <c r="DB199"/>
  <c r="P201"/>
  <c r="T201"/>
  <c r="AH201"/>
  <c r="AM201"/>
  <c r="BJ201"/>
  <c r="CQ201"/>
  <c r="L202"/>
  <c r="S202"/>
  <c r="AL202"/>
  <c r="CO202"/>
  <c r="DN202"/>
  <c r="R203"/>
  <c r="BC203"/>
  <c r="BH203" s="1"/>
  <c r="CJ203"/>
  <c r="DB203"/>
  <c r="T183"/>
  <c r="BJ183"/>
  <c r="AM187"/>
  <c r="BJ187"/>
  <c r="CQ187"/>
  <c r="P195"/>
  <c r="T199"/>
  <c r="AM203"/>
  <c r="CQ203"/>
  <c r="P177"/>
  <c r="T177"/>
  <c r="AH177"/>
  <c r="BJ177"/>
  <c r="CQ177"/>
  <c r="L178"/>
  <c r="S178"/>
  <c r="AL178"/>
  <c r="DN178"/>
  <c r="L177"/>
  <c r="S177"/>
  <c r="AL177"/>
  <c r="CO177"/>
  <c r="R178"/>
  <c r="BC178"/>
  <c r="BH178" s="1"/>
  <c r="CJ178"/>
  <c r="G179"/>
  <c r="Q179"/>
  <c r="Y179"/>
  <c r="AE179"/>
  <c r="AV179"/>
  <c r="BO179"/>
  <c r="P180"/>
  <c r="T180"/>
  <c r="AH180"/>
  <c r="AM180"/>
  <c r="BJ180"/>
  <c r="L181"/>
  <c r="S181"/>
  <c r="AL181"/>
  <c r="CO181"/>
  <c r="R182"/>
  <c r="BC182"/>
  <c r="BH182" s="1"/>
  <c r="CJ182"/>
  <c r="G183"/>
  <c r="Q183"/>
  <c r="Y183"/>
  <c r="AE183"/>
  <c r="AV183"/>
  <c r="BO183"/>
  <c r="P184"/>
  <c r="T184"/>
  <c r="AH184"/>
  <c r="AM184"/>
  <c r="BJ184"/>
  <c r="L185"/>
  <c r="S185"/>
  <c r="AL185"/>
  <c r="CO185"/>
  <c r="R186"/>
  <c r="BC186"/>
  <c r="BH186" s="1"/>
  <c r="CJ186"/>
  <c r="G187"/>
  <c r="Q187"/>
  <c r="Y187"/>
  <c r="AE187"/>
  <c r="AV187"/>
  <c r="BO187"/>
  <c r="P188"/>
  <c r="T188"/>
  <c r="AH188"/>
  <c r="AM188"/>
  <c r="BJ188"/>
  <c r="L189"/>
  <c r="S189"/>
  <c r="AL189"/>
  <c r="CO189"/>
  <c r="R190"/>
  <c r="BC190"/>
  <c r="BH190" s="1"/>
  <c r="CJ190"/>
  <c r="G191"/>
  <c r="Q191"/>
  <c r="Y191"/>
  <c r="AE191"/>
  <c r="AV191"/>
  <c r="BO191"/>
  <c r="P192"/>
  <c r="T192"/>
  <c r="AH192"/>
  <c r="AM192"/>
  <c r="BJ192"/>
  <c r="L193"/>
  <c r="S193"/>
  <c r="AL193"/>
  <c r="CO193"/>
  <c r="R194"/>
  <c r="BC194"/>
  <c r="BH194" s="1"/>
  <c r="CJ194"/>
  <c r="G195"/>
  <c r="Q195"/>
  <c r="Y195"/>
  <c r="AE195"/>
  <c r="AV195"/>
  <c r="BO195"/>
  <c r="P196"/>
  <c r="T196"/>
  <c r="AH196"/>
  <c r="AM196"/>
  <c r="BJ196"/>
  <c r="L197"/>
  <c r="S197"/>
  <c r="AL197"/>
  <c r="CO197"/>
  <c r="R198"/>
  <c r="BC198"/>
  <c r="BH198" s="1"/>
  <c r="CJ198"/>
  <c r="G199"/>
  <c r="Q199"/>
  <c r="Y199"/>
  <c r="AE199"/>
  <c r="AV199"/>
  <c r="BO199"/>
  <c r="P200"/>
  <c r="T200"/>
  <c r="AH200"/>
  <c r="AM200"/>
  <c r="BJ200"/>
  <c r="L201"/>
  <c r="S201"/>
  <c r="AL201"/>
  <c r="CO201"/>
  <c r="R202"/>
  <c r="BC202"/>
  <c r="BH202" s="1"/>
  <c r="CJ202"/>
  <c r="G203"/>
  <c r="Q203"/>
  <c r="Y203"/>
  <c r="AE203"/>
  <c r="AV203"/>
  <c r="BO203"/>
  <c r="L96"/>
  <c r="G103"/>
  <c r="Q106"/>
  <c r="BO106"/>
  <c r="L100"/>
  <c r="R100"/>
  <c r="S100"/>
  <c r="AL100"/>
  <c r="G98"/>
  <c r="DN100"/>
  <c r="S103"/>
  <c r="AV103"/>
  <c r="G106"/>
  <c r="AL107"/>
  <c r="BC103"/>
  <c r="BH103" s="1"/>
  <c r="Q98"/>
  <c r="BO98"/>
  <c r="R103"/>
  <c r="L104"/>
  <c r="DN99"/>
  <c r="Q107"/>
  <c r="DN107"/>
  <c r="L99"/>
  <c r="Y102"/>
  <c r="BC104"/>
  <c r="BH104" s="1"/>
  <c r="L107"/>
  <c r="Y107"/>
  <c r="AE107"/>
  <c r="BO107"/>
  <c r="S96"/>
  <c r="AL96"/>
  <c r="AV98"/>
  <c r="S99"/>
  <c r="BC99"/>
  <c r="BH99" s="1"/>
  <c r="Q102"/>
  <c r="Q103"/>
  <c r="AL103"/>
  <c r="DN103"/>
  <c r="S104"/>
  <c r="AL104"/>
  <c r="AV106"/>
  <c r="S107"/>
  <c r="BC107"/>
  <c r="BH107" s="1"/>
  <c r="Q99"/>
  <c r="AL99"/>
  <c r="AV102"/>
  <c r="BC96"/>
  <c r="BH96" s="1"/>
  <c r="Y99"/>
  <c r="AE99"/>
  <c r="BO99"/>
  <c r="AE102"/>
  <c r="R96"/>
  <c r="DN96"/>
  <c r="Y98"/>
  <c r="AE98"/>
  <c r="G99"/>
  <c r="R99"/>
  <c r="AV99"/>
  <c r="BC100"/>
  <c r="BH100" s="1"/>
  <c r="G102"/>
  <c r="BO102"/>
  <c r="L103"/>
  <c r="Y103"/>
  <c r="AE103"/>
  <c r="BO103"/>
  <c r="R104"/>
  <c r="DN104"/>
  <c r="Y106"/>
  <c r="AE106"/>
  <c r="G107"/>
  <c r="R107"/>
  <c r="AV107"/>
  <c r="AM97"/>
  <c r="BJ97"/>
  <c r="AH101"/>
  <c r="AM101"/>
  <c r="BJ101"/>
  <c r="AM105"/>
  <c r="S97"/>
  <c r="AM98"/>
  <c r="BJ98"/>
  <c r="L101"/>
  <c r="S101"/>
  <c r="AL101"/>
  <c r="P102"/>
  <c r="T102"/>
  <c r="AH102"/>
  <c r="AM102"/>
  <c r="BJ102"/>
  <c r="L105"/>
  <c r="S105"/>
  <c r="AL105"/>
  <c r="P106"/>
  <c r="T106"/>
  <c r="AH106"/>
  <c r="AM106"/>
  <c r="BJ106"/>
  <c r="G96"/>
  <c r="Q96"/>
  <c r="Y96"/>
  <c r="AE96"/>
  <c r="AV96"/>
  <c r="BO96"/>
  <c r="R97"/>
  <c r="BC97"/>
  <c r="BH97" s="1"/>
  <c r="DN97"/>
  <c r="L98"/>
  <c r="S98"/>
  <c r="AL98"/>
  <c r="P99"/>
  <c r="T99"/>
  <c r="AH99"/>
  <c r="AM99"/>
  <c r="G100"/>
  <c r="Q100"/>
  <c r="Y100"/>
  <c r="AE100"/>
  <c r="AV100"/>
  <c r="BO100"/>
  <c r="R101"/>
  <c r="BC101"/>
  <c r="BH101" s="1"/>
  <c r="DN101"/>
  <c r="L102"/>
  <c r="S102"/>
  <c r="AL102"/>
  <c r="P103"/>
  <c r="T103"/>
  <c r="AH103"/>
  <c r="AM103"/>
  <c r="G104"/>
  <c r="Q104"/>
  <c r="Y104"/>
  <c r="AE104"/>
  <c r="AV104"/>
  <c r="BO104"/>
  <c r="R105"/>
  <c r="BC105"/>
  <c r="BH105" s="1"/>
  <c r="DN105"/>
  <c r="L106"/>
  <c r="S106"/>
  <c r="AL106"/>
  <c r="P107"/>
  <c r="T107"/>
  <c r="AH107"/>
  <c r="AM107"/>
  <c r="P97"/>
  <c r="T97"/>
  <c r="AH97"/>
  <c r="P101"/>
  <c r="T101"/>
  <c r="P105"/>
  <c r="T105"/>
  <c r="AH105"/>
  <c r="BJ105"/>
  <c r="L97"/>
  <c r="AL97"/>
  <c r="P98"/>
  <c r="T98"/>
  <c r="AH98"/>
  <c r="P96"/>
  <c r="T96"/>
  <c r="AH96"/>
  <c r="AM96"/>
  <c r="G97"/>
  <c r="Q97"/>
  <c r="Y97"/>
  <c r="AE97"/>
  <c r="AV97"/>
  <c r="R98"/>
  <c r="BC98"/>
  <c r="BH98" s="1"/>
  <c r="P100"/>
  <c r="T100"/>
  <c r="AH100"/>
  <c r="AM100"/>
  <c r="G101"/>
  <c r="Q101"/>
  <c r="Y101"/>
  <c r="AE101"/>
  <c r="AV101"/>
  <c r="R102"/>
  <c r="BC102"/>
  <c r="BH102" s="1"/>
  <c r="P104"/>
  <c r="T104"/>
  <c r="AH104"/>
  <c r="AM104"/>
  <c r="G105"/>
  <c r="Q105"/>
  <c r="Y105"/>
  <c r="AE105"/>
  <c r="AV105"/>
  <c r="R106"/>
  <c r="BC106"/>
  <c r="BH106" s="1"/>
  <c r="Q79"/>
  <c r="S80"/>
  <c r="BC80"/>
  <c r="BH80" s="1"/>
  <c r="R73"/>
  <c r="G83"/>
  <c r="BO83"/>
  <c r="L73"/>
  <c r="G76"/>
  <c r="BC76"/>
  <c r="BH76" s="1"/>
  <c r="G80"/>
  <c r="Q83"/>
  <c r="AV83"/>
  <c r="R77"/>
  <c r="DN77"/>
  <c r="L72"/>
  <c r="BO72"/>
  <c r="S73"/>
  <c r="AL73"/>
  <c r="L77"/>
  <c r="Y79"/>
  <c r="AE79"/>
  <c r="Y76"/>
  <c r="Y72"/>
  <c r="AE72"/>
  <c r="DN73"/>
  <c r="S76"/>
  <c r="G79"/>
  <c r="L81"/>
  <c r="Q72"/>
  <c r="DN72"/>
  <c r="L76"/>
  <c r="BO76"/>
  <c r="BO79"/>
  <c r="AL72"/>
  <c r="AE76"/>
  <c r="AV75"/>
  <c r="G72"/>
  <c r="S72"/>
  <c r="BC72"/>
  <c r="BH72" s="1"/>
  <c r="Q75"/>
  <c r="R76"/>
  <c r="AV76"/>
  <c r="BC77"/>
  <c r="BH77" s="1"/>
  <c r="Q80"/>
  <c r="AL80"/>
  <c r="DN80"/>
  <c r="S81"/>
  <c r="AL81"/>
  <c r="Y83"/>
  <c r="AE83"/>
  <c r="Y75"/>
  <c r="AE75"/>
  <c r="R80"/>
  <c r="AV80"/>
  <c r="BC81"/>
  <c r="BH81" s="1"/>
  <c r="R72"/>
  <c r="AV72"/>
  <c r="BC73"/>
  <c r="BH73" s="1"/>
  <c r="G75"/>
  <c r="BO75"/>
  <c r="Q76"/>
  <c r="AL76"/>
  <c r="DN76"/>
  <c r="S77"/>
  <c r="AL77"/>
  <c r="AV79"/>
  <c r="L80"/>
  <c r="Y80"/>
  <c r="AE80"/>
  <c r="BO80"/>
  <c r="R81"/>
  <c r="DN81"/>
  <c r="T83"/>
  <c r="AM78"/>
  <c r="BJ78"/>
  <c r="AH82"/>
  <c r="AM82"/>
  <c r="BJ82"/>
  <c r="L74"/>
  <c r="AL74"/>
  <c r="P75"/>
  <c r="T75"/>
  <c r="AH75"/>
  <c r="AM75"/>
  <c r="BJ75"/>
  <c r="L78"/>
  <c r="AM79"/>
  <c r="BJ79"/>
  <c r="S82"/>
  <c r="P73"/>
  <c r="T73"/>
  <c r="AH73"/>
  <c r="AM73"/>
  <c r="BJ73"/>
  <c r="G74"/>
  <c r="Q74"/>
  <c r="Y74"/>
  <c r="AE74"/>
  <c r="AV74"/>
  <c r="BO74"/>
  <c r="R75"/>
  <c r="BC75"/>
  <c r="BH75" s="1"/>
  <c r="DN75"/>
  <c r="P77"/>
  <c r="T77"/>
  <c r="AH77"/>
  <c r="AM77"/>
  <c r="BJ77"/>
  <c r="G78"/>
  <c r="Q78"/>
  <c r="Y78"/>
  <c r="AE78"/>
  <c r="AV78"/>
  <c r="BO78"/>
  <c r="R79"/>
  <c r="BC79"/>
  <c r="BH79" s="1"/>
  <c r="DN79"/>
  <c r="P81"/>
  <c r="T81"/>
  <c r="AH81"/>
  <c r="AM81"/>
  <c r="BJ81"/>
  <c r="G82"/>
  <c r="Q82"/>
  <c r="Y82"/>
  <c r="AE82"/>
  <c r="AV82"/>
  <c r="BO82"/>
  <c r="R83"/>
  <c r="BC83"/>
  <c r="BH83" s="1"/>
  <c r="DN83"/>
  <c r="P74"/>
  <c r="T74"/>
  <c r="AH74"/>
  <c r="AM74"/>
  <c r="BJ74"/>
  <c r="P78"/>
  <c r="T78"/>
  <c r="AH78"/>
  <c r="P82"/>
  <c r="T82"/>
  <c r="S74"/>
  <c r="S78"/>
  <c r="AL78"/>
  <c r="P79"/>
  <c r="T79"/>
  <c r="AH79"/>
  <c r="L82"/>
  <c r="AL82"/>
  <c r="P83"/>
  <c r="AH83"/>
  <c r="AM83"/>
  <c r="BJ83"/>
  <c r="P72"/>
  <c r="T72"/>
  <c r="AH72"/>
  <c r="AM72"/>
  <c r="G73"/>
  <c r="Q73"/>
  <c r="Y73"/>
  <c r="AE73"/>
  <c r="AV73"/>
  <c r="R74"/>
  <c r="BC74"/>
  <c r="BH74" s="1"/>
  <c r="L75"/>
  <c r="S75"/>
  <c r="P76"/>
  <c r="T76"/>
  <c r="AH76"/>
  <c r="AM76"/>
  <c r="G77"/>
  <c r="Q77"/>
  <c r="Y77"/>
  <c r="AE77"/>
  <c r="AV77"/>
  <c r="R78"/>
  <c r="BC78"/>
  <c r="BH78" s="1"/>
  <c r="L79"/>
  <c r="S79"/>
  <c r="P80"/>
  <c r="T80"/>
  <c r="AH80"/>
  <c r="AM80"/>
  <c r="G81"/>
  <c r="Q81"/>
  <c r="Y81"/>
  <c r="AE81"/>
  <c r="AV81"/>
  <c r="R82"/>
  <c r="BC82"/>
  <c r="BH82" s="1"/>
  <c r="L83"/>
  <c r="S83"/>
  <c r="S176"/>
  <c r="CO176"/>
  <c r="G176"/>
  <c r="R176"/>
  <c r="AV176"/>
  <c r="CJ176"/>
  <c r="DN176"/>
  <c r="Q176"/>
  <c r="AL176"/>
  <c r="BO176"/>
  <c r="DB176"/>
  <c r="BC176"/>
  <c r="BH176" s="1"/>
  <c r="L176"/>
  <c r="Y176"/>
  <c r="AE176"/>
  <c r="CT176"/>
  <c r="P176"/>
  <c r="T176"/>
  <c r="AH176"/>
  <c r="AM176"/>
  <c r="BJ176"/>
  <c r="AJ55"/>
  <c r="AI55"/>
  <c r="AG55"/>
  <c r="AF55"/>
  <c r="AC55"/>
  <c r="AB55"/>
  <c r="AA55"/>
  <c r="D55"/>
  <c r="AJ54"/>
  <c r="AI54"/>
  <c r="AG54"/>
  <c r="AF54"/>
  <c r="AC54"/>
  <c r="AB54"/>
  <c r="AA54"/>
  <c r="D54"/>
  <c r="AJ53"/>
  <c r="AI53"/>
  <c r="AG53"/>
  <c r="AF53"/>
  <c r="AC53"/>
  <c r="AB53"/>
  <c r="AA53"/>
  <c r="D53"/>
  <c r="AJ52"/>
  <c r="AI52"/>
  <c r="AG52"/>
  <c r="AF52"/>
  <c r="AC52"/>
  <c r="AB52"/>
  <c r="AA52"/>
  <c r="D52"/>
  <c r="AJ51"/>
  <c r="AI51"/>
  <c r="AG51"/>
  <c r="AF51"/>
  <c r="AC51"/>
  <c r="AB51"/>
  <c r="AA51"/>
  <c r="D51"/>
  <c r="AJ50"/>
  <c r="AI50"/>
  <c r="AG50"/>
  <c r="AF50"/>
  <c r="AC50"/>
  <c r="AB50"/>
  <c r="AA50"/>
  <c r="D50"/>
  <c r="AJ49"/>
  <c r="AI49"/>
  <c r="AG49"/>
  <c r="AF49"/>
  <c r="AC49"/>
  <c r="AB49"/>
  <c r="AA49"/>
  <c r="D49"/>
  <c r="AJ48"/>
  <c r="AI48"/>
  <c r="AG48"/>
  <c r="AF48"/>
  <c r="AC48"/>
  <c r="AB48"/>
  <c r="AA48"/>
  <c r="D48"/>
  <c r="AJ47"/>
  <c r="AI47"/>
  <c r="AG47"/>
  <c r="AF47"/>
  <c r="AC47"/>
  <c r="AB47"/>
  <c r="AA47"/>
  <c r="D47"/>
  <c r="AJ46"/>
  <c r="AI46"/>
  <c r="AG46"/>
  <c r="AF46"/>
  <c r="AC46"/>
  <c r="AB46"/>
  <c r="AA46"/>
  <c r="D46"/>
  <c r="AJ45"/>
  <c r="AI45"/>
  <c r="AG45"/>
  <c r="AF45"/>
  <c r="AC45"/>
  <c r="AB45"/>
  <c r="AA45"/>
  <c r="D45"/>
  <c r="AJ44"/>
  <c r="AI44"/>
  <c r="AG44"/>
  <c r="AF44"/>
  <c r="AC44"/>
  <c r="AB44"/>
  <c r="AA44"/>
  <c r="D44"/>
  <c r="AJ43"/>
  <c r="AI43"/>
  <c r="AG43"/>
  <c r="AF43"/>
  <c r="AC43"/>
  <c r="AB43"/>
  <c r="AA43"/>
  <c r="D43"/>
  <c r="AJ42"/>
  <c r="AI42"/>
  <c r="AG42"/>
  <c r="AF42"/>
  <c r="AC42"/>
  <c r="AB42"/>
  <c r="AA42"/>
  <c r="D42"/>
  <c r="L42" l="1"/>
  <c r="I42"/>
  <c r="BO43"/>
  <c r="I43"/>
  <c r="BJ44"/>
  <c r="I44"/>
  <c r="AL45"/>
  <c r="I45"/>
  <c r="BJ46"/>
  <c r="I46"/>
  <c r="BO47"/>
  <c r="I47"/>
  <c r="BJ48"/>
  <c r="I48"/>
  <c r="AL49"/>
  <c r="I49"/>
  <c r="BJ50"/>
  <c r="I50"/>
  <c r="BO51"/>
  <c r="I51"/>
  <c r="BJ52"/>
  <c r="I52"/>
  <c r="AL53"/>
  <c r="I53"/>
  <c r="AL54"/>
  <c r="I54"/>
  <c r="T55"/>
  <c r="I55"/>
  <c r="EA210"/>
  <c r="EA221"/>
  <c r="EA225"/>
  <c r="EA227"/>
  <c r="EA219"/>
  <c r="EA217"/>
  <c r="EA223"/>
  <c r="EA207"/>
  <c r="EA208"/>
  <c r="EA205"/>
  <c r="EA209"/>
  <c r="EA213"/>
  <c r="EA211"/>
  <c r="EA215"/>
  <c r="EA212"/>
  <c r="EA204"/>
  <c r="EA228"/>
  <c r="EA26"/>
  <c r="EA29"/>
  <c r="EA30"/>
  <c r="EA22"/>
  <c r="EA31"/>
  <c r="EA23"/>
  <c r="EA28"/>
  <c r="EA24"/>
  <c r="EA27"/>
  <c r="EA16"/>
  <c r="EA4"/>
  <c r="EA20"/>
  <c r="EA12"/>
  <c r="EA5"/>
  <c r="EA7"/>
  <c r="EA19"/>
  <c r="EA3"/>
  <c r="EA15"/>
  <c r="EA6"/>
  <c r="EA14"/>
  <c r="EA10"/>
  <c r="EA11"/>
  <c r="EA18"/>
  <c r="EA2"/>
  <c r="EA201"/>
  <c r="EA190"/>
  <c r="EA186"/>
  <c r="EA178"/>
  <c r="EA202"/>
  <c r="EA182"/>
  <c r="EA189"/>
  <c r="EA196"/>
  <c r="EA180"/>
  <c r="EA198"/>
  <c r="EA194"/>
  <c r="EA200"/>
  <c r="EA197"/>
  <c r="EA192"/>
  <c r="EA193"/>
  <c r="EA188"/>
  <c r="EA199"/>
  <c r="EA191"/>
  <c r="EA183"/>
  <c r="EA185"/>
  <c r="EA181"/>
  <c r="EA203"/>
  <c r="EA195"/>
  <c r="EA187"/>
  <c r="EA179"/>
  <c r="EA177"/>
  <c r="EA176"/>
  <c r="G52"/>
  <c r="S44"/>
  <c r="BC44"/>
  <c r="BH44" s="1"/>
  <c r="G44"/>
  <c r="S52"/>
  <c r="DN53"/>
  <c r="Y55"/>
  <c r="AE55"/>
  <c r="BO52"/>
  <c r="Q55"/>
  <c r="Y46"/>
  <c r="AE46"/>
  <c r="Y52"/>
  <c r="AE52"/>
  <c r="G55"/>
  <c r="BO55"/>
  <c r="AV55"/>
  <c r="P54"/>
  <c r="T54"/>
  <c r="AH54"/>
  <c r="BJ54"/>
  <c r="AH55"/>
  <c r="AM55"/>
  <c r="BJ55"/>
  <c r="R54"/>
  <c r="BC54"/>
  <c r="BH54" s="1"/>
  <c r="DN54"/>
  <c r="L55"/>
  <c r="S55"/>
  <c r="AL55"/>
  <c r="G54"/>
  <c r="Q54"/>
  <c r="Y54"/>
  <c r="AE54"/>
  <c r="AV54"/>
  <c r="BO54"/>
  <c r="R55"/>
  <c r="BC55"/>
  <c r="BH55" s="1"/>
  <c r="DN55"/>
  <c r="AM54"/>
  <c r="L54"/>
  <c r="S54"/>
  <c r="P55"/>
  <c r="G46"/>
  <c r="DN49"/>
  <c r="Q52"/>
  <c r="BC52"/>
  <c r="BH52" s="1"/>
  <c r="R53"/>
  <c r="BC53"/>
  <c r="BH53" s="1"/>
  <c r="R49"/>
  <c r="BC49"/>
  <c r="BH49" s="1"/>
  <c r="L52"/>
  <c r="AL52"/>
  <c r="DN48"/>
  <c r="BO50"/>
  <c r="DN44"/>
  <c r="S46"/>
  <c r="AL48"/>
  <c r="AV50"/>
  <c r="Q44"/>
  <c r="AL44"/>
  <c r="BO44"/>
  <c r="DN45"/>
  <c r="Q46"/>
  <c r="AV46"/>
  <c r="L48"/>
  <c r="Y48"/>
  <c r="AE48"/>
  <c r="L50"/>
  <c r="AL50"/>
  <c r="R48"/>
  <c r="AV48"/>
  <c r="S50"/>
  <c r="R44"/>
  <c r="AV44"/>
  <c r="BO46"/>
  <c r="Q48"/>
  <c r="BO48"/>
  <c r="Q50"/>
  <c r="L44"/>
  <c r="Y44"/>
  <c r="AE44"/>
  <c r="R45"/>
  <c r="BC45"/>
  <c r="BH45" s="1"/>
  <c r="L46"/>
  <c r="AL46"/>
  <c r="G48"/>
  <c r="S48"/>
  <c r="BC48"/>
  <c r="BH48" s="1"/>
  <c r="G50"/>
  <c r="Y50"/>
  <c r="AE50"/>
  <c r="R52"/>
  <c r="AV52"/>
  <c r="DN52"/>
  <c r="BJ43"/>
  <c r="AH47"/>
  <c r="AM47"/>
  <c r="BJ47"/>
  <c r="P51"/>
  <c r="T51"/>
  <c r="AH51"/>
  <c r="AM51"/>
  <c r="BJ51"/>
  <c r="L43"/>
  <c r="S43"/>
  <c r="AL43"/>
  <c r="P44"/>
  <c r="T44"/>
  <c r="AH44"/>
  <c r="AM44"/>
  <c r="G45"/>
  <c r="Q45"/>
  <c r="Y45"/>
  <c r="AE45"/>
  <c r="AV45"/>
  <c r="BO45"/>
  <c r="R46"/>
  <c r="BC46"/>
  <c r="BH46" s="1"/>
  <c r="DN46"/>
  <c r="L47"/>
  <c r="S47"/>
  <c r="AL47"/>
  <c r="P48"/>
  <c r="T48"/>
  <c r="AH48"/>
  <c r="AM48"/>
  <c r="G49"/>
  <c r="Q49"/>
  <c r="Y49"/>
  <c r="AE49"/>
  <c r="AV49"/>
  <c r="BO49"/>
  <c r="R50"/>
  <c r="BC50"/>
  <c r="BH50" s="1"/>
  <c r="DN50"/>
  <c r="L51"/>
  <c r="S51"/>
  <c r="AL51"/>
  <c r="P52"/>
  <c r="T52"/>
  <c r="AH52"/>
  <c r="AM52"/>
  <c r="G53"/>
  <c r="Q53"/>
  <c r="Y53"/>
  <c r="AE53"/>
  <c r="AV53"/>
  <c r="BO53"/>
  <c r="P43"/>
  <c r="AH43"/>
  <c r="T47"/>
  <c r="BC43"/>
  <c r="BH43" s="1"/>
  <c r="R47"/>
  <c r="BC47"/>
  <c r="BH47" s="1"/>
  <c r="DN47"/>
  <c r="P49"/>
  <c r="T49"/>
  <c r="AH49"/>
  <c r="AM49"/>
  <c r="BJ49"/>
  <c r="R51"/>
  <c r="BC51"/>
  <c r="BH51" s="1"/>
  <c r="DN51"/>
  <c r="P53"/>
  <c r="T53"/>
  <c r="AH53"/>
  <c r="AM53"/>
  <c r="BJ53"/>
  <c r="T43"/>
  <c r="AM43"/>
  <c r="P47"/>
  <c r="R43"/>
  <c r="DN43"/>
  <c r="P45"/>
  <c r="T45"/>
  <c r="AH45"/>
  <c r="AM45"/>
  <c r="BJ45"/>
  <c r="G43"/>
  <c r="Q43"/>
  <c r="Y43"/>
  <c r="AE43"/>
  <c r="AV43"/>
  <c r="L45"/>
  <c r="S45"/>
  <c r="P46"/>
  <c r="T46"/>
  <c r="AH46"/>
  <c r="AM46"/>
  <c r="G47"/>
  <c r="Q47"/>
  <c r="Y47"/>
  <c r="AE47"/>
  <c r="AV47"/>
  <c r="L49"/>
  <c r="S49"/>
  <c r="P50"/>
  <c r="T50"/>
  <c r="AH50"/>
  <c r="AM50"/>
  <c r="G51"/>
  <c r="Q51"/>
  <c r="Y51"/>
  <c r="AE51"/>
  <c r="AV51"/>
  <c r="L53"/>
  <c r="S53"/>
  <c r="Q42"/>
  <c r="G42"/>
  <c r="BO42"/>
  <c r="AV42"/>
  <c r="Y42"/>
  <c r="AE42"/>
  <c r="AH42"/>
  <c r="AM42"/>
  <c r="BJ42"/>
  <c r="S42"/>
  <c r="AL42"/>
  <c r="R42"/>
  <c r="BC42"/>
  <c r="BH42" s="1"/>
  <c r="DN42"/>
  <c r="P42"/>
  <c r="T42"/>
  <c r="AJ175" l="1"/>
  <c r="AI175"/>
  <c r="AG175"/>
  <c r="AF175"/>
  <c r="AC175"/>
  <c r="AB175"/>
  <c r="AA175"/>
  <c r="D175"/>
  <c r="AJ174"/>
  <c r="AI174"/>
  <c r="AG174"/>
  <c r="AF174"/>
  <c r="AC174"/>
  <c r="AB174"/>
  <c r="AA174"/>
  <c r="D174"/>
  <c r="AJ173"/>
  <c r="AI173"/>
  <c r="AG173"/>
  <c r="AF173"/>
  <c r="AC173"/>
  <c r="AB173"/>
  <c r="AA173"/>
  <c r="D173"/>
  <c r="AJ172"/>
  <c r="AI172"/>
  <c r="AG172"/>
  <c r="AF172"/>
  <c r="AC172"/>
  <c r="AB172"/>
  <c r="AA172"/>
  <c r="D172"/>
  <c r="AJ171"/>
  <c r="AI171"/>
  <c r="AG171"/>
  <c r="AF171"/>
  <c r="AC171"/>
  <c r="AB171"/>
  <c r="AA171"/>
  <c r="D171"/>
  <c r="AJ170"/>
  <c r="AI170"/>
  <c r="AG170"/>
  <c r="AF170"/>
  <c r="AC170"/>
  <c r="AB170"/>
  <c r="AA170"/>
  <c r="D170"/>
  <c r="AJ169"/>
  <c r="AI169"/>
  <c r="AG169"/>
  <c r="AF169"/>
  <c r="AC169"/>
  <c r="AB169"/>
  <c r="AA169"/>
  <c r="D169"/>
  <c r="AJ168"/>
  <c r="AI168"/>
  <c r="AG168"/>
  <c r="AF168"/>
  <c r="AC168"/>
  <c r="AB168"/>
  <c r="AA168"/>
  <c r="D168"/>
  <c r="AJ167"/>
  <c r="AI167"/>
  <c r="AG167"/>
  <c r="AF167"/>
  <c r="AC167"/>
  <c r="AB167"/>
  <c r="AA167"/>
  <c r="D167"/>
  <c r="AJ166"/>
  <c r="AI166"/>
  <c r="AG166"/>
  <c r="AF166"/>
  <c r="AC166"/>
  <c r="AB166"/>
  <c r="AA166"/>
  <c r="D166"/>
  <c r="AJ165"/>
  <c r="AI165"/>
  <c r="AG165"/>
  <c r="AF165"/>
  <c r="AC165"/>
  <c r="AB165"/>
  <c r="AA165"/>
  <c r="D165"/>
  <c r="AJ164"/>
  <c r="AI164"/>
  <c r="AG164"/>
  <c r="AF164"/>
  <c r="AC164"/>
  <c r="AB164"/>
  <c r="AA164"/>
  <c r="D164"/>
  <c r="AJ163"/>
  <c r="AI163"/>
  <c r="AG163"/>
  <c r="AF163"/>
  <c r="AC163"/>
  <c r="AB163"/>
  <c r="AA163"/>
  <c r="D163"/>
  <c r="AJ162"/>
  <c r="AI162"/>
  <c r="AG162"/>
  <c r="AF162"/>
  <c r="AC162"/>
  <c r="AB162"/>
  <c r="AA162"/>
  <c r="D162"/>
  <c r="AJ161"/>
  <c r="AI161"/>
  <c r="AG161"/>
  <c r="AF161"/>
  <c r="AC161"/>
  <c r="AB161"/>
  <c r="AA161"/>
  <c r="D161"/>
  <c r="AJ160"/>
  <c r="AI160"/>
  <c r="AG160"/>
  <c r="AF160"/>
  <c r="AC160"/>
  <c r="AB160"/>
  <c r="AA160"/>
  <c r="D160"/>
  <c r="AJ159"/>
  <c r="AI159"/>
  <c r="AG159"/>
  <c r="AF159"/>
  <c r="AC159"/>
  <c r="AB159"/>
  <c r="AA159"/>
  <c r="D159"/>
  <c r="AJ158"/>
  <c r="AI158"/>
  <c r="AG158"/>
  <c r="AF158"/>
  <c r="AC158"/>
  <c r="AB158"/>
  <c r="AA158"/>
  <c r="D158"/>
  <c r="AJ157"/>
  <c r="AI157"/>
  <c r="AG157"/>
  <c r="AF157"/>
  <c r="AC157"/>
  <c r="AB157"/>
  <c r="AA157"/>
  <c r="D157"/>
  <c r="AJ156"/>
  <c r="AI156"/>
  <c r="AG156"/>
  <c r="AF156"/>
  <c r="AC156"/>
  <c r="AB156"/>
  <c r="AA156"/>
  <c r="D156"/>
  <c r="AJ155"/>
  <c r="AI155"/>
  <c r="AG155"/>
  <c r="AF155"/>
  <c r="AC155"/>
  <c r="AB155"/>
  <c r="AA155"/>
  <c r="D155"/>
  <c r="AJ154"/>
  <c r="AI154"/>
  <c r="AG154"/>
  <c r="AF154"/>
  <c r="AC154"/>
  <c r="AB154"/>
  <c r="AA154"/>
  <c r="D154"/>
  <c r="AJ153"/>
  <c r="AI153"/>
  <c r="AG153"/>
  <c r="AF153"/>
  <c r="AC153"/>
  <c r="AB153"/>
  <c r="AA153"/>
  <c r="D153"/>
  <c r="AJ152"/>
  <c r="AI152"/>
  <c r="AG152"/>
  <c r="AF152"/>
  <c r="AC152"/>
  <c r="AB152"/>
  <c r="AA152"/>
  <c r="D152"/>
  <c r="AJ151"/>
  <c r="AI151"/>
  <c r="AG151"/>
  <c r="AF151"/>
  <c r="AC151"/>
  <c r="AB151"/>
  <c r="AA151"/>
  <c r="D151"/>
  <c r="AJ41"/>
  <c r="AI41"/>
  <c r="AG41"/>
  <c r="AF41"/>
  <c r="AC41"/>
  <c r="AB41"/>
  <c r="AA41"/>
  <c r="D41"/>
  <c r="AJ40"/>
  <c r="AI40"/>
  <c r="AG40"/>
  <c r="AF40"/>
  <c r="AC40"/>
  <c r="AB40"/>
  <c r="AA40"/>
  <c r="D40"/>
  <c r="AJ39"/>
  <c r="AI39"/>
  <c r="AG39"/>
  <c r="AF39"/>
  <c r="AC39"/>
  <c r="AB39"/>
  <c r="AA39"/>
  <c r="D39"/>
  <c r="AJ38"/>
  <c r="AI38"/>
  <c r="AG38"/>
  <c r="AF38"/>
  <c r="AC38"/>
  <c r="AB38"/>
  <c r="AA38"/>
  <c r="D38"/>
  <c r="AJ37"/>
  <c r="AI37"/>
  <c r="AG37"/>
  <c r="AF37"/>
  <c r="AC37"/>
  <c r="AB37"/>
  <c r="AA37"/>
  <c r="D37"/>
  <c r="AJ36"/>
  <c r="AI36"/>
  <c r="AG36"/>
  <c r="AF36"/>
  <c r="AC36"/>
  <c r="AB36"/>
  <c r="AA36"/>
  <c r="D36"/>
  <c r="AJ35"/>
  <c r="AI35"/>
  <c r="AG35"/>
  <c r="AF35"/>
  <c r="AC35"/>
  <c r="AB35"/>
  <c r="AA35"/>
  <c r="D35"/>
  <c r="AJ34"/>
  <c r="AI34"/>
  <c r="AG34"/>
  <c r="AF34"/>
  <c r="AC34"/>
  <c r="AB34"/>
  <c r="AA34"/>
  <c r="D34"/>
  <c r="AJ33"/>
  <c r="AI33"/>
  <c r="AG33"/>
  <c r="AF33"/>
  <c r="AC33"/>
  <c r="AB33"/>
  <c r="AA33"/>
  <c r="D33"/>
  <c r="D128"/>
  <c r="AA128"/>
  <c r="AB128"/>
  <c r="AC128"/>
  <c r="AF128"/>
  <c r="AG128"/>
  <c r="AI128"/>
  <c r="AJ128"/>
  <c r="D129"/>
  <c r="AA129"/>
  <c r="AB129"/>
  <c r="AC129"/>
  <c r="AF129"/>
  <c r="AG129"/>
  <c r="AI129"/>
  <c r="AJ129"/>
  <c r="D130"/>
  <c r="AA130"/>
  <c r="AB130"/>
  <c r="AC130"/>
  <c r="AF130"/>
  <c r="AG130"/>
  <c r="AI130"/>
  <c r="AJ130"/>
  <c r="D131"/>
  <c r="AA131"/>
  <c r="AB131"/>
  <c r="AC131"/>
  <c r="AF131"/>
  <c r="AG131"/>
  <c r="AI131"/>
  <c r="AJ131"/>
  <c r="D132"/>
  <c r="AA132"/>
  <c r="AB132"/>
  <c r="AC132"/>
  <c r="AF132"/>
  <c r="AG132"/>
  <c r="AI132"/>
  <c r="AJ132"/>
  <c r="D133"/>
  <c r="AA133"/>
  <c r="AB133"/>
  <c r="AC133"/>
  <c r="AF133"/>
  <c r="AG133"/>
  <c r="AI133"/>
  <c r="AJ133"/>
  <c r="D134"/>
  <c r="AA134"/>
  <c r="AB134"/>
  <c r="AC134"/>
  <c r="AF134"/>
  <c r="AG134"/>
  <c r="AI134"/>
  <c r="AJ134"/>
  <c r="D135"/>
  <c r="AA135"/>
  <c r="AB135"/>
  <c r="AC135"/>
  <c r="AF135"/>
  <c r="AG135"/>
  <c r="AI135"/>
  <c r="AJ135"/>
  <c r="D136"/>
  <c r="AA136"/>
  <c r="AB136"/>
  <c r="AC136"/>
  <c r="AF136"/>
  <c r="AG136"/>
  <c r="AI136"/>
  <c r="AJ136"/>
  <c r="D137"/>
  <c r="AA137"/>
  <c r="AB137"/>
  <c r="AC137"/>
  <c r="AF137"/>
  <c r="AG137"/>
  <c r="AI137"/>
  <c r="AJ137"/>
  <c r="D138"/>
  <c r="AA138"/>
  <c r="AB138"/>
  <c r="AC138"/>
  <c r="AF138"/>
  <c r="AG138"/>
  <c r="AI138"/>
  <c r="AJ138"/>
  <c r="D139"/>
  <c r="AA139"/>
  <c r="AB139"/>
  <c r="AC139"/>
  <c r="AF139"/>
  <c r="AG139"/>
  <c r="AI139"/>
  <c r="AJ139"/>
  <c r="D140"/>
  <c r="AA140"/>
  <c r="AB140"/>
  <c r="AC140"/>
  <c r="AF140"/>
  <c r="AG140"/>
  <c r="AI140"/>
  <c r="AJ140"/>
  <c r="D141"/>
  <c r="AA141"/>
  <c r="AB141"/>
  <c r="AC141"/>
  <c r="AF141"/>
  <c r="AG141"/>
  <c r="AI141"/>
  <c r="AJ141"/>
  <c r="D142"/>
  <c r="AA142"/>
  <c r="AB142"/>
  <c r="AC142"/>
  <c r="AF142"/>
  <c r="AG142"/>
  <c r="AI142"/>
  <c r="AJ142"/>
  <c r="D143"/>
  <c r="AA143"/>
  <c r="AB143"/>
  <c r="AC143"/>
  <c r="AF143"/>
  <c r="AG143"/>
  <c r="AI143"/>
  <c r="AJ143"/>
  <c r="D144"/>
  <c r="AA144"/>
  <c r="AB144"/>
  <c r="AC144"/>
  <c r="AF144"/>
  <c r="AG144"/>
  <c r="AI144"/>
  <c r="AJ144"/>
  <c r="D145"/>
  <c r="AA145"/>
  <c r="AB145"/>
  <c r="AC145"/>
  <c r="AF145"/>
  <c r="AG145"/>
  <c r="AI145"/>
  <c r="AJ145"/>
  <c r="AJ71"/>
  <c r="AI71"/>
  <c r="AG71"/>
  <c r="AF71"/>
  <c r="AC71"/>
  <c r="AB71"/>
  <c r="AA71"/>
  <c r="D71"/>
  <c r="AJ70"/>
  <c r="AI70"/>
  <c r="AG70"/>
  <c r="AF70"/>
  <c r="AC70"/>
  <c r="AB70"/>
  <c r="AA70"/>
  <c r="D70"/>
  <c r="AJ69"/>
  <c r="AI69"/>
  <c r="AG69"/>
  <c r="AF69"/>
  <c r="AC69"/>
  <c r="AB69"/>
  <c r="AA69"/>
  <c r="D69"/>
  <c r="AJ68"/>
  <c r="AI68"/>
  <c r="AG68"/>
  <c r="AF68"/>
  <c r="AC68"/>
  <c r="AB68"/>
  <c r="AA68"/>
  <c r="D68"/>
  <c r="AJ67"/>
  <c r="AI67"/>
  <c r="AG67"/>
  <c r="AF67"/>
  <c r="AC67"/>
  <c r="AB67"/>
  <c r="AA67"/>
  <c r="D67"/>
  <c r="AJ66"/>
  <c r="AI66"/>
  <c r="AG66"/>
  <c r="AF66"/>
  <c r="AC66"/>
  <c r="AB66"/>
  <c r="AA66"/>
  <c r="D66"/>
  <c r="AJ65"/>
  <c r="AI65"/>
  <c r="AG65"/>
  <c r="AF65"/>
  <c r="AC65"/>
  <c r="AB65"/>
  <c r="AA65"/>
  <c r="D65"/>
  <c r="AJ64"/>
  <c r="AI64"/>
  <c r="AG64"/>
  <c r="AF64"/>
  <c r="AC64"/>
  <c r="AB64"/>
  <c r="AA64"/>
  <c r="D64"/>
  <c r="AJ63"/>
  <c r="AI63"/>
  <c r="AG63"/>
  <c r="AF63"/>
  <c r="AC63"/>
  <c r="AB63"/>
  <c r="AA63"/>
  <c r="D63"/>
  <c r="AJ62"/>
  <c r="AI62"/>
  <c r="AG62"/>
  <c r="AF62"/>
  <c r="AC62"/>
  <c r="AB62"/>
  <c r="AA62"/>
  <c r="D62"/>
  <c r="AJ61"/>
  <c r="AI61"/>
  <c r="AG61"/>
  <c r="AF61"/>
  <c r="AC61"/>
  <c r="AB61"/>
  <c r="AA61"/>
  <c r="D61"/>
  <c r="AJ60"/>
  <c r="AI60"/>
  <c r="AG60"/>
  <c r="AF60"/>
  <c r="AC60"/>
  <c r="AB60"/>
  <c r="AA60"/>
  <c r="D60"/>
  <c r="AJ59"/>
  <c r="AI59"/>
  <c r="AG59"/>
  <c r="AF59"/>
  <c r="AC59"/>
  <c r="AB59"/>
  <c r="AA59"/>
  <c r="D59"/>
  <c r="AJ58"/>
  <c r="AI58"/>
  <c r="AG58"/>
  <c r="AF58"/>
  <c r="AC58"/>
  <c r="AB58"/>
  <c r="AA58"/>
  <c r="D58"/>
  <c r="AJ57"/>
  <c r="AI57"/>
  <c r="AG57"/>
  <c r="AF57"/>
  <c r="AC57"/>
  <c r="AB57"/>
  <c r="AA57"/>
  <c r="D57"/>
  <c r="AI240"/>
  <c r="AI239"/>
  <c r="AI238"/>
  <c r="AI237"/>
  <c r="AI236"/>
  <c r="AI235"/>
  <c r="AI234"/>
  <c r="AI233"/>
  <c r="AI232"/>
  <c r="AI231"/>
  <c r="AF240"/>
  <c r="AF239"/>
  <c r="AF238"/>
  <c r="AF237"/>
  <c r="AF236"/>
  <c r="AF235"/>
  <c r="AF234"/>
  <c r="AF233"/>
  <c r="AF232"/>
  <c r="AF231"/>
  <c r="AB240"/>
  <c r="AB239"/>
  <c r="AB238"/>
  <c r="AB237"/>
  <c r="AB236"/>
  <c r="AB235"/>
  <c r="AB234"/>
  <c r="AB233"/>
  <c r="AB232"/>
  <c r="AB231"/>
  <c r="AB246"/>
  <c r="AB247"/>
  <c r="AJ247"/>
  <c r="AJ246"/>
  <c r="AJ240"/>
  <c r="AJ239"/>
  <c r="AJ238"/>
  <c r="AJ237"/>
  <c r="AJ236"/>
  <c r="AJ235"/>
  <c r="AJ234"/>
  <c r="AJ233"/>
  <c r="AJ232"/>
  <c r="AJ231"/>
  <c r="AJ230"/>
  <c r="AJ150"/>
  <c r="AJ127"/>
  <c r="AJ126"/>
  <c r="AJ125"/>
  <c r="AJ124"/>
  <c r="AJ123"/>
  <c r="AJ122"/>
  <c r="AJ121"/>
  <c r="AJ120"/>
  <c r="AJ119"/>
  <c r="AJ118"/>
  <c r="AJ117"/>
  <c r="AJ116"/>
  <c r="AJ56"/>
  <c r="AJ32"/>
  <c r="AI150"/>
  <c r="AI127"/>
  <c r="AI126"/>
  <c r="AI125"/>
  <c r="AI124"/>
  <c r="AI123"/>
  <c r="AI122"/>
  <c r="AI121"/>
  <c r="AI120"/>
  <c r="AI119"/>
  <c r="AI118"/>
  <c r="AI117"/>
  <c r="AI116"/>
  <c r="AI56"/>
  <c r="AI32"/>
  <c r="AF150"/>
  <c r="AF127"/>
  <c r="AF126"/>
  <c r="AF125"/>
  <c r="AF124"/>
  <c r="AF123"/>
  <c r="AF122"/>
  <c r="AF121"/>
  <c r="AF120"/>
  <c r="AF119"/>
  <c r="AF118"/>
  <c r="AF117"/>
  <c r="AF116"/>
  <c r="AF56"/>
  <c r="AF32"/>
  <c r="AB150"/>
  <c r="AB127"/>
  <c r="AB126"/>
  <c r="AB125"/>
  <c r="AB124"/>
  <c r="AB123"/>
  <c r="AB122"/>
  <c r="AB121"/>
  <c r="AB120"/>
  <c r="AB119"/>
  <c r="AB118"/>
  <c r="AB117"/>
  <c r="AB116"/>
  <c r="AB56"/>
  <c r="AB32"/>
  <c r="AG127"/>
  <c r="AC127"/>
  <c r="AA127"/>
  <c r="AG126"/>
  <c r="AC126"/>
  <c r="AA126"/>
  <c r="AG125"/>
  <c r="AC125"/>
  <c r="AA125"/>
  <c r="AG124"/>
  <c r="AC124"/>
  <c r="AA124"/>
  <c r="AG123"/>
  <c r="AC123"/>
  <c r="AA123"/>
  <c r="AG122"/>
  <c r="AC122"/>
  <c r="AA122"/>
  <c r="AG121"/>
  <c r="AC121"/>
  <c r="AA121"/>
  <c r="AG120"/>
  <c r="AC120"/>
  <c r="AA120"/>
  <c r="AG119"/>
  <c r="AC119"/>
  <c r="AA119"/>
  <c r="AG118"/>
  <c r="AC118"/>
  <c r="AA118"/>
  <c r="AG117"/>
  <c r="AC117"/>
  <c r="AA117"/>
  <c r="AG116"/>
  <c r="AC116"/>
  <c r="AA116"/>
  <c r="AA232"/>
  <c r="AC232"/>
  <c r="AG232"/>
  <c r="AG240"/>
  <c r="AC240"/>
  <c r="AA240"/>
  <c r="AG239"/>
  <c r="AC239"/>
  <c r="AA239"/>
  <c r="AG238"/>
  <c r="AC238"/>
  <c r="AA238"/>
  <c r="AG237"/>
  <c r="AC237"/>
  <c r="AA237"/>
  <c r="AG236"/>
  <c r="AC236"/>
  <c r="AA236"/>
  <c r="AG235"/>
  <c r="AC235"/>
  <c r="AA235"/>
  <c r="AG234"/>
  <c r="AC234"/>
  <c r="AA234"/>
  <c r="AG233"/>
  <c r="AC233"/>
  <c r="AA233"/>
  <c r="AG231"/>
  <c r="AC231"/>
  <c r="AA231"/>
  <c r="AI230"/>
  <c r="AG230"/>
  <c r="AF230"/>
  <c r="AC230"/>
  <c r="AB230"/>
  <c r="AA230"/>
  <c r="AG246"/>
  <c r="AC32"/>
  <c r="AC56"/>
  <c r="AC150"/>
  <c r="AC246"/>
  <c r="AI246"/>
  <c r="AF246"/>
  <c r="AA246"/>
  <c r="AG32"/>
  <c r="AG56"/>
  <c r="AG150"/>
  <c r="H3" i="35"/>
  <c r="G3"/>
  <c r="F3"/>
  <c r="H3" i="41"/>
  <c r="G3"/>
  <c r="F3"/>
  <c r="H3" i="45"/>
  <c r="G3"/>
  <c r="F3"/>
  <c r="H3" i="46"/>
  <c r="G3"/>
  <c r="F3"/>
  <c r="H3" i="43"/>
  <c r="H3" i="44"/>
  <c r="F3"/>
  <c r="G3"/>
  <c r="G3" i="43"/>
  <c r="F3"/>
  <c r="AA150" i="40"/>
  <c r="AA56"/>
  <c r="AA32"/>
  <c r="N61" i="46"/>
  <c r="M61"/>
  <c r="L61"/>
  <c r="N91" i="41"/>
  <c r="M91"/>
  <c r="L91"/>
  <c r="N87" i="45"/>
  <c r="S91" i="41"/>
  <c r="Q91"/>
  <c r="M87" i="45"/>
  <c r="S87"/>
  <c r="Q87"/>
  <c r="N61" i="44"/>
  <c r="M61"/>
  <c r="L61"/>
  <c r="N49" i="42"/>
  <c r="M49"/>
  <c r="L49"/>
  <c r="H3"/>
  <c r="G3"/>
  <c r="F3"/>
  <c r="AG247" i="40"/>
  <c r="AI247"/>
  <c r="AF247"/>
  <c r="AC247"/>
  <c r="AA247"/>
  <c r="S69" i="35"/>
  <c r="Q69"/>
  <c r="N69"/>
  <c r="M69"/>
  <c r="L69"/>
  <c r="D32" i="40"/>
  <c r="D56"/>
  <c r="D116"/>
  <c r="D117"/>
  <c r="D118"/>
  <c r="D119"/>
  <c r="D120"/>
  <c r="D121"/>
  <c r="D122"/>
  <c r="D123"/>
  <c r="D124"/>
  <c r="D125"/>
  <c r="D126"/>
  <c r="D127"/>
  <c r="D150"/>
  <c r="D230"/>
  <c r="R230" s="1"/>
  <c r="D231"/>
  <c r="L231" s="1"/>
  <c r="D232"/>
  <c r="CQ232" s="1"/>
  <c r="D233"/>
  <c r="P233" s="1"/>
  <c r="D234"/>
  <c r="L234" s="1"/>
  <c r="D235"/>
  <c r="AV235" s="1"/>
  <c r="I235" s="1"/>
  <c r="D236"/>
  <c r="L236" s="1"/>
  <c r="D237"/>
  <c r="BC237" s="1"/>
  <c r="BH237" s="1"/>
  <c r="D238"/>
  <c r="L238" s="1"/>
  <c r="D239"/>
  <c r="L239" s="1"/>
  <c r="D240"/>
  <c r="P240" s="1"/>
  <c r="D246"/>
  <c r="Q246" s="1"/>
  <c r="D247"/>
  <c r="S247" s="1"/>
  <c r="G122" l="1"/>
  <c r="I122"/>
  <c r="P32"/>
  <c r="I32"/>
  <c r="L144"/>
  <c r="I144"/>
  <c r="L143"/>
  <c r="I143"/>
  <c r="L139"/>
  <c r="I139"/>
  <c r="L138"/>
  <c r="I138"/>
  <c r="L135"/>
  <c r="I135"/>
  <c r="L134"/>
  <c r="I134"/>
  <c r="L130"/>
  <c r="I130"/>
  <c r="L129"/>
  <c r="I129"/>
  <c r="L128"/>
  <c r="I128"/>
  <c r="CQ127"/>
  <c r="I127"/>
  <c r="L150"/>
  <c r="I150"/>
  <c r="Q124"/>
  <c r="I124"/>
  <c r="P120"/>
  <c r="I120"/>
  <c r="S116"/>
  <c r="I116"/>
  <c r="L126"/>
  <c r="I126"/>
  <c r="G118"/>
  <c r="I118"/>
  <c r="L145"/>
  <c r="I145"/>
  <c r="L142"/>
  <c r="I142"/>
  <c r="L141"/>
  <c r="I141"/>
  <c r="L140"/>
  <c r="I140"/>
  <c r="L137"/>
  <c r="I137"/>
  <c r="L136"/>
  <c r="I136"/>
  <c r="L133"/>
  <c r="I133"/>
  <c r="L132"/>
  <c r="I132"/>
  <c r="L131"/>
  <c r="I131"/>
  <c r="G123"/>
  <c r="I123"/>
  <c r="Y119"/>
  <c r="I119"/>
  <c r="P56"/>
  <c r="I56"/>
  <c r="R125"/>
  <c r="I125"/>
  <c r="R121"/>
  <c r="I121"/>
  <c r="L117"/>
  <c r="I117"/>
  <c r="BJ57"/>
  <c r="I57"/>
  <c r="DN58"/>
  <c r="I58"/>
  <c r="AL59"/>
  <c r="I59"/>
  <c r="BJ60"/>
  <c r="I60"/>
  <c r="BJ61"/>
  <c r="I61"/>
  <c r="DN62"/>
  <c r="I62"/>
  <c r="AL63"/>
  <c r="I63"/>
  <c r="BJ64"/>
  <c r="I64"/>
  <c r="BJ65"/>
  <c r="I65"/>
  <c r="DN66"/>
  <c r="I66"/>
  <c r="AL67"/>
  <c r="I67"/>
  <c r="BJ68"/>
  <c r="I68"/>
  <c r="BJ69"/>
  <c r="I69"/>
  <c r="DN70"/>
  <c r="I70"/>
  <c r="AL71"/>
  <c r="I71"/>
  <c r="AL33"/>
  <c r="I33"/>
  <c r="BJ34"/>
  <c r="I34"/>
  <c r="BO35"/>
  <c r="I35"/>
  <c r="DN36"/>
  <c r="I36"/>
  <c r="AL37"/>
  <c r="I37"/>
  <c r="BJ38"/>
  <c r="I38"/>
  <c r="BO39"/>
  <c r="I39"/>
  <c r="DN40"/>
  <c r="I40"/>
  <c r="AL41"/>
  <c r="I41"/>
  <c r="CQ151"/>
  <c r="I151"/>
  <c r="CQ152"/>
  <c r="I152"/>
  <c r="CQ153"/>
  <c r="I153"/>
  <c r="CQ154"/>
  <c r="I154"/>
  <c r="CQ155"/>
  <c r="I155"/>
  <c r="CQ156"/>
  <c r="I156"/>
  <c r="CQ157"/>
  <c r="I157"/>
  <c r="CQ158"/>
  <c r="I158"/>
  <c r="CQ159"/>
  <c r="I159"/>
  <c r="CQ160"/>
  <c r="I160"/>
  <c r="CQ161"/>
  <c r="I161"/>
  <c r="CQ162"/>
  <c r="I162"/>
  <c r="CQ163"/>
  <c r="I163"/>
  <c r="CQ164"/>
  <c r="I164"/>
  <c r="CQ165"/>
  <c r="I165"/>
  <c r="CQ166"/>
  <c r="I166"/>
  <c r="CQ167"/>
  <c r="I167"/>
  <c r="CQ168"/>
  <c r="I168"/>
  <c r="CQ169"/>
  <c r="I169"/>
  <c r="CQ170"/>
  <c r="I170"/>
  <c r="CQ171"/>
  <c r="I171"/>
  <c r="CQ172"/>
  <c r="I172"/>
  <c r="CQ173"/>
  <c r="I173"/>
  <c r="CQ174"/>
  <c r="I174"/>
  <c r="CQ175"/>
  <c r="I175"/>
  <c r="R161"/>
  <c r="S174"/>
  <c r="AL174"/>
  <c r="L175"/>
  <c r="R169"/>
  <c r="R175"/>
  <c r="CJ175"/>
  <c r="R153"/>
  <c r="S157"/>
  <c r="AL157"/>
  <c r="S165"/>
  <c r="AL165"/>
  <c r="S173"/>
  <c r="AL173"/>
  <c r="CO174"/>
  <c r="DN175"/>
  <c r="CJ157"/>
  <c r="CJ165"/>
  <c r="CO173"/>
  <c r="CJ155"/>
  <c r="CJ163"/>
  <c r="CJ171"/>
  <c r="R174"/>
  <c r="CJ174"/>
  <c r="BC175"/>
  <c r="BH175" s="1"/>
  <c r="DB175"/>
  <c r="S155"/>
  <c r="AL155"/>
  <c r="L158"/>
  <c r="DN158"/>
  <c r="S163"/>
  <c r="AL163"/>
  <c r="L166"/>
  <c r="DN166"/>
  <c r="S171"/>
  <c r="AL171"/>
  <c r="L174"/>
  <c r="DN174"/>
  <c r="S175"/>
  <c r="AL175"/>
  <c r="CO175"/>
  <c r="R155"/>
  <c r="L156"/>
  <c r="DN156"/>
  <c r="R163"/>
  <c r="L164"/>
  <c r="DN164"/>
  <c r="R171"/>
  <c r="L172"/>
  <c r="DN172"/>
  <c r="BC174"/>
  <c r="BH174" s="1"/>
  <c r="DB174"/>
  <c r="G174"/>
  <c r="Q174"/>
  <c r="Y174"/>
  <c r="AE174"/>
  <c r="AV174"/>
  <c r="BO174"/>
  <c r="CT174"/>
  <c r="G175"/>
  <c r="Q175"/>
  <c r="Y175"/>
  <c r="AE175"/>
  <c r="AV175"/>
  <c r="BO175"/>
  <c r="CT175"/>
  <c r="P174"/>
  <c r="T174"/>
  <c r="AH174"/>
  <c r="AM174"/>
  <c r="BJ174"/>
  <c r="P175"/>
  <c r="T175"/>
  <c r="AH175"/>
  <c r="AM175"/>
  <c r="BJ175"/>
  <c r="CO151"/>
  <c r="CJ151"/>
  <c r="CJ159"/>
  <c r="CO161"/>
  <c r="CJ167"/>
  <c r="CO169"/>
  <c r="S151"/>
  <c r="AL151"/>
  <c r="L152"/>
  <c r="DN152"/>
  <c r="CJ153"/>
  <c r="CO155"/>
  <c r="R157"/>
  <c r="S159"/>
  <c r="AL159"/>
  <c r="L160"/>
  <c r="DN160"/>
  <c r="CJ161"/>
  <c r="CO163"/>
  <c r="R165"/>
  <c r="S167"/>
  <c r="AL167"/>
  <c r="L168"/>
  <c r="DN168"/>
  <c r="CJ169"/>
  <c r="CO171"/>
  <c r="R173"/>
  <c r="CO159"/>
  <c r="CO167"/>
  <c r="CO153"/>
  <c r="R151"/>
  <c r="S153"/>
  <c r="AL153"/>
  <c r="L154"/>
  <c r="DN154"/>
  <c r="CO157"/>
  <c r="R159"/>
  <c r="S161"/>
  <c r="AL161"/>
  <c r="L162"/>
  <c r="DN162"/>
  <c r="CO165"/>
  <c r="R167"/>
  <c r="S169"/>
  <c r="AL169"/>
  <c r="L170"/>
  <c r="DN170"/>
  <c r="L151"/>
  <c r="DN151"/>
  <c r="S152"/>
  <c r="AL152"/>
  <c r="CO152"/>
  <c r="L153"/>
  <c r="DN153"/>
  <c r="S154"/>
  <c r="AL154"/>
  <c r="CO154"/>
  <c r="L155"/>
  <c r="DN155"/>
  <c r="S156"/>
  <c r="AL156"/>
  <c r="CO156"/>
  <c r="L157"/>
  <c r="DN157"/>
  <c r="S158"/>
  <c r="AL158"/>
  <c r="CO158"/>
  <c r="L159"/>
  <c r="DN159"/>
  <c r="S160"/>
  <c r="AL160"/>
  <c r="CO160"/>
  <c r="L161"/>
  <c r="DN161"/>
  <c r="S162"/>
  <c r="AL162"/>
  <c r="CO162"/>
  <c r="L163"/>
  <c r="DN163"/>
  <c r="S164"/>
  <c r="AL164"/>
  <c r="CO164"/>
  <c r="L165"/>
  <c r="DN165"/>
  <c r="S166"/>
  <c r="AL166"/>
  <c r="CO166"/>
  <c r="L167"/>
  <c r="DN167"/>
  <c r="S168"/>
  <c r="AL168"/>
  <c r="CO168"/>
  <c r="L169"/>
  <c r="DN169"/>
  <c r="S170"/>
  <c r="AL170"/>
  <c r="CO170"/>
  <c r="L171"/>
  <c r="DN171"/>
  <c r="S172"/>
  <c r="AL172"/>
  <c r="CO172"/>
  <c r="L173"/>
  <c r="DN173"/>
  <c r="BC151"/>
  <c r="BH151" s="1"/>
  <c r="DB151"/>
  <c r="R152"/>
  <c r="CJ152"/>
  <c r="BC153"/>
  <c r="BH153" s="1"/>
  <c r="DB153"/>
  <c r="R154"/>
  <c r="CJ154"/>
  <c r="BC155"/>
  <c r="BH155" s="1"/>
  <c r="DB155"/>
  <c r="R156"/>
  <c r="CJ156"/>
  <c r="BC157"/>
  <c r="BH157" s="1"/>
  <c r="DB157"/>
  <c r="R158"/>
  <c r="CJ158"/>
  <c r="BC159"/>
  <c r="BH159" s="1"/>
  <c r="DB159"/>
  <c r="R160"/>
  <c r="CJ160"/>
  <c r="BC161"/>
  <c r="BH161" s="1"/>
  <c r="DB161"/>
  <c r="R162"/>
  <c r="CJ162"/>
  <c r="BC163"/>
  <c r="BH163" s="1"/>
  <c r="DB163"/>
  <c r="R164"/>
  <c r="CJ164"/>
  <c r="BC165"/>
  <c r="BH165" s="1"/>
  <c r="DB165"/>
  <c r="R166"/>
  <c r="CJ166"/>
  <c r="BC167"/>
  <c r="BH167" s="1"/>
  <c r="DB167"/>
  <c r="R168"/>
  <c r="CJ168"/>
  <c r="BC169"/>
  <c r="BH169" s="1"/>
  <c r="DB169"/>
  <c r="R170"/>
  <c r="CJ170"/>
  <c r="BC171"/>
  <c r="BH171" s="1"/>
  <c r="DB171"/>
  <c r="R172"/>
  <c r="CJ172"/>
  <c r="BC173"/>
  <c r="BH173" s="1"/>
  <c r="DB173"/>
  <c r="BC152"/>
  <c r="BH152" s="1"/>
  <c r="DB152"/>
  <c r="BC154"/>
  <c r="BH154" s="1"/>
  <c r="DB154"/>
  <c r="BC156"/>
  <c r="BH156" s="1"/>
  <c r="DB156"/>
  <c r="BC158"/>
  <c r="BH158" s="1"/>
  <c r="DB158"/>
  <c r="BC160"/>
  <c r="BH160" s="1"/>
  <c r="DB160"/>
  <c r="BC162"/>
  <c r="BH162" s="1"/>
  <c r="DB162"/>
  <c r="BC164"/>
  <c r="BH164" s="1"/>
  <c r="DB164"/>
  <c r="BC166"/>
  <c r="BH166" s="1"/>
  <c r="DB166"/>
  <c r="BC168"/>
  <c r="BH168" s="1"/>
  <c r="DB168"/>
  <c r="BC170"/>
  <c r="BH170" s="1"/>
  <c r="DB170"/>
  <c r="BC172"/>
  <c r="BH172" s="1"/>
  <c r="DB172"/>
  <c r="CJ173"/>
  <c r="G151"/>
  <c r="Q151"/>
  <c r="Y151"/>
  <c r="AE151"/>
  <c r="AV151"/>
  <c r="BO151"/>
  <c r="CT151"/>
  <c r="G152"/>
  <c r="Q152"/>
  <c r="Y152"/>
  <c r="AE152"/>
  <c r="AV152"/>
  <c r="BO152"/>
  <c r="CT152"/>
  <c r="G153"/>
  <c r="Q153"/>
  <c r="Y153"/>
  <c r="AE153"/>
  <c r="AV153"/>
  <c r="BO153"/>
  <c r="CT153"/>
  <c r="G154"/>
  <c r="Q154"/>
  <c r="Y154"/>
  <c r="AE154"/>
  <c r="AV154"/>
  <c r="BO154"/>
  <c r="CT154"/>
  <c r="G155"/>
  <c r="Q155"/>
  <c r="Y155"/>
  <c r="AE155"/>
  <c r="AV155"/>
  <c r="BO155"/>
  <c r="CT155"/>
  <c r="G156"/>
  <c r="Q156"/>
  <c r="Y156"/>
  <c r="AE156"/>
  <c r="AV156"/>
  <c r="BO156"/>
  <c r="CT156"/>
  <c r="G157"/>
  <c r="Q157"/>
  <c r="Y157"/>
  <c r="AE157"/>
  <c r="AV157"/>
  <c r="BO157"/>
  <c r="CT157"/>
  <c r="G158"/>
  <c r="Q158"/>
  <c r="Y158"/>
  <c r="AE158"/>
  <c r="AV158"/>
  <c r="BO158"/>
  <c r="CT158"/>
  <c r="G159"/>
  <c r="Q159"/>
  <c r="Y159"/>
  <c r="AE159"/>
  <c r="AV159"/>
  <c r="BO159"/>
  <c r="CT159"/>
  <c r="G160"/>
  <c r="Q160"/>
  <c r="Y160"/>
  <c r="AE160"/>
  <c r="AV160"/>
  <c r="BO160"/>
  <c r="CT160"/>
  <c r="G161"/>
  <c r="Q161"/>
  <c r="Y161"/>
  <c r="AE161"/>
  <c r="AV161"/>
  <c r="BO161"/>
  <c r="CT161"/>
  <c r="G162"/>
  <c r="Q162"/>
  <c r="Y162"/>
  <c r="AE162"/>
  <c r="AV162"/>
  <c r="BO162"/>
  <c r="CT162"/>
  <c r="G163"/>
  <c r="Q163"/>
  <c r="Y163"/>
  <c r="AE163"/>
  <c r="AV163"/>
  <c r="BO163"/>
  <c r="CT163"/>
  <c r="G164"/>
  <c r="Q164"/>
  <c r="Y164"/>
  <c r="AE164"/>
  <c r="AV164"/>
  <c r="BO164"/>
  <c r="CT164"/>
  <c r="G165"/>
  <c r="Q165"/>
  <c r="Y165"/>
  <c r="AE165"/>
  <c r="AV165"/>
  <c r="BO165"/>
  <c r="CT165"/>
  <c r="G166"/>
  <c r="Q166"/>
  <c r="Y166"/>
  <c r="AE166"/>
  <c r="AV166"/>
  <c r="BO166"/>
  <c r="CT166"/>
  <c r="G167"/>
  <c r="Q167"/>
  <c r="Y167"/>
  <c r="AE167"/>
  <c r="AV167"/>
  <c r="BO167"/>
  <c r="CT167"/>
  <c r="G168"/>
  <c r="Q168"/>
  <c r="Y168"/>
  <c r="AE168"/>
  <c r="AV168"/>
  <c r="BO168"/>
  <c r="CT168"/>
  <c r="G169"/>
  <c r="Q169"/>
  <c r="Y169"/>
  <c r="AE169"/>
  <c r="AV169"/>
  <c r="BO169"/>
  <c r="CT169"/>
  <c r="G170"/>
  <c r="Q170"/>
  <c r="Y170"/>
  <c r="AE170"/>
  <c r="AV170"/>
  <c r="BO170"/>
  <c r="CT170"/>
  <c r="G171"/>
  <c r="Q171"/>
  <c r="Y171"/>
  <c r="AE171"/>
  <c r="AV171"/>
  <c r="BO171"/>
  <c r="CT171"/>
  <c r="G172"/>
  <c r="Q172"/>
  <c r="Y172"/>
  <c r="AE172"/>
  <c r="AV172"/>
  <c r="BO172"/>
  <c r="CT172"/>
  <c r="G173"/>
  <c r="Q173"/>
  <c r="Y173"/>
  <c r="AE173"/>
  <c r="AV173"/>
  <c r="BO173"/>
  <c r="CT173"/>
  <c r="P151"/>
  <c r="T151"/>
  <c r="AH151"/>
  <c r="AM151"/>
  <c r="BJ151"/>
  <c r="P152"/>
  <c r="T152"/>
  <c r="AH152"/>
  <c r="AM152"/>
  <c r="BJ152"/>
  <c r="P153"/>
  <c r="T153"/>
  <c r="AH153"/>
  <c r="AM153"/>
  <c r="BJ153"/>
  <c r="P154"/>
  <c r="T154"/>
  <c r="AH154"/>
  <c r="AM154"/>
  <c r="BJ154"/>
  <c r="P155"/>
  <c r="T155"/>
  <c r="AH155"/>
  <c r="AM155"/>
  <c r="BJ155"/>
  <c r="P156"/>
  <c r="T156"/>
  <c r="AH156"/>
  <c r="AM156"/>
  <c r="BJ156"/>
  <c r="P157"/>
  <c r="T157"/>
  <c r="AH157"/>
  <c r="AM157"/>
  <c r="BJ157"/>
  <c r="P158"/>
  <c r="T158"/>
  <c r="AH158"/>
  <c r="AM158"/>
  <c r="BJ158"/>
  <c r="P159"/>
  <c r="T159"/>
  <c r="AH159"/>
  <c r="AM159"/>
  <c r="BJ159"/>
  <c r="P160"/>
  <c r="T160"/>
  <c r="AH160"/>
  <c r="AM160"/>
  <c r="BJ160"/>
  <c r="P161"/>
  <c r="T161"/>
  <c r="AH161"/>
  <c r="AM161"/>
  <c r="BJ161"/>
  <c r="P162"/>
  <c r="T162"/>
  <c r="AH162"/>
  <c r="AM162"/>
  <c r="BJ162"/>
  <c r="P163"/>
  <c r="T163"/>
  <c r="AH163"/>
  <c r="AM163"/>
  <c r="BJ163"/>
  <c r="P164"/>
  <c r="T164"/>
  <c r="AH164"/>
  <c r="AM164"/>
  <c r="BJ164"/>
  <c r="P165"/>
  <c r="T165"/>
  <c r="AH165"/>
  <c r="AM165"/>
  <c r="BJ165"/>
  <c r="P166"/>
  <c r="T166"/>
  <c r="AH166"/>
  <c r="AM166"/>
  <c r="BJ166"/>
  <c r="P167"/>
  <c r="T167"/>
  <c r="AH167"/>
  <c r="AM167"/>
  <c r="BJ167"/>
  <c r="P168"/>
  <c r="T168"/>
  <c r="AH168"/>
  <c r="AM168"/>
  <c r="BJ168"/>
  <c r="P169"/>
  <c r="T169"/>
  <c r="AH169"/>
  <c r="AM169"/>
  <c r="BJ169"/>
  <c r="P170"/>
  <c r="T170"/>
  <c r="AH170"/>
  <c r="AM170"/>
  <c r="BJ170"/>
  <c r="P171"/>
  <c r="T171"/>
  <c r="AH171"/>
  <c r="AM171"/>
  <c r="BJ171"/>
  <c r="P172"/>
  <c r="T172"/>
  <c r="AH172"/>
  <c r="AM172"/>
  <c r="BJ172"/>
  <c r="P173"/>
  <c r="T173"/>
  <c r="AH173"/>
  <c r="AM173"/>
  <c r="BJ173"/>
  <c r="G33"/>
  <c r="G36"/>
  <c r="BO36"/>
  <c r="Y33"/>
  <c r="AE33"/>
  <c r="Q40"/>
  <c r="L34"/>
  <c r="G38"/>
  <c r="S34"/>
  <c r="DN33"/>
  <c r="Y34"/>
  <c r="AE34"/>
  <c r="Q37"/>
  <c r="AV37"/>
  <c r="R38"/>
  <c r="AV38"/>
  <c r="Y40"/>
  <c r="AE40"/>
  <c r="BC37"/>
  <c r="BH37" s="1"/>
  <c r="DN38"/>
  <c r="DN41"/>
  <c r="Y41"/>
  <c r="AE41"/>
  <c r="BC34"/>
  <c r="BH34" s="1"/>
  <c r="G41"/>
  <c r="BO33"/>
  <c r="Q38"/>
  <c r="R41"/>
  <c r="BO41"/>
  <c r="Q33"/>
  <c r="BC33"/>
  <c r="BH33" s="1"/>
  <c r="G34"/>
  <c r="R34"/>
  <c r="AV34"/>
  <c r="DN34"/>
  <c r="Y36"/>
  <c r="AE36"/>
  <c r="G37"/>
  <c r="Y37"/>
  <c r="AE37"/>
  <c r="DN37"/>
  <c r="L38"/>
  <c r="Y38"/>
  <c r="AE38"/>
  <c r="G40"/>
  <c r="BO40"/>
  <c r="Q41"/>
  <c r="BC41"/>
  <c r="BH41" s="1"/>
  <c r="R33"/>
  <c r="AV36"/>
  <c r="AL38"/>
  <c r="BO38"/>
  <c r="AV33"/>
  <c r="Q34"/>
  <c r="AL34"/>
  <c r="BO34"/>
  <c r="Q36"/>
  <c r="R37"/>
  <c r="BO37"/>
  <c r="S38"/>
  <c r="BC38"/>
  <c r="BH38" s="1"/>
  <c r="AV40"/>
  <c r="AV41"/>
  <c r="P35"/>
  <c r="T35"/>
  <c r="AH35"/>
  <c r="AM36"/>
  <c r="BJ36"/>
  <c r="L39"/>
  <c r="P33"/>
  <c r="T33"/>
  <c r="BJ37"/>
  <c r="P41"/>
  <c r="AH41"/>
  <c r="AM41"/>
  <c r="BJ41"/>
  <c r="AM35"/>
  <c r="BJ35"/>
  <c r="P39"/>
  <c r="T39"/>
  <c r="AH39"/>
  <c r="AM39"/>
  <c r="BJ39"/>
  <c r="L35"/>
  <c r="S35"/>
  <c r="AL35"/>
  <c r="P36"/>
  <c r="T36"/>
  <c r="AH36"/>
  <c r="S39"/>
  <c r="AL39"/>
  <c r="P40"/>
  <c r="T40"/>
  <c r="AH40"/>
  <c r="AM40"/>
  <c r="BJ40"/>
  <c r="AH33"/>
  <c r="AM33"/>
  <c r="BJ33"/>
  <c r="R35"/>
  <c r="BC35"/>
  <c r="BH35" s="1"/>
  <c r="DN35"/>
  <c r="L36"/>
  <c r="S36"/>
  <c r="AL36"/>
  <c r="P37"/>
  <c r="T37"/>
  <c r="AH37"/>
  <c r="AM37"/>
  <c r="R39"/>
  <c r="BC39"/>
  <c r="BH39" s="1"/>
  <c r="DN39"/>
  <c r="L40"/>
  <c r="S40"/>
  <c r="AL40"/>
  <c r="T41"/>
  <c r="L33"/>
  <c r="S33"/>
  <c r="P34"/>
  <c r="T34"/>
  <c r="AH34"/>
  <c r="AM34"/>
  <c r="G35"/>
  <c r="Q35"/>
  <c r="Y35"/>
  <c r="AE35"/>
  <c r="AV35"/>
  <c r="R36"/>
  <c r="BC36"/>
  <c r="BH36" s="1"/>
  <c r="L37"/>
  <c r="S37"/>
  <c r="P38"/>
  <c r="T38"/>
  <c r="AH38"/>
  <c r="AM38"/>
  <c r="G39"/>
  <c r="Q39"/>
  <c r="Y39"/>
  <c r="AE39"/>
  <c r="AV39"/>
  <c r="R40"/>
  <c r="BC40"/>
  <c r="BH40" s="1"/>
  <c r="L41"/>
  <c r="S41"/>
  <c r="CQ141"/>
  <c r="G63"/>
  <c r="BO63"/>
  <c r="AH141"/>
  <c r="L61"/>
  <c r="BJ142"/>
  <c r="BJ130"/>
  <c r="G57"/>
  <c r="Y69"/>
  <c r="AE69"/>
  <c r="AH142"/>
  <c r="AH130"/>
  <c r="BJ138"/>
  <c r="BJ134"/>
  <c r="T142"/>
  <c r="AH138"/>
  <c r="AH134"/>
  <c r="R57"/>
  <c r="AV57"/>
  <c r="AH144"/>
  <c r="AM142"/>
  <c r="BJ141"/>
  <c r="AM137"/>
  <c r="T137"/>
  <c r="AM133"/>
  <c r="T133"/>
  <c r="AH131"/>
  <c r="AM130"/>
  <c r="Y67"/>
  <c r="AE67"/>
  <c r="G71"/>
  <c r="BO71"/>
  <c r="AH139"/>
  <c r="AH135"/>
  <c r="BJ139"/>
  <c r="BJ137"/>
  <c r="AH137"/>
  <c r="BJ135"/>
  <c r="BJ133"/>
  <c r="AH133"/>
  <c r="T145"/>
  <c r="BJ132"/>
  <c r="BJ129"/>
  <c r="BC64"/>
  <c r="BH64" s="1"/>
  <c r="AM145"/>
  <c r="BJ140"/>
  <c r="T139"/>
  <c r="BJ136"/>
  <c r="T135"/>
  <c r="CQ132"/>
  <c r="AH132"/>
  <c r="AH129"/>
  <c r="AM128"/>
  <c r="G60"/>
  <c r="Q64"/>
  <c r="AV64"/>
  <c r="BJ145"/>
  <c r="AH145"/>
  <c r="BJ144"/>
  <c r="AH140"/>
  <c r="AM139"/>
  <c r="AH136"/>
  <c r="AM135"/>
  <c r="BJ131"/>
  <c r="T130"/>
  <c r="BJ128"/>
  <c r="AH128"/>
  <c r="CQ144"/>
  <c r="P144"/>
  <c r="AM143"/>
  <c r="CQ140"/>
  <c r="P140"/>
  <c r="CQ138"/>
  <c r="P138"/>
  <c r="CQ136"/>
  <c r="P136"/>
  <c r="CQ134"/>
  <c r="P134"/>
  <c r="CQ131"/>
  <c r="P131"/>
  <c r="CQ129"/>
  <c r="P129"/>
  <c r="Y59"/>
  <c r="AE59"/>
  <c r="DN60"/>
  <c r="Y61"/>
  <c r="AE61"/>
  <c r="DN65"/>
  <c r="T144"/>
  <c r="BJ143"/>
  <c r="AH143"/>
  <c r="T140"/>
  <c r="T138"/>
  <c r="T136"/>
  <c r="T134"/>
  <c r="T131"/>
  <c r="T129"/>
  <c r="Q59"/>
  <c r="Y60"/>
  <c r="AE60"/>
  <c r="S61"/>
  <c r="R65"/>
  <c r="AV65"/>
  <c r="CQ145"/>
  <c r="P145"/>
  <c r="AM144"/>
  <c r="CQ143"/>
  <c r="CQ142"/>
  <c r="P142"/>
  <c r="AM141"/>
  <c r="AM140"/>
  <c r="CQ139"/>
  <c r="P139"/>
  <c r="AM138"/>
  <c r="CQ137"/>
  <c r="P137"/>
  <c r="AM136"/>
  <c r="CQ135"/>
  <c r="P135"/>
  <c r="AM134"/>
  <c r="CQ133"/>
  <c r="P133"/>
  <c r="AM132"/>
  <c r="AM131"/>
  <c r="CQ130"/>
  <c r="P130"/>
  <c r="AM129"/>
  <c r="CQ128"/>
  <c r="T143"/>
  <c r="P143"/>
  <c r="T141"/>
  <c r="P141"/>
  <c r="T132"/>
  <c r="P132"/>
  <c r="BO145"/>
  <c r="AV145"/>
  <c r="AE145"/>
  <c r="Q145"/>
  <c r="CT144"/>
  <c r="Y144"/>
  <c r="G144"/>
  <c r="BO143"/>
  <c r="AV143"/>
  <c r="AE143"/>
  <c r="Q143"/>
  <c r="CT142"/>
  <c r="Y142"/>
  <c r="G142"/>
  <c r="Y141"/>
  <c r="G141"/>
  <c r="BO140"/>
  <c r="AV140"/>
  <c r="AE140"/>
  <c r="Q140"/>
  <c r="CT139"/>
  <c r="BO139"/>
  <c r="AV139"/>
  <c r="AE139"/>
  <c r="Q139"/>
  <c r="CT138"/>
  <c r="Y138"/>
  <c r="G138"/>
  <c r="BO137"/>
  <c r="AV137"/>
  <c r="AE137"/>
  <c r="Q137"/>
  <c r="CT136"/>
  <c r="Y136"/>
  <c r="G136"/>
  <c r="CT135"/>
  <c r="BO135"/>
  <c r="AV135"/>
  <c r="AE135"/>
  <c r="Y135"/>
  <c r="Q135"/>
  <c r="G135"/>
  <c r="BO134"/>
  <c r="AV134"/>
  <c r="AE134"/>
  <c r="Y134"/>
  <c r="Q134"/>
  <c r="G134"/>
  <c r="CT133"/>
  <c r="BO133"/>
  <c r="AV133"/>
  <c r="AE133"/>
  <c r="Y133"/>
  <c r="Q133"/>
  <c r="G133"/>
  <c r="CT132"/>
  <c r="BO132"/>
  <c r="AV132"/>
  <c r="AE132"/>
  <c r="Y132"/>
  <c r="Q132"/>
  <c r="G132"/>
  <c r="CT131"/>
  <c r="BO131"/>
  <c r="AV131"/>
  <c r="AE131"/>
  <c r="Y131"/>
  <c r="Q131"/>
  <c r="G131"/>
  <c r="CT130"/>
  <c r="BO130"/>
  <c r="AV130"/>
  <c r="AE130"/>
  <c r="Y130"/>
  <c r="Q130"/>
  <c r="G130"/>
  <c r="CT129"/>
  <c r="BO129"/>
  <c r="AV129"/>
  <c r="AE129"/>
  <c r="Y129"/>
  <c r="Q129"/>
  <c r="G129"/>
  <c r="CT128"/>
  <c r="BO128"/>
  <c r="AV128"/>
  <c r="AE128"/>
  <c r="Y128"/>
  <c r="Q128"/>
  <c r="G128"/>
  <c r="DB145"/>
  <c r="CJ145"/>
  <c r="BC145"/>
  <c r="BH145" s="1"/>
  <c r="R145"/>
  <c r="DB144"/>
  <c r="CJ144"/>
  <c r="BC144"/>
  <c r="BH144" s="1"/>
  <c r="R144"/>
  <c r="DB143"/>
  <c r="CJ143"/>
  <c r="BC143"/>
  <c r="BH143" s="1"/>
  <c r="R143"/>
  <c r="DB142"/>
  <c r="CJ142"/>
  <c r="BC142"/>
  <c r="BH142" s="1"/>
  <c r="R142"/>
  <c r="DB141"/>
  <c r="CJ141"/>
  <c r="BC141"/>
  <c r="BH141" s="1"/>
  <c r="R141"/>
  <c r="DB140"/>
  <c r="CJ140"/>
  <c r="BC140"/>
  <c r="BH140" s="1"/>
  <c r="R140"/>
  <c r="DB139"/>
  <c r="CJ139"/>
  <c r="BC139"/>
  <c r="BH139" s="1"/>
  <c r="R139"/>
  <c r="DB138"/>
  <c r="CJ138"/>
  <c r="BC138"/>
  <c r="BH138" s="1"/>
  <c r="R138"/>
  <c r="DB137"/>
  <c r="CJ137"/>
  <c r="BC137"/>
  <c r="BH137" s="1"/>
  <c r="R137"/>
  <c r="DB136"/>
  <c r="CJ136"/>
  <c r="BC136"/>
  <c r="BH136" s="1"/>
  <c r="R136"/>
  <c r="DB135"/>
  <c r="CJ135"/>
  <c r="BC135"/>
  <c r="BH135" s="1"/>
  <c r="R135"/>
  <c r="DB134"/>
  <c r="CJ134"/>
  <c r="BC134"/>
  <c r="BH134" s="1"/>
  <c r="R134"/>
  <c r="DB133"/>
  <c r="CJ133"/>
  <c r="BC133"/>
  <c r="BH133" s="1"/>
  <c r="R133"/>
  <c r="DB132"/>
  <c r="CJ132"/>
  <c r="BC132"/>
  <c r="BH132" s="1"/>
  <c r="R132"/>
  <c r="DB131"/>
  <c r="CJ131"/>
  <c r="BC131"/>
  <c r="BH131" s="1"/>
  <c r="R131"/>
  <c r="DB130"/>
  <c r="CJ130"/>
  <c r="BC130"/>
  <c r="BH130" s="1"/>
  <c r="R130"/>
  <c r="DB129"/>
  <c r="CJ129"/>
  <c r="BC129"/>
  <c r="BH129" s="1"/>
  <c r="R129"/>
  <c r="DB128"/>
  <c r="CJ128"/>
  <c r="BC128"/>
  <c r="BH128" s="1"/>
  <c r="R128"/>
  <c r="T128"/>
  <c r="P128"/>
  <c r="CT145"/>
  <c r="Y145"/>
  <c r="G145"/>
  <c r="BO144"/>
  <c r="AV144"/>
  <c r="AE144"/>
  <c r="Q144"/>
  <c r="CT143"/>
  <c r="Y143"/>
  <c r="G143"/>
  <c r="BO142"/>
  <c r="AV142"/>
  <c r="AE142"/>
  <c r="Q142"/>
  <c r="CT141"/>
  <c r="BO141"/>
  <c r="AV141"/>
  <c r="AE141"/>
  <c r="Q141"/>
  <c r="CT140"/>
  <c r="Y140"/>
  <c r="G140"/>
  <c r="Y139"/>
  <c r="G139"/>
  <c r="BO138"/>
  <c r="AV138"/>
  <c r="AE138"/>
  <c r="Q138"/>
  <c r="CT137"/>
  <c r="Y137"/>
  <c r="G137"/>
  <c r="BO136"/>
  <c r="AV136"/>
  <c r="AE136"/>
  <c r="Q136"/>
  <c r="CT134"/>
  <c r="DN145"/>
  <c r="CO145"/>
  <c r="AL145"/>
  <c r="S145"/>
  <c r="DN144"/>
  <c r="CO144"/>
  <c r="AL144"/>
  <c r="S144"/>
  <c r="DN143"/>
  <c r="CO143"/>
  <c r="AL143"/>
  <c r="S143"/>
  <c r="DN142"/>
  <c r="CO142"/>
  <c r="AL142"/>
  <c r="S142"/>
  <c r="DN141"/>
  <c r="CO141"/>
  <c r="AL141"/>
  <c r="S141"/>
  <c r="DN140"/>
  <c r="CO140"/>
  <c r="AL140"/>
  <c r="S140"/>
  <c r="DN139"/>
  <c r="CO139"/>
  <c r="AL139"/>
  <c r="S139"/>
  <c r="DN138"/>
  <c r="CO138"/>
  <c r="AL138"/>
  <c r="S138"/>
  <c r="DN137"/>
  <c r="CO137"/>
  <c r="AL137"/>
  <c r="S137"/>
  <c r="DN136"/>
  <c r="CO136"/>
  <c r="AL136"/>
  <c r="S136"/>
  <c r="DN135"/>
  <c r="CO135"/>
  <c r="AL135"/>
  <c r="S135"/>
  <c r="DN134"/>
  <c r="CO134"/>
  <c r="AL134"/>
  <c r="S134"/>
  <c r="DN133"/>
  <c r="CO133"/>
  <c r="AL133"/>
  <c r="S133"/>
  <c r="DN132"/>
  <c r="CO132"/>
  <c r="AL132"/>
  <c r="S132"/>
  <c r="DN131"/>
  <c r="CO131"/>
  <c r="AL131"/>
  <c r="S131"/>
  <c r="DN130"/>
  <c r="CO130"/>
  <c r="AL130"/>
  <c r="S130"/>
  <c r="DN129"/>
  <c r="CO129"/>
  <c r="AL129"/>
  <c r="S129"/>
  <c r="DN128"/>
  <c r="CO128"/>
  <c r="AL128"/>
  <c r="S128"/>
  <c r="Y68"/>
  <c r="AE68"/>
  <c r="S69"/>
  <c r="DN68"/>
  <c r="G65"/>
  <c r="Q67"/>
  <c r="R68"/>
  <c r="L69"/>
  <c r="DN57"/>
  <c r="BC61"/>
  <c r="BH61" s="1"/>
  <c r="G68"/>
  <c r="BC69"/>
  <c r="BH69" s="1"/>
  <c r="AL57"/>
  <c r="BO60"/>
  <c r="Q65"/>
  <c r="AL65"/>
  <c r="BO65"/>
  <c r="BO68"/>
  <c r="AV71"/>
  <c r="L57"/>
  <c r="Y57"/>
  <c r="AE57"/>
  <c r="G59"/>
  <c r="BO59"/>
  <c r="Q60"/>
  <c r="BC60"/>
  <c r="BH60" s="1"/>
  <c r="G61"/>
  <c r="R61"/>
  <c r="AV61"/>
  <c r="DN61"/>
  <c r="Y63"/>
  <c r="AE63"/>
  <c r="G64"/>
  <c r="Y64"/>
  <c r="AE64"/>
  <c r="DN64"/>
  <c r="L65"/>
  <c r="Y65"/>
  <c r="AE65"/>
  <c r="G67"/>
  <c r="BO67"/>
  <c r="Q68"/>
  <c r="BC68"/>
  <c r="BH68" s="1"/>
  <c r="G69"/>
  <c r="R69"/>
  <c r="AV69"/>
  <c r="DN69"/>
  <c r="Y71"/>
  <c r="AE71"/>
  <c r="Q57"/>
  <c r="BO57"/>
  <c r="R60"/>
  <c r="AV63"/>
  <c r="S57"/>
  <c r="BC57"/>
  <c r="BH57" s="1"/>
  <c r="AV59"/>
  <c r="AV60"/>
  <c r="Q61"/>
  <c r="AL61"/>
  <c r="BO61"/>
  <c r="Q63"/>
  <c r="R64"/>
  <c r="BO64"/>
  <c r="S65"/>
  <c r="BC65"/>
  <c r="BH65" s="1"/>
  <c r="AV67"/>
  <c r="AV68"/>
  <c r="Q69"/>
  <c r="AL69"/>
  <c r="BO69"/>
  <c r="Q71"/>
  <c r="BJ58"/>
  <c r="AM66"/>
  <c r="P70"/>
  <c r="T70"/>
  <c r="BJ70"/>
  <c r="L58"/>
  <c r="AM59"/>
  <c r="BJ59"/>
  <c r="L62"/>
  <c r="AM63"/>
  <c r="BJ63"/>
  <c r="AH67"/>
  <c r="BJ67"/>
  <c r="S70"/>
  <c r="AH71"/>
  <c r="BJ71"/>
  <c r="P57"/>
  <c r="T57"/>
  <c r="AH57"/>
  <c r="AM57"/>
  <c r="G58"/>
  <c r="Q58"/>
  <c r="Y58"/>
  <c r="AE58"/>
  <c r="AV58"/>
  <c r="BO58"/>
  <c r="R59"/>
  <c r="BC59"/>
  <c r="BH59" s="1"/>
  <c r="DN59"/>
  <c r="L60"/>
  <c r="S60"/>
  <c r="AL60"/>
  <c r="P61"/>
  <c r="T61"/>
  <c r="AH61"/>
  <c r="AM61"/>
  <c r="G62"/>
  <c r="Q62"/>
  <c r="Y62"/>
  <c r="AE62"/>
  <c r="AV62"/>
  <c r="BO62"/>
  <c r="R63"/>
  <c r="BC63"/>
  <c r="BH63" s="1"/>
  <c r="DN63"/>
  <c r="L64"/>
  <c r="S64"/>
  <c r="AL64"/>
  <c r="P65"/>
  <c r="T65"/>
  <c r="AH65"/>
  <c r="AM65"/>
  <c r="G66"/>
  <c r="Q66"/>
  <c r="Y66"/>
  <c r="AE66"/>
  <c r="AV66"/>
  <c r="BO66"/>
  <c r="R67"/>
  <c r="BC67"/>
  <c r="BH67" s="1"/>
  <c r="DN67"/>
  <c r="L68"/>
  <c r="S68"/>
  <c r="AL68"/>
  <c r="P69"/>
  <c r="T69"/>
  <c r="AH69"/>
  <c r="AM69"/>
  <c r="G70"/>
  <c r="Q70"/>
  <c r="Y70"/>
  <c r="AE70"/>
  <c r="AV70"/>
  <c r="BO70"/>
  <c r="R71"/>
  <c r="BC71"/>
  <c r="BH71" s="1"/>
  <c r="DN71"/>
  <c r="P58"/>
  <c r="T58"/>
  <c r="AH58"/>
  <c r="AM58"/>
  <c r="P62"/>
  <c r="T62"/>
  <c r="AH62"/>
  <c r="AM62"/>
  <c r="BJ62"/>
  <c r="P66"/>
  <c r="T66"/>
  <c r="AH66"/>
  <c r="BJ66"/>
  <c r="AH70"/>
  <c r="AM70"/>
  <c r="S58"/>
  <c r="AL58"/>
  <c r="P59"/>
  <c r="T59"/>
  <c r="AH59"/>
  <c r="S62"/>
  <c r="AL62"/>
  <c r="P63"/>
  <c r="T63"/>
  <c r="AH63"/>
  <c r="L66"/>
  <c r="S66"/>
  <c r="AL66"/>
  <c r="P67"/>
  <c r="T67"/>
  <c r="AM67"/>
  <c r="L70"/>
  <c r="AL70"/>
  <c r="P71"/>
  <c r="T71"/>
  <c r="AM71"/>
  <c r="R58"/>
  <c r="BC58"/>
  <c r="BH58" s="1"/>
  <c r="L59"/>
  <c r="S59"/>
  <c r="P60"/>
  <c r="T60"/>
  <c r="AH60"/>
  <c r="AM60"/>
  <c r="R62"/>
  <c r="BC62"/>
  <c r="BH62" s="1"/>
  <c r="L63"/>
  <c r="S63"/>
  <c r="P64"/>
  <c r="T64"/>
  <c r="AH64"/>
  <c r="AM64"/>
  <c r="R66"/>
  <c r="BC66"/>
  <c r="BH66" s="1"/>
  <c r="L67"/>
  <c r="S67"/>
  <c r="P68"/>
  <c r="T68"/>
  <c r="AH68"/>
  <c r="AM68"/>
  <c r="R70"/>
  <c r="BC70"/>
  <c r="BH70" s="1"/>
  <c r="L71"/>
  <c r="S71"/>
  <c r="BO238"/>
  <c r="AL56"/>
  <c r="BC247"/>
  <c r="Y239"/>
  <c r="T238"/>
  <c r="Y238"/>
  <c r="T247"/>
  <c r="BO239"/>
  <c r="AM238"/>
  <c r="DN122"/>
  <c r="AH120"/>
  <c r="BJ118"/>
  <c r="AV247"/>
  <c r="I247" s="1"/>
  <c r="CO120"/>
  <c r="BO118"/>
  <c r="BJ239"/>
  <c r="T239"/>
  <c r="AH150"/>
  <c r="P150"/>
  <c r="Y235"/>
  <c r="BJ150"/>
  <c r="Q150"/>
  <c r="BO126"/>
  <c r="T118"/>
  <c r="DB150"/>
  <c r="BO231"/>
  <c r="BC150"/>
  <c r="BH150" s="1"/>
  <c r="BJ126"/>
  <c r="BO235"/>
  <c r="CQ150"/>
  <c r="Y150"/>
  <c r="Y118"/>
  <c r="CQ116"/>
  <c r="AM237"/>
  <c r="AL235"/>
  <c r="P235"/>
  <c r="T234"/>
  <c r="T231"/>
  <c r="S122"/>
  <c r="CQ239"/>
  <c r="AL239"/>
  <c r="P239"/>
  <c r="Y236"/>
  <c r="AM235"/>
  <c r="Q235"/>
  <c r="CO234"/>
  <c r="Y231"/>
  <c r="CT125"/>
  <c r="AM123"/>
  <c r="AL122"/>
  <c r="CQ120"/>
  <c r="Q120"/>
  <c r="DB117"/>
  <c r="R247"/>
  <c r="CT239"/>
  <c r="AM239"/>
  <c r="Q239"/>
  <c r="BJ238"/>
  <c r="Q238"/>
  <c r="BO236"/>
  <c r="BJ235"/>
  <c r="T235"/>
  <c r="CT234"/>
  <c r="DB233"/>
  <c r="BJ231"/>
  <c r="CT230"/>
  <c r="AV123"/>
  <c r="BO122"/>
  <c r="Y120"/>
  <c r="BC116"/>
  <c r="BH116" s="1"/>
  <c r="Y240"/>
  <c r="P236"/>
  <c r="AH234"/>
  <c r="CO122"/>
  <c r="AE247"/>
  <c r="DB239"/>
  <c r="AV239"/>
  <c r="I239" s="1"/>
  <c r="R239"/>
  <c r="G239"/>
  <c r="Q237"/>
  <c r="AM236"/>
  <c r="Q236"/>
  <c r="DN234"/>
  <c r="AV234"/>
  <c r="I234" s="1"/>
  <c r="P234"/>
  <c r="AH233"/>
  <c r="CQ231"/>
  <c r="AL231"/>
  <c r="P231"/>
  <c r="AE230"/>
  <c r="T126"/>
  <c r="DN124"/>
  <c r="CQ123"/>
  <c r="Q123"/>
  <c r="CQ122"/>
  <c r="BC122"/>
  <c r="BH122" s="1"/>
  <c r="Y122"/>
  <c r="P122"/>
  <c r="AH121"/>
  <c r="CQ119"/>
  <c r="CQ118"/>
  <c r="AL118"/>
  <c r="P118"/>
  <c r="BO237"/>
  <c r="AL236"/>
  <c r="BC124"/>
  <c r="BH124" s="1"/>
  <c r="AM122"/>
  <c r="T122"/>
  <c r="L122"/>
  <c r="AE119"/>
  <c r="BH247"/>
  <c r="L247"/>
  <c r="AE240"/>
  <c r="CJ239"/>
  <c r="AE239"/>
  <c r="AH247"/>
  <c r="P247"/>
  <c r="CO240"/>
  <c r="DN239"/>
  <c r="CO239"/>
  <c r="BC239"/>
  <c r="BH239" s="1"/>
  <c r="AH239"/>
  <c r="S239"/>
  <c r="Y237"/>
  <c r="BJ236"/>
  <c r="T236"/>
  <c r="BC234"/>
  <c r="BH234" s="1"/>
  <c r="R234"/>
  <c r="BJ233"/>
  <c r="CT231"/>
  <c r="AM231"/>
  <c r="Q231"/>
  <c r="AH230"/>
  <c r="Y126"/>
  <c r="CT123"/>
  <c r="T123"/>
  <c r="CT122"/>
  <c r="BJ122"/>
  <c r="AH122"/>
  <c r="Q122"/>
  <c r="CT121"/>
  <c r="CT118"/>
  <c r="AM118"/>
  <c r="Q118"/>
  <c r="AH117"/>
  <c r="T116"/>
  <c r="AH246"/>
  <c r="DN237"/>
  <c r="AE237"/>
  <c r="R237"/>
  <c r="G237"/>
  <c r="DN119"/>
  <c r="AM119"/>
  <c r="P119"/>
  <c r="BC117"/>
  <c r="BH117" s="1"/>
  <c r="P117"/>
  <c r="Q32"/>
  <c r="CQ246"/>
  <c r="AH237"/>
  <c r="S237"/>
  <c r="L237"/>
  <c r="DN235"/>
  <c r="AE235"/>
  <c r="R235"/>
  <c r="G235"/>
  <c r="CQ240"/>
  <c r="Q240"/>
  <c r="AL238"/>
  <c r="P238"/>
  <c r="BJ237"/>
  <c r="AL237"/>
  <c r="T237"/>
  <c r="P237"/>
  <c r="BC235"/>
  <c r="BH235" s="1"/>
  <c r="AH235"/>
  <c r="S235"/>
  <c r="L235"/>
  <c r="CT126"/>
  <c r="AM126"/>
  <c r="Q126"/>
  <c r="AE125"/>
  <c r="T124"/>
  <c r="CO123"/>
  <c r="AE123"/>
  <c r="P123"/>
  <c r="DB122"/>
  <c r="CJ122"/>
  <c r="AV122"/>
  <c r="AE122"/>
  <c r="R122"/>
  <c r="BC120"/>
  <c r="BH120" s="1"/>
  <c r="CO119"/>
  <c r="T119"/>
  <c r="DN118"/>
  <c r="CO118"/>
  <c r="BC118"/>
  <c r="BH118" s="1"/>
  <c r="AH118"/>
  <c r="S118"/>
  <c r="L118"/>
  <c r="CT117"/>
  <c r="AE117"/>
  <c r="DB116"/>
  <c r="T56"/>
  <c r="AL32"/>
  <c r="AV237"/>
  <c r="I237" s="1"/>
  <c r="CQ126"/>
  <c r="AL126"/>
  <c r="P126"/>
  <c r="BJ123"/>
  <c r="Y123"/>
  <c r="AV119"/>
  <c r="Q119"/>
  <c r="DB118"/>
  <c r="CJ118"/>
  <c r="AV118"/>
  <c r="AE118"/>
  <c r="R118"/>
  <c r="BO117"/>
  <c r="R117"/>
  <c r="Q56"/>
  <c r="T32"/>
  <c r="Q233"/>
  <c r="DN233"/>
  <c r="S233"/>
  <c r="Q127"/>
  <c r="AH125"/>
  <c r="CJ124"/>
  <c r="Y124"/>
  <c r="L124"/>
  <c r="AE238"/>
  <c r="DN236"/>
  <c r="AE236"/>
  <c r="R236"/>
  <c r="G236"/>
  <c r="AM233"/>
  <c r="AE232"/>
  <c r="CJ231"/>
  <c r="AE231"/>
  <c r="G231"/>
  <c r="BC230"/>
  <c r="BH230" s="1"/>
  <c r="DN150"/>
  <c r="CJ150"/>
  <c r="AL150"/>
  <c r="S150"/>
  <c r="G150"/>
  <c r="AE127"/>
  <c r="DB126"/>
  <c r="CJ126"/>
  <c r="AV126"/>
  <c r="AE126"/>
  <c r="R126"/>
  <c r="G126"/>
  <c r="BC125"/>
  <c r="BH125" s="1"/>
  <c r="P125"/>
  <c r="CO124"/>
  <c r="AH124"/>
  <c r="P124"/>
  <c r="DN117"/>
  <c r="CJ117"/>
  <c r="AL117"/>
  <c r="S117"/>
  <c r="CJ233"/>
  <c r="AL233"/>
  <c r="G233"/>
  <c r="Q232"/>
  <c r="DN238"/>
  <c r="AV238"/>
  <c r="I238" s="1"/>
  <c r="R238"/>
  <c r="G238"/>
  <c r="AV236"/>
  <c r="I236" s="1"/>
  <c r="CO233"/>
  <c r="T233"/>
  <c r="L233"/>
  <c r="DB231"/>
  <c r="AV231"/>
  <c r="I231" s="1"/>
  <c r="R231"/>
  <c r="P230"/>
  <c r="BO247"/>
  <c r="AL247"/>
  <c r="AV240"/>
  <c r="I240" s="1"/>
  <c r="BC238"/>
  <c r="BH238" s="1"/>
  <c r="AH238"/>
  <c r="S238"/>
  <c r="BC236"/>
  <c r="BH236" s="1"/>
  <c r="AH236"/>
  <c r="S236"/>
  <c r="CJ234"/>
  <c r="AE234"/>
  <c r="CQ233"/>
  <c r="BC233"/>
  <c r="BH233" s="1"/>
  <c r="Y233"/>
  <c r="DN231"/>
  <c r="CO231"/>
  <c r="BC231"/>
  <c r="BH231" s="1"/>
  <c r="AH231"/>
  <c r="S231"/>
  <c r="CO230"/>
  <c r="CO150"/>
  <c r="AM150"/>
  <c r="T150"/>
  <c r="DN126"/>
  <c r="CO126"/>
  <c r="BC126"/>
  <c r="BH126" s="1"/>
  <c r="AH126"/>
  <c r="S126"/>
  <c r="CO125"/>
  <c r="CQ124"/>
  <c r="AM124"/>
  <c r="DN123"/>
  <c r="BO123"/>
  <c r="AL123"/>
  <c r="R123"/>
  <c r="BO119"/>
  <c r="CO117"/>
  <c r="AV117"/>
  <c r="T117"/>
  <c r="AM56"/>
  <c r="AM32"/>
  <c r="R246"/>
  <c r="AE246"/>
  <c r="AV246"/>
  <c r="I246" s="1"/>
  <c r="BO246"/>
  <c r="CT246"/>
  <c r="L232"/>
  <c r="S232"/>
  <c r="AH232"/>
  <c r="BC232"/>
  <c r="BH232" s="1"/>
  <c r="CJ232"/>
  <c r="DB232"/>
  <c r="L127"/>
  <c r="S127"/>
  <c r="AH127"/>
  <c r="BC127"/>
  <c r="BH127" s="1"/>
  <c r="CJ127"/>
  <c r="DB127"/>
  <c r="G121"/>
  <c r="Q121"/>
  <c r="Y121"/>
  <c r="AM121"/>
  <c r="BJ121"/>
  <c r="CQ121"/>
  <c r="L240"/>
  <c r="S240"/>
  <c r="AH240"/>
  <c r="BC240"/>
  <c r="BH240" s="1"/>
  <c r="CJ240"/>
  <c r="DB240"/>
  <c r="G230"/>
  <c r="Q230"/>
  <c r="Y230"/>
  <c r="AM230"/>
  <c r="BJ230"/>
  <c r="CQ230"/>
  <c r="G125"/>
  <c r="Q125"/>
  <c r="Y125"/>
  <c r="AM125"/>
  <c r="BJ125"/>
  <c r="CQ125"/>
  <c r="R120"/>
  <c r="AE120"/>
  <c r="AV120"/>
  <c r="BO120"/>
  <c r="CT120"/>
  <c r="R116"/>
  <c r="AE116"/>
  <c r="AV116"/>
  <c r="BO116"/>
  <c r="CT116"/>
  <c r="G116"/>
  <c r="Q116"/>
  <c r="Y116"/>
  <c r="AM116"/>
  <c r="BJ116"/>
  <c r="G234"/>
  <c r="Q234"/>
  <c r="Y234"/>
  <c r="AM234"/>
  <c r="BJ234"/>
  <c r="CQ234"/>
  <c r="R124"/>
  <c r="AE124"/>
  <c r="AV124"/>
  <c r="BO124"/>
  <c r="CT124"/>
  <c r="L119"/>
  <c r="S119"/>
  <c r="AH119"/>
  <c r="BC119"/>
  <c r="BH119" s="1"/>
  <c r="CJ119"/>
  <c r="DB119"/>
  <c r="L56"/>
  <c r="S56"/>
  <c r="AH56"/>
  <c r="BC56"/>
  <c r="BH56" s="1"/>
  <c r="DN56"/>
  <c r="R56"/>
  <c r="AE56"/>
  <c r="AV56"/>
  <c r="BO56"/>
  <c r="L32"/>
  <c r="S32"/>
  <c r="AH32"/>
  <c r="BC32"/>
  <c r="BH32" s="1"/>
  <c r="DN32"/>
  <c r="R32"/>
  <c r="AE32"/>
  <c r="AV32"/>
  <c r="BO32"/>
  <c r="G247"/>
  <c r="Q247"/>
  <c r="Y247"/>
  <c r="AM247"/>
  <c r="BJ247"/>
  <c r="R233"/>
  <c r="AE233"/>
  <c r="AV233"/>
  <c r="I233" s="1"/>
  <c r="BO233"/>
  <c r="CT233"/>
  <c r="R150"/>
  <c r="AE150"/>
  <c r="AV150"/>
  <c r="BO150"/>
  <c r="CT150"/>
  <c r="L123"/>
  <c r="S123"/>
  <c r="AH123"/>
  <c r="BC123"/>
  <c r="BH123" s="1"/>
  <c r="CJ123"/>
  <c r="DB123"/>
  <c r="G117"/>
  <c r="Q117"/>
  <c r="Y117"/>
  <c r="AM117"/>
  <c r="BJ117"/>
  <c r="CQ117"/>
  <c r="DB246"/>
  <c r="BJ246"/>
  <c r="AL246"/>
  <c r="S246"/>
  <c r="G246"/>
  <c r="CT232"/>
  <c r="BJ232"/>
  <c r="AL232"/>
  <c r="R232"/>
  <c r="G232"/>
  <c r="CT127"/>
  <c r="BJ127"/>
  <c r="AL127"/>
  <c r="R127"/>
  <c r="G127"/>
  <c r="DB121"/>
  <c r="BO121"/>
  <c r="AL121"/>
  <c r="S121"/>
  <c r="DN246"/>
  <c r="CJ246"/>
  <c r="AM246"/>
  <c r="T246"/>
  <c r="L246"/>
  <c r="CT240"/>
  <c r="BJ240"/>
  <c r="AL240"/>
  <c r="R240"/>
  <c r="G240"/>
  <c r="DN232"/>
  <c r="BO232"/>
  <c r="AM232"/>
  <c r="T232"/>
  <c r="DB230"/>
  <c r="BO230"/>
  <c r="AL230"/>
  <c r="S230"/>
  <c r="DN127"/>
  <c r="BO127"/>
  <c r="AM127"/>
  <c r="T127"/>
  <c r="DB125"/>
  <c r="BO125"/>
  <c r="AL125"/>
  <c r="S125"/>
  <c r="DN121"/>
  <c r="CJ121"/>
  <c r="AV121"/>
  <c r="T121"/>
  <c r="L121"/>
  <c r="DB120"/>
  <c r="BJ120"/>
  <c r="AL120"/>
  <c r="S120"/>
  <c r="G120"/>
  <c r="DN116"/>
  <c r="CJ116"/>
  <c r="AH116"/>
  <c r="L116"/>
  <c r="CO246"/>
  <c r="BC246"/>
  <c r="BH246" s="1"/>
  <c r="Y246"/>
  <c r="P246"/>
  <c r="DN240"/>
  <c r="BO240"/>
  <c r="AM240"/>
  <c r="T240"/>
  <c r="DB234"/>
  <c r="BO234"/>
  <c r="AL234"/>
  <c r="S234"/>
  <c r="CO232"/>
  <c r="AV232"/>
  <c r="I232" s="1"/>
  <c r="Y232"/>
  <c r="P232"/>
  <c r="DN230"/>
  <c r="CJ230"/>
  <c r="AV230"/>
  <c r="I230" s="1"/>
  <c r="T230"/>
  <c r="L230"/>
  <c r="CO127"/>
  <c r="AV127"/>
  <c r="Y127"/>
  <c r="P127"/>
  <c r="DN125"/>
  <c r="CJ125"/>
  <c r="AV125"/>
  <c r="T125"/>
  <c r="L125"/>
  <c r="DB124"/>
  <c r="BJ124"/>
  <c r="AL124"/>
  <c r="S124"/>
  <c r="G124"/>
  <c r="CO121"/>
  <c r="BC121"/>
  <c r="BH121" s="1"/>
  <c r="AE121"/>
  <c r="P121"/>
  <c r="DN120"/>
  <c r="CJ120"/>
  <c r="AM120"/>
  <c r="T120"/>
  <c r="L120"/>
  <c r="CT119"/>
  <c r="BJ119"/>
  <c r="AL119"/>
  <c r="R119"/>
  <c r="G119"/>
  <c r="CO116"/>
  <c r="AL116"/>
  <c r="P116"/>
  <c r="BJ56"/>
  <c r="Y56"/>
  <c r="G56"/>
  <c r="BJ32"/>
  <c r="Y32"/>
  <c r="G32"/>
  <c r="H61" i="44"/>
  <c r="J11" i="43"/>
  <c r="K49" i="42"/>
  <c r="H15" i="45"/>
  <c r="G9" i="44"/>
  <c r="F35"/>
  <c r="H5" i="41"/>
  <c r="M13" i="35"/>
  <c r="G13"/>
  <c r="V7"/>
  <c r="F49"/>
  <c r="G9" i="46"/>
  <c r="W7" i="42"/>
  <c r="H5" i="44"/>
  <c r="F5"/>
  <c r="G65" i="41"/>
  <c r="P91"/>
  <c r="I15" i="42"/>
  <c r="I69" i="35"/>
  <c r="I11"/>
  <c r="G35" i="46"/>
  <c r="O33" i="41"/>
  <c r="N9" i="35"/>
  <c r="J13" i="43"/>
  <c r="F87" i="45"/>
  <c r="F5"/>
  <c r="N33" i="44"/>
  <c r="L13" i="46"/>
  <c r="L25" i="43"/>
  <c r="L33" i="44"/>
  <c r="G35"/>
  <c r="L17" i="43"/>
  <c r="L11"/>
  <c r="N83" i="45"/>
  <c r="K9" i="44"/>
  <c r="M5" i="46"/>
  <c r="K13" i="45"/>
  <c r="N7" i="35"/>
  <c r="I91" i="41"/>
  <c r="V59" i="45"/>
  <c r="G53"/>
  <c r="N9" i="41"/>
  <c r="F9" i="46"/>
  <c r="P7" i="45"/>
  <c r="J11"/>
  <c r="N57" i="44"/>
  <c r="O7" i="41"/>
  <c r="Q7" i="46"/>
  <c r="G25" i="35"/>
  <c r="G11"/>
  <c r="L13" i="42"/>
  <c r="O27" i="35"/>
  <c r="K5" i="41"/>
  <c r="J9" i="35"/>
  <c r="M5" i="45"/>
  <c r="BB63" i="41"/>
  <c r="F11" i="35"/>
  <c r="M11"/>
  <c r="M33" i="46"/>
  <c r="N5" i="42"/>
  <c r="G61" i="45"/>
  <c r="G15" i="35"/>
  <c r="I9" i="44"/>
  <c r="H11" i="41"/>
  <c r="N7" i="44"/>
  <c r="F11" i="46"/>
  <c r="N5" i="35"/>
  <c r="F9" i="45"/>
  <c r="O87"/>
  <c r="N13" i="35"/>
  <c r="J61" i="46"/>
  <c r="N13" i="43"/>
  <c r="L13" i="35"/>
  <c r="M13" i="41"/>
  <c r="I13" i="43"/>
  <c r="J7" i="41"/>
  <c r="O11"/>
  <c r="N11" i="45"/>
  <c r="F13" i="44"/>
  <c r="F45"/>
  <c r="M63" i="46"/>
  <c r="G11" i="45"/>
  <c r="M7" i="43"/>
  <c r="J61" i="44"/>
  <c r="BB59" i="45"/>
  <c r="L7" i="43"/>
  <c r="I87" i="45"/>
  <c r="K13" i="42"/>
  <c r="Q7" i="45"/>
  <c r="G9" i="42"/>
  <c r="O33" i="45"/>
  <c r="J7" i="44"/>
  <c r="G13" i="46"/>
  <c r="H5" i="45"/>
  <c r="U33"/>
  <c r="M11"/>
  <c r="M9" i="41"/>
  <c r="F13" i="46"/>
  <c r="T7" i="43"/>
  <c r="O33" i="44"/>
  <c r="Q33"/>
  <c r="G49" i="35"/>
  <c r="Q7"/>
  <c r="L11" i="44"/>
  <c r="O33" i="46"/>
  <c r="I13" i="41"/>
  <c r="R7" i="42"/>
  <c r="M13" i="43"/>
  <c r="N23" i="35"/>
  <c r="V7" i="41"/>
  <c r="H87" i="45"/>
  <c r="V63" i="41"/>
  <c r="O7" i="42"/>
  <c r="R47" i="35"/>
  <c r="J5" i="45"/>
  <c r="Q7" i="42"/>
  <c r="N9" i="45"/>
  <c r="G31" i="42"/>
  <c r="G7" i="43"/>
  <c r="L5" i="35"/>
  <c r="F41" i="42"/>
  <c r="T7" i="35"/>
  <c r="N7" i="43"/>
  <c r="L9" i="45"/>
  <c r="G11" i="42"/>
  <c r="N13" i="41"/>
  <c r="F15" i="45"/>
  <c r="I11" i="41"/>
  <c r="H13" i="35"/>
  <c r="F9" i="42"/>
  <c r="O7" i="44"/>
  <c r="L5"/>
  <c r="M7" i="45"/>
  <c r="G7" i="41"/>
  <c r="G7" i="42"/>
  <c r="X7" i="41"/>
  <c r="L13"/>
  <c r="O7" i="35"/>
  <c r="I5" i="41"/>
  <c r="M25" i="43"/>
  <c r="M33" i="44"/>
  <c r="X19" i="35"/>
  <c r="I5" i="44"/>
  <c r="W7" i="41"/>
  <c r="S7" i="35"/>
  <c r="N31" i="43"/>
  <c r="H11"/>
  <c r="G13" i="41"/>
  <c r="H7" i="44"/>
  <c r="U7"/>
  <c r="F11"/>
  <c r="W7" i="35"/>
  <c r="G49" i="42"/>
  <c r="Y7" i="35"/>
  <c r="H91" i="41"/>
  <c r="G7" i="44"/>
  <c r="P59" i="45"/>
  <c r="N5" i="41"/>
  <c r="R7" i="46"/>
  <c r="K9" i="43"/>
  <c r="I49" i="35"/>
  <c r="F7" i="43"/>
  <c r="K5" i="35"/>
  <c r="L5" i="45"/>
  <c r="F7" i="41"/>
  <c r="I13" i="44"/>
  <c r="J7" i="45"/>
  <c r="F9" i="35"/>
  <c r="M13" i="44"/>
  <c r="K61"/>
  <c r="V7" i="46"/>
  <c r="H49" i="42"/>
  <c r="M9" i="35"/>
  <c r="M29" i="42"/>
  <c r="G9" i="45"/>
  <c r="J15" i="41"/>
  <c r="F31" i="42"/>
  <c r="N5" i="45"/>
  <c r="O13" i="41"/>
  <c r="J11" i="46"/>
  <c r="F5" i="41"/>
  <c r="R33"/>
  <c r="F11" i="45"/>
  <c r="I11"/>
  <c r="T33"/>
  <c r="P29" i="42"/>
  <c r="Y7" i="41"/>
  <c r="V47" i="35"/>
  <c r="J9" i="45"/>
  <c r="I15"/>
  <c r="K9" i="42"/>
  <c r="F91" i="41"/>
  <c r="P63"/>
  <c r="O13" i="35"/>
  <c r="W7" i="46"/>
  <c r="N11" i="35"/>
  <c r="J7"/>
  <c r="N13" i="46"/>
  <c r="AI19" i="35"/>
  <c r="I15" i="46"/>
  <c r="N25" i="43"/>
  <c r="T7" i="46"/>
  <c r="N7" i="45"/>
  <c r="F49" i="42"/>
  <c r="F9" i="44"/>
  <c r="J5" i="46"/>
  <c r="M13" i="42"/>
  <c r="M7" i="35"/>
  <c r="P7" i="43"/>
  <c r="L7" i="45"/>
  <c r="H9" i="35"/>
  <c r="I11" i="44"/>
  <c r="L5" i="42"/>
  <c r="K9" i="46"/>
  <c r="M5" i="44"/>
  <c r="Y19" i="35"/>
  <c r="N57" i="46"/>
  <c r="M5" i="35"/>
  <c r="S23"/>
  <c r="G35" i="45"/>
  <c r="K13" i="44"/>
  <c r="M5" i="43"/>
  <c r="P69" i="35"/>
  <c r="P47"/>
  <c r="O11"/>
  <c r="K9"/>
  <c r="T7" i="45"/>
  <c r="H7" i="42"/>
  <c r="K13" i="35"/>
  <c r="S7" i="43"/>
  <c r="Q23" i="35"/>
  <c r="O29" i="42"/>
  <c r="F61" i="45"/>
  <c r="H15" i="44"/>
  <c r="I15"/>
  <c r="I13" i="42"/>
  <c r="K7" i="43"/>
  <c r="K13"/>
  <c r="K9" i="45"/>
  <c r="L13"/>
  <c r="K11" i="42"/>
  <c r="T23" i="35"/>
  <c r="J11" i="42"/>
  <c r="P87" i="45"/>
  <c r="I5" i="42"/>
  <c r="O59" i="45"/>
  <c r="K7"/>
  <c r="K91" i="41"/>
  <c r="Y7" i="43"/>
  <c r="O7" i="45"/>
  <c r="G9" i="41"/>
  <c r="Q63"/>
  <c r="F7" i="45"/>
  <c r="N11" i="41"/>
  <c r="AB21" i="35"/>
  <c r="V7" i="43"/>
  <c r="X7" i="35"/>
  <c r="L9"/>
  <c r="J7" i="43"/>
  <c r="F15"/>
  <c r="K7" i="41"/>
  <c r="I13" i="45"/>
  <c r="R23" i="35"/>
  <c r="J13" i="46"/>
  <c r="F13" i="43"/>
  <c r="F25" i="35"/>
  <c r="S33" i="45"/>
  <c r="H9" i="46"/>
  <c r="T7" i="44"/>
  <c r="K5" i="42"/>
  <c r="K11" i="43"/>
  <c r="F35" i="46"/>
  <c r="J9" i="43"/>
  <c r="S7" i="41"/>
  <c r="L17" i="35"/>
  <c r="S33" i="41"/>
  <c r="J13"/>
  <c r="H9" i="45"/>
  <c r="Y7"/>
  <c r="F11" i="42"/>
  <c r="H7" i="43"/>
  <c r="K33"/>
  <c r="F33"/>
  <c r="H13" i="41"/>
  <c r="N7" i="42"/>
  <c r="R7" i="43"/>
  <c r="J7" i="46"/>
  <c r="J13" i="45"/>
  <c r="G13" i="42"/>
  <c r="K7"/>
  <c r="Y7" i="46"/>
  <c r="I5"/>
  <c r="O5" i="42"/>
  <c r="J87" i="45"/>
  <c r="H9" i="42"/>
  <c r="F15" i="41"/>
  <c r="L11" i="35"/>
  <c r="L11" i="45"/>
  <c r="G13" i="44"/>
  <c r="L17" i="41"/>
  <c r="G61" i="44"/>
  <c r="H11" i="42"/>
  <c r="M89" i="45"/>
  <c r="Q33" i="41"/>
  <c r="G57"/>
  <c r="N47" i="35"/>
  <c r="R29" i="42"/>
  <c r="H9" i="44"/>
  <c r="X7" i="45"/>
  <c r="J43" i="35"/>
  <c r="H13" i="44"/>
  <c r="G15"/>
  <c r="X7" i="43"/>
  <c r="G15" i="42"/>
  <c r="J13" i="44"/>
  <c r="K11" i="46"/>
  <c r="W7" i="43"/>
  <c r="G87" i="45"/>
  <c r="J13" i="35"/>
  <c r="R33" i="44"/>
  <c r="J11" i="41"/>
  <c r="U7" i="42"/>
  <c r="Z7" i="45"/>
  <c r="H5" i="35"/>
  <c r="F15" i="42"/>
  <c r="I33" i="43"/>
  <c r="K5" i="46"/>
  <c r="I61"/>
  <c r="N13" i="45"/>
  <c r="N5" i="46"/>
  <c r="K43" i="41"/>
  <c r="K9"/>
  <c r="L87" i="45"/>
  <c r="L7" i="41"/>
  <c r="S29" i="42"/>
  <c r="Q59" i="45"/>
  <c r="P7" i="41"/>
  <c r="H13" i="43"/>
  <c r="S7" i="42"/>
  <c r="F7" i="46"/>
  <c r="G35" i="41"/>
  <c r="K43" i="45"/>
  <c r="U7" i="46"/>
  <c r="L7" i="35"/>
  <c r="F35" i="45"/>
  <c r="H11" i="35"/>
  <c r="J15" i="45"/>
  <c r="L7" i="44"/>
  <c r="O63" i="41"/>
  <c r="G11" i="44"/>
  <c r="H15" i="35"/>
  <c r="L7" i="42"/>
  <c r="H61" i="46"/>
  <c r="H15" i="43"/>
  <c r="I7"/>
  <c r="I15"/>
  <c r="M9" i="45"/>
  <c r="I9" i="43"/>
  <c r="H15" i="42"/>
  <c r="I7" i="45"/>
  <c r="N7" i="46"/>
  <c r="G9" i="43"/>
  <c r="J49" i="42"/>
  <c r="F13" i="41"/>
  <c r="N87"/>
  <c r="G15" i="45"/>
  <c r="K35" i="35"/>
  <c r="K43" i="44"/>
  <c r="I11" i="42"/>
  <c r="Q25" i="43"/>
  <c r="G61" i="46"/>
  <c r="M43" i="35"/>
  <c r="I7" i="46"/>
  <c r="N59" i="45"/>
  <c r="M5" i="41"/>
  <c r="I15"/>
  <c r="I9" i="35"/>
  <c r="J9" i="42"/>
  <c r="L17"/>
  <c r="I61" i="45"/>
  <c r="G11" i="41"/>
  <c r="H65"/>
  <c r="H13" i="46"/>
  <c r="F45"/>
  <c r="F13" i="45"/>
  <c r="G15" i="41"/>
  <c r="M7"/>
  <c r="N7"/>
  <c r="M5" i="42"/>
  <c r="F15" i="35"/>
  <c r="J15"/>
  <c r="N13" i="44"/>
  <c r="F13" i="35"/>
  <c r="G91" i="41"/>
  <c r="Q7"/>
  <c r="M93"/>
  <c r="P43" i="35"/>
  <c r="P33" i="46"/>
  <c r="L5" i="43"/>
  <c r="I9" i="45"/>
  <c r="P7" i="35"/>
  <c r="L11" i="41"/>
  <c r="U7" i="43"/>
  <c r="F61" i="44"/>
  <c r="H7" i="41"/>
  <c r="K13"/>
  <c r="R7" i="35"/>
  <c r="I13"/>
  <c r="L17" i="46"/>
  <c r="G15"/>
  <c r="L13" i="44"/>
  <c r="S43" i="35"/>
  <c r="M11" i="41"/>
  <c r="V7" i="44"/>
  <c r="G7" i="46"/>
  <c r="H15"/>
  <c r="R25" i="43"/>
  <c r="H49" i="35"/>
  <c r="J9" i="46"/>
  <c r="I7" i="35"/>
  <c r="H61" i="45"/>
  <c r="T7" i="42"/>
  <c r="Y7"/>
  <c r="H7" i="45"/>
  <c r="H11"/>
  <c r="J9" i="41"/>
  <c r="K11"/>
  <c r="L13" i="43"/>
  <c r="M33" i="41"/>
  <c r="F5" i="35"/>
  <c r="K7"/>
  <c r="N29" i="42"/>
  <c r="H9" i="43"/>
  <c r="I11" i="46"/>
  <c r="I5" i="43"/>
  <c r="J69" i="35"/>
  <c r="O25" i="43"/>
  <c r="W7" i="44"/>
  <c r="K5" i="45"/>
  <c r="H11" i="44"/>
  <c r="K13" i="46"/>
  <c r="J13" i="42"/>
  <c r="I15" i="35"/>
  <c r="N5" i="43"/>
  <c r="G33"/>
  <c r="L17" i="45"/>
  <c r="L5" i="41"/>
  <c r="L5" i="46"/>
  <c r="P7"/>
  <c r="K5" i="43"/>
  <c r="P23" i="35"/>
  <c r="S33" i="46"/>
  <c r="I9"/>
  <c r="N5" i="44"/>
  <c r="I9" i="42"/>
  <c r="R33" i="45"/>
  <c r="J9" i="44"/>
  <c r="H9" i="41"/>
  <c r="H7" i="35"/>
  <c r="F45" i="45"/>
  <c r="O5" i="43"/>
  <c r="F65" i="41"/>
  <c r="K5" i="44"/>
  <c r="Z7" i="41"/>
  <c r="F5" i="43"/>
  <c r="M13" i="46"/>
  <c r="G13" i="45"/>
  <c r="F7" i="35"/>
  <c r="U7"/>
  <c r="P7" i="44"/>
  <c r="M7" i="46"/>
  <c r="M13" i="45"/>
  <c r="P11" i="35"/>
  <c r="F45" i="41"/>
  <c r="J5" i="43"/>
  <c r="V7" i="42"/>
  <c r="F5" i="46"/>
  <c r="R59" i="45"/>
  <c r="J5" i="42"/>
  <c r="F7" i="44"/>
  <c r="N63" i="41"/>
  <c r="G9" i="35"/>
  <c r="O7" i="46"/>
  <c r="M63" i="44"/>
  <c r="L11" i="46"/>
  <c r="J5" i="35"/>
  <c r="O69"/>
  <c r="K7" i="44"/>
  <c r="G7" i="45"/>
  <c r="H13" i="42"/>
  <c r="P11" i="41"/>
  <c r="G45" i="35"/>
  <c r="I49" i="42"/>
  <c r="L9" i="41"/>
  <c r="F9"/>
  <c r="Q33" i="45"/>
  <c r="I7" i="42"/>
  <c r="Q7" i="43"/>
  <c r="J33"/>
  <c r="X7" i="44"/>
  <c r="L17"/>
  <c r="J91" i="41"/>
  <c r="I9"/>
  <c r="H13" i="45"/>
  <c r="P33" i="41"/>
  <c r="G13" i="43"/>
  <c r="M7" i="42"/>
  <c r="J11" i="35"/>
  <c r="F69"/>
  <c r="I5"/>
  <c r="F5" i="42"/>
  <c r="H15" i="41"/>
  <c r="O7" i="43"/>
  <c r="N67" i="35"/>
  <c r="H69"/>
  <c r="S7" i="46"/>
  <c r="S7" i="44"/>
  <c r="I13" i="46"/>
  <c r="V7" i="45"/>
  <c r="K61" i="46"/>
  <c r="R63" i="41"/>
  <c r="F11"/>
  <c r="H7" i="46"/>
  <c r="F15"/>
  <c r="I11" i="43"/>
  <c r="H33"/>
  <c r="X7" i="46"/>
  <c r="I61" i="44"/>
  <c r="G15" i="43"/>
  <c r="F7" i="42"/>
  <c r="H11" i="46"/>
  <c r="Q7" i="44"/>
  <c r="M7"/>
  <c r="K11" i="35"/>
  <c r="J5" i="44"/>
  <c r="P33"/>
  <c r="BB47" i="35"/>
  <c r="O23"/>
  <c r="F35" i="41"/>
  <c r="R33" i="46"/>
  <c r="G11"/>
  <c r="I5" i="45"/>
  <c r="U7" i="41"/>
  <c r="J11" i="44"/>
  <c r="X7" i="42"/>
  <c r="P25" i="43"/>
  <c r="U7" i="45"/>
  <c r="K43" i="46"/>
  <c r="J7" i="42"/>
  <c r="L11"/>
  <c r="I7" i="44"/>
  <c r="O91" i="41"/>
  <c r="G69" i="35"/>
  <c r="K11" i="44"/>
  <c r="F9" i="43"/>
  <c r="N13" i="42"/>
  <c r="K11" i="45"/>
  <c r="F11" i="43"/>
  <c r="Z7" i="35"/>
  <c r="Q47"/>
  <c r="R7" i="41"/>
  <c r="O13" i="45"/>
  <c r="AG21" i="35"/>
  <c r="N47" i="42"/>
  <c r="H5" i="46"/>
  <c r="G7" i="35"/>
  <c r="F15" i="44"/>
  <c r="W7" i="45"/>
  <c r="M35" i="43"/>
  <c r="O11" i="45"/>
  <c r="J5" i="41"/>
  <c r="T7"/>
  <c r="Y7" i="44"/>
  <c r="R7"/>
  <c r="K87" i="45"/>
  <c r="I7" i="41"/>
  <c r="S7" i="45"/>
  <c r="O47" i="35"/>
  <c r="F13" i="42"/>
  <c r="Q29"/>
  <c r="F61" i="46"/>
  <c r="P7" i="42"/>
  <c r="P11" i="45"/>
  <c r="I65" i="41"/>
  <c r="R7" i="45"/>
  <c r="Q33" i="46"/>
  <c r="L7"/>
  <c r="K69" i="35"/>
  <c r="G11" i="43"/>
  <c r="K7" i="46"/>
  <c r="F57" i="35" l="1"/>
  <c r="R69" s="1"/>
  <c r="F71" i="41"/>
  <c r="R91" s="1"/>
  <c r="F67" i="45"/>
  <c r="R87" s="1"/>
  <c r="P5" i="42"/>
  <c r="O5" i="46"/>
  <c r="O5" i="45"/>
  <c r="P5" i="43"/>
  <c r="O5" i="44"/>
  <c r="O5" i="41"/>
  <c r="O5" i="35"/>
</calcChain>
</file>

<file path=xl/comments1.xml><?xml version="1.0" encoding="utf-8"?>
<comments xmlns="http://schemas.openxmlformats.org/spreadsheetml/2006/main">
  <authors>
    <author>Arnab Roy</author>
  </authors>
  <commentList>
    <comment ref="B17" authorId="0">
      <text>
        <r>
          <rPr>
            <b/>
            <sz val="9"/>
            <color indexed="81"/>
            <rFont val="Tahoma"/>
            <family val="2"/>
          </rPr>
          <t>Arnab Roy:</t>
        </r>
        <r>
          <rPr>
            <sz val="9"/>
            <color indexed="81"/>
            <rFont val="Tahoma"/>
            <family val="2"/>
          </rPr>
          <t xml:space="preserve">
Initial Risk (New Risk Id) Capture -  not required</t>
        </r>
      </text>
    </comment>
    <comment ref="B19" authorId="0">
      <text>
        <r>
          <rPr>
            <b/>
            <sz val="9"/>
            <color indexed="81"/>
            <rFont val="Tahoma"/>
            <family val="2"/>
          </rPr>
          <t>Arnab Roy:</t>
        </r>
        <r>
          <rPr>
            <sz val="9"/>
            <color indexed="81"/>
            <rFont val="Tahoma"/>
            <family val="2"/>
          </rPr>
          <t xml:space="preserve">
Risk Assessment only Pass is enough. All risk capture not required.</t>
        </r>
      </text>
    </comment>
    <comment ref="B21" authorId="0">
      <text>
        <r>
          <rPr>
            <b/>
            <sz val="9"/>
            <color indexed="81"/>
            <rFont val="Tahoma"/>
            <family val="2"/>
          </rPr>
          <t>Arnab Roy:</t>
        </r>
        <r>
          <rPr>
            <sz val="9"/>
            <color indexed="81"/>
            <rFont val="Tahoma"/>
            <family val="2"/>
          </rPr>
          <t xml:space="preserve">
Risk Assessment only Pass is enough. All risk capture not required.</t>
        </r>
      </text>
    </comment>
    <comment ref="B23" authorId="0">
      <text>
        <r>
          <rPr>
            <b/>
            <sz val="9"/>
            <color indexed="81"/>
            <rFont val="Tahoma"/>
            <family val="2"/>
          </rPr>
          <t>Arnab Roy:</t>
        </r>
        <r>
          <rPr>
            <sz val="9"/>
            <color indexed="81"/>
            <rFont val="Tahoma"/>
            <family val="2"/>
          </rPr>
          <t xml:space="preserve">
Risk Assessment only Pass is enough. All risk capture not required.</t>
        </r>
      </text>
    </comment>
    <comment ref="B25" authorId="0">
      <text>
        <r>
          <rPr>
            <b/>
            <sz val="9"/>
            <color indexed="81"/>
            <rFont val="Tahoma"/>
            <family val="2"/>
          </rPr>
          <t>Arnab Roy:</t>
        </r>
        <r>
          <rPr>
            <sz val="9"/>
            <color indexed="81"/>
            <rFont val="Tahoma"/>
            <family val="2"/>
          </rPr>
          <t xml:space="preserve">
Polarity check only Pass will do</t>
        </r>
      </text>
    </comment>
    <comment ref="B27" authorId="0">
      <text>
        <r>
          <rPr>
            <b/>
            <sz val="9"/>
            <color indexed="81"/>
            <rFont val="Tahoma"/>
            <family val="2"/>
          </rPr>
          <t>Arnab Roy:</t>
        </r>
        <r>
          <rPr>
            <sz val="9"/>
            <color indexed="81"/>
            <rFont val="Tahoma"/>
            <family val="2"/>
          </rPr>
          <t xml:space="preserve">
Polarity check only Pass will do</t>
        </r>
      </text>
    </comment>
  </commentList>
</comments>
</file>

<file path=xl/comments2.xml><?xml version="1.0" encoding="utf-8"?>
<comments xmlns="http://schemas.openxmlformats.org/spreadsheetml/2006/main">
  <authors>
    <author>Arnab Roy</author>
  </authors>
  <commentList>
    <comment ref="B27" authorId="0">
      <text>
        <r>
          <rPr>
            <b/>
            <sz val="9"/>
            <color indexed="81"/>
            <rFont val="Tahoma"/>
            <family val="2"/>
          </rPr>
          <t>Arnab Roy:</t>
        </r>
        <r>
          <rPr>
            <sz val="9"/>
            <color indexed="81"/>
            <rFont val="Tahoma"/>
            <family val="2"/>
          </rPr>
          <t xml:space="preserve">
Polarity check only Pass will do</t>
        </r>
      </text>
    </comment>
    <comment ref="B29" authorId="0">
      <text>
        <r>
          <rPr>
            <b/>
            <sz val="9"/>
            <color indexed="81"/>
            <rFont val="Tahoma"/>
            <family val="2"/>
          </rPr>
          <t>Arnab Roy:</t>
        </r>
        <r>
          <rPr>
            <sz val="9"/>
            <color indexed="81"/>
            <rFont val="Tahoma"/>
            <family val="2"/>
          </rPr>
          <t xml:space="preserve">
Polarity check only Pass will do</t>
        </r>
      </text>
    </comment>
  </commentList>
</comments>
</file>

<file path=xl/comments3.xml><?xml version="1.0" encoding="utf-8"?>
<comments xmlns="http://schemas.openxmlformats.org/spreadsheetml/2006/main">
  <authors>
    <author>Arnab Roy</author>
  </authors>
  <commentList>
    <comment ref="B27" authorId="0">
      <text>
        <r>
          <rPr>
            <b/>
            <sz val="9"/>
            <color indexed="81"/>
            <rFont val="Tahoma"/>
            <family val="2"/>
          </rPr>
          <t>Arnab Roy:</t>
        </r>
        <r>
          <rPr>
            <sz val="9"/>
            <color indexed="81"/>
            <rFont val="Tahoma"/>
            <family val="2"/>
          </rPr>
          <t xml:space="preserve">
Polarity check only Pass will do</t>
        </r>
      </text>
    </comment>
    <comment ref="B29" authorId="0">
      <text>
        <r>
          <rPr>
            <b/>
            <sz val="9"/>
            <color indexed="81"/>
            <rFont val="Tahoma"/>
            <family val="2"/>
          </rPr>
          <t>Arnab Roy:</t>
        </r>
        <r>
          <rPr>
            <sz val="9"/>
            <color indexed="81"/>
            <rFont val="Tahoma"/>
            <family val="2"/>
          </rPr>
          <t xml:space="preserve">
Polarity check only Pass will do</t>
        </r>
      </text>
    </comment>
  </commentList>
</comments>
</file>

<file path=xl/comments4.xml><?xml version="1.0" encoding="utf-8"?>
<comments xmlns="http://schemas.openxmlformats.org/spreadsheetml/2006/main">
  <authors>
    <author>Arnab Roy</author>
  </authors>
  <commentList>
    <comment ref="B27" authorId="0">
      <text>
        <r>
          <rPr>
            <b/>
            <sz val="9"/>
            <color indexed="81"/>
            <rFont val="Tahoma"/>
            <family val="2"/>
          </rPr>
          <t>Arnab Roy:</t>
        </r>
        <r>
          <rPr>
            <sz val="9"/>
            <color indexed="81"/>
            <rFont val="Tahoma"/>
            <family val="2"/>
          </rPr>
          <t xml:space="preserve">
Polarity check only Pass will do</t>
        </r>
      </text>
    </comment>
    <comment ref="B29" authorId="0">
      <text>
        <r>
          <rPr>
            <b/>
            <sz val="9"/>
            <color indexed="81"/>
            <rFont val="Tahoma"/>
            <family val="2"/>
          </rPr>
          <t>Arnab Roy:</t>
        </r>
        <r>
          <rPr>
            <sz val="9"/>
            <color indexed="81"/>
            <rFont val="Tahoma"/>
            <family val="2"/>
          </rPr>
          <t xml:space="preserve">
Polarity check only Pass will do</t>
        </r>
      </text>
    </comment>
    <comment ref="B51" authorId="0">
      <text>
        <r>
          <rPr>
            <b/>
            <sz val="9"/>
            <color indexed="81"/>
            <rFont val="Tahoma"/>
            <family val="2"/>
          </rPr>
          <t>Arnab Roy:</t>
        </r>
        <r>
          <rPr>
            <sz val="9"/>
            <color indexed="81"/>
            <rFont val="Tahoma"/>
            <family val="2"/>
          </rPr>
          <t xml:space="preserve">
Risk Assessment only Pass is enough. All risk capture not required.</t>
        </r>
      </text>
    </comment>
    <comment ref="B53" authorId="0">
      <text>
        <r>
          <rPr>
            <b/>
            <sz val="9"/>
            <color indexed="81"/>
            <rFont val="Tahoma"/>
            <family val="2"/>
          </rPr>
          <t>Arnab Roy:</t>
        </r>
        <r>
          <rPr>
            <sz val="9"/>
            <color indexed="81"/>
            <rFont val="Tahoma"/>
            <family val="2"/>
          </rPr>
          <t xml:space="preserve">
Cannot see Pre-Installation Tightness Test</t>
        </r>
      </text>
    </comment>
  </commentList>
</comments>
</file>

<file path=xl/comments5.xml><?xml version="1.0" encoding="utf-8"?>
<comments xmlns="http://schemas.openxmlformats.org/spreadsheetml/2006/main">
  <authors>
    <author>Arnab Roy</author>
  </authors>
  <commentList>
    <comment ref="B29" authorId="0">
      <text>
        <r>
          <rPr>
            <b/>
            <sz val="9"/>
            <color indexed="81"/>
            <rFont val="Tahoma"/>
            <family val="2"/>
          </rPr>
          <t>Arnab Roy:</t>
        </r>
        <r>
          <rPr>
            <sz val="9"/>
            <color indexed="81"/>
            <rFont val="Tahoma"/>
            <family val="2"/>
          </rPr>
          <t xml:space="preserve">
Polarity check only Pass will do</t>
        </r>
      </text>
    </comment>
    <comment ref="B31" authorId="0">
      <text>
        <r>
          <rPr>
            <b/>
            <sz val="9"/>
            <color indexed="81"/>
            <rFont val="Tahoma"/>
            <family val="2"/>
          </rPr>
          <t>Arnab Roy:</t>
        </r>
        <r>
          <rPr>
            <sz val="9"/>
            <color indexed="81"/>
            <rFont val="Tahoma"/>
            <family val="2"/>
          </rPr>
          <t xml:space="preserve">
Polarity check only Pass will do</t>
        </r>
      </text>
    </comment>
    <comment ref="B51" authorId="0">
      <text>
        <r>
          <rPr>
            <b/>
            <sz val="9"/>
            <color indexed="81"/>
            <rFont val="Tahoma"/>
            <family val="2"/>
          </rPr>
          <t>Arnab Roy:</t>
        </r>
        <r>
          <rPr>
            <sz val="9"/>
            <color indexed="81"/>
            <rFont val="Tahoma"/>
            <family val="2"/>
          </rPr>
          <t xml:space="preserve">
Risk Assessment only Pass is enough. All risk capture not required.</t>
        </r>
      </text>
    </comment>
    <comment ref="B57" authorId="0">
      <text>
        <r>
          <rPr>
            <b/>
            <sz val="9"/>
            <color indexed="81"/>
            <rFont val="Tahoma"/>
            <family val="2"/>
          </rPr>
          <t>Arnab Roy:</t>
        </r>
        <r>
          <rPr>
            <sz val="9"/>
            <color indexed="81"/>
            <rFont val="Tahoma"/>
            <family val="2"/>
          </rPr>
          <t xml:space="preserve">
Cannot see Pre-Installation Tightness Test</t>
        </r>
      </text>
    </comment>
  </commentList>
</comments>
</file>

<file path=xl/comments6.xml><?xml version="1.0" encoding="utf-8"?>
<comments xmlns="http://schemas.openxmlformats.org/spreadsheetml/2006/main">
  <authors>
    <author>Arnab Roy</author>
  </authors>
  <commentList>
    <comment ref="B17" authorId="0">
      <text>
        <r>
          <rPr>
            <b/>
            <sz val="9"/>
            <color indexed="81"/>
            <rFont val="Tahoma"/>
            <family val="2"/>
          </rPr>
          <t>Arnab Roy:</t>
        </r>
        <r>
          <rPr>
            <sz val="9"/>
            <color indexed="81"/>
            <rFont val="Tahoma"/>
            <family val="2"/>
          </rPr>
          <t xml:space="preserve">
Initial Risk (New Risk Id) Capture -  not required</t>
        </r>
      </text>
    </comment>
    <comment ref="B19" authorId="0">
      <text>
        <r>
          <rPr>
            <b/>
            <sz val="9"/>
            <color indexed="81"/>
            <rFont val="Tahoma"/>
            <family val="2"/>
          </rPr>
          <t>Arnab Roy:</t>
        </r>
        <r>
          <rPr>
            <sz val="9"/>
            <color indexed="81"/>
            <rFont val="Tahoma"/>
            <family val="2"/>
          </rPr>
          <t xml:space="preserve">
Risk Assessment only Pass is enough. All risk capture not required.</t>
        </r>
      </text>
    </comment>
    <comment ref="B21" authorId="0">
      <text>
        <r>
          <rPr>
            <b/>
            <sz val="9"/>
            <color indexed="81"/>
            <rFont val="Tahoma"/>
            <family val="2"/>
          </rPr>
          <t>Arnab Roy:</t>
        </r>
        <r>
          <rPr>
            <sz val="9"/>
            <color indexed="81"/>
            <rFont val="Tahoma"/>
            <family val="2"/>
          </rPr>
          <t xml:space="preserve">
Polarity check only Pass will do</t>
        </r>
      </text>
    </comment>
    <comment ref="B43" authorId="0">
      <text>
        <r>
          <rPr>
            <b/>
            <sz val="9"/>
            <color indexed="81"/>
            <rFont val="Tahoma"/>
            <family val="2"/>
          </rPr>
          <t>Arnab Roy:</t>
        </r>
        <r>
          <rPr>
            <sz val="9"/>
            <color indexed="81"/>
            <rFont val="Tahoma"/>
            <family val="2"/>
          </rPr>
          <t xml:space="preserve">
Risk Assessment only Pass is enough. All risk capture not required.</t>
        </r>
      </text>
    </comment>
    <comment ref="B45" authorId="0">
      <text>
        <r>
          <rPr>
            <b/>
            <sz val="9"/>
            <color indexed="81"/>
            <rFont val="Tahoma"/>
            <family val="2"/>
          </rPr>
          <t>Arnab Roy:</t>
        </r>
        <r>
          <rPr>
            <sz val="9"/>
            <color indexed="81"/>
            <rFont val="Tahoma"/>
            <family val="2"/>
          </rPr>
          <t xml:space="preserve">
Cannot see Pre-Installation Tightness Test</t>
        </r>
      </text>
    </comment>
  </commentList>
</comments>
</file>

<file path=xl/sharedStrings.xml><?xml version="1.0" encoding="utf-8"?>
<sst xmlns="http://schemas.openxmlformats.org/spreadsheetml/2006/main" count="18900" uniqueCount="1168">
  <si>
    <t>ACCESS_DETAILS</t>
  </si>
  <si>
    <t>ADDRESS2</t>
  </si>
  <si>
    <t>ADDRESS3</t>
  </si>
  <si>
    <t>ADDRESS4</t>
  </si>
  <si>
    <t>APPNT_END</t>
  </si>
  <si>
    <t>APPNT_START</t>
  </si>
  <si>
    <t>APPT_TYPE</t>
  </si>
  <si>
    <t>CAD_REQ</t>
  </si>
  <si>
    <t>CON_NOTIFICATIONS_NAME</t>
  </si>
  <si>
    <t>CON_NOTIFICATIONS_TYPE</t>
  </si>
  <si>
    <t>CONTACT_DET</t>
  </si>
  <si>
    <t>CONTACT_TEL</t>
  </si>
  <si>
    <t>CT_RATIO</t>
  </si>
  <si>
    <t>CUSTOMER_NAME</t>
  </si>
  <si>
    <t>CUSTOMER_REF</t>
  </si>
  <si>
    <t>CUSTOMER_TYPE</t>
  </si>
  <si>
    <t>DEPOT</t>
  </si>
  <si>
    <t>DESTINATION_ID</t>
  </si>
  <si>
    <t>DS_PASSWORD_CIPHERTEXT</t>
  </si>
  <si>
    <t>ESTATE_AGENT</t>
  </si>
  <si>
    <t>ESTI_TRAVEL_TIME</t>
  </si>
  <si>
    <t>EXCP_PROCESSING</t>
  </si>
  <si>
    <t>EXCP_PROCESSING_REQ</t>
  </si>
  <si>
    <t>FORWARD_ADDRESS1</t>
  </si>
  <si>
    <t>GAS_MSN</t>
  </si>
  <si>
    <t>GRID_REF</t>
  </si>
  <si>
    <t>GUARANTEED_STATUS</t>
  </si>
  <si>
    <t>IDLE_TIME</t>
  </si>
  <si>
    <t>IHD_REQ</t>
  </si>
  <si>
    <t>JOB_TIMESLOT_DEF</t>
  </si>
  <si>
    <t>KEY_COLLECT</t>
  </si>
  <si>
    <t>LAST_BILL_DATE</t>
  </si>
  <si>
    <t>NEW_CUSTOMER_NAME</t>
  </si>
  <si>
    <t>NEW_METER_TYPE</t>
  </si>
  <si>
    <t>ORIGINAL_ETA</t>
  </si>
  <si>
    <t>OUTSTANDING_BALANCE</t>
  </si>
  <si>
    <t>PHASE</t>
  </si>
  <si>
    <t>POSTCODE</t>
  </si>
  <si>
    <t>REQ_DEV</t>
  </si>
  <si>
    <t>SHIFT_END</t>
  </si>
  <si>
    <t>SHIFT_START</t>
  </si>
  <si>
    <t>SITE_CONTACT</t>
  </si>
  <si>
    <t>STAFF_NUMBER</t>
  </si>
  <si>
    <t>SUPPLIER</t>
  </si>
  <si>
    <t>TRANSACTION_ID</t>
  </si>
  <si>
    <t>VOLTAGE</t>
  </si>
  <si>
    <t>WORKPHONE</t>
  </si>
  <si>
    <t>S</t>
  </si>
  <si>
    <t>Q</t>
  </si>
  <si>
    <t>0</t>
  </si>
  <si>
    <t>10</t>
  </si>
  <si>
    <t>1</t>
  </si>
  <si>
    <t>50</t>
  </si>
  <si>
    <t>3</t>
  </si>
  <si>
    <t>240</t>
  </si>
  <si>
    <t>E_APPOINTMENT_NO</t>
  </si>
  <si>
    <t>E_ENQ_NO</t>
  </si>
  <si>
    <t>E_JOB_DESCRIPTION</t>
  </si>
  <si>
    <t>E_JOB_ID</t>
  </si>
  <si>
    <t>E_NEW_METER_TYPE</t>
  </si>
  <si>
    <t>E_OUSTANDING_BALANCE</t>
  </si>
  <si>
    <t>60</t>
  </si>
  <si>
    <t>E_PHASE</t>
  </si>
  <si>
    <t>E_VOLTAGE</t>
  </si>
  <si>
    <t>E_CT_RATIO</t>
  </si>
  <si>
    <t>2</t>
  </si>
  <si>
    <t>LAST APPOINTMENT_ID</t>
  </si>
  <si>
    <t>STAFF_NO</t>
  </si>
  <si>
    <t>TITLE</t>
  </si>
  <si>
    <t>Script name</t>
  </si>
  <si>
    <t>Comment</t>
  </si>
  <si>
    <t>DATA</t>
  </si>
  <si>
    <t>DFM_Logon</t>
  </si>
  <si>
    <t>Y</t>
  </si>
  <si>
    <t>Name</t>
  </si>
  <si>
    <t>N</t>
  </si>
  <si>
    <t>DFM_Logoff</t>
  </si>
  <si>
    <t xml:space="preserve"> </t>
  </si>
  <si>
    <t>Supplier</t>
  </si>
  <si>
    <t>Site Contact Details</t>
  </si>
  <si>
    <t>Access Details</t>
  </si>
  <si>
    <t>Special Equipment</t>
  </si>
  <si>
    <t>Post Code</t>
  </si>
  <si>
    <t>Meter Type</t>
  </si>
  <si>
    <t>Customer Name</t>
  </si>
  <si>
    <t>Reason</t>
  </si>
  <si>
    <t>Site Not Occupied</t>
  </si>
  <si>
    <t>Customer Doorstep pass</t>
  </si>
  <si>
    <t>Prev risk assess outcome</t>
  </si>
  <si>
    <t>Submit</t>
  </si>
  <si>
    <t>Special Instructions</t>
  </si>
  <si>
    <t>SPECIAL_EQUIPMENT</t>
  </si>
  <si>
    <t>SPECIAL_INSTRUCTIONS</t>
  </si>
  <si>
    <t>SPECIAL_NEEDS</t>
  </si>
  <si>
    <t>Confirm</t>
  </si>
  <si>
    <t>Test Row Number</t>
  </si>
  <si>
    <t>Reschedule App</t>
  </si>
  <si>
    <t>DFM_Arrive</t>
  </si>
  <si>
    <t>Assigned</t>
  </si>
  <si>
    <t xml:space="preserve">N </t>
  </si>
  <si>
    <t>Refused Access</t>
  </si>
  <si>
    <t>Smell Gas</t>
  </si>
  <si>
    <t>Stay on Site</t>
  </si>
  <si>
    <t>Abort meter</t>
  </si>
  <si>
    <t>Abort app</t>
  </si>
  <si>
    <t>Cancel</t>
  </si>
  <si>
    <t>Abort notes</t>
  </si>
  <si>
    <t>Abort reason</t>
  </si>
  <si>
    <t>Lounge</t>
  </si>
  <si>
    <t>PASS</t>
  </si>
  <si>
    <t>Special Needs</t>
  </si>
  <si>
    <t>No Meter On Site</t>
  </si>
  <si>
    <t>Other</t>
  </si>
  <si>
    <t>C93 : Customer</t>
  </si>
  <si>
    <t>Vulnerability</t>
  </si>
  <si>
    <t>PASSWORD</t>
  </si>
  <si>
    <t>Unable to read meter</t>
  </si>
  <si>
    <t>Unable to Read Notes</t>
  </si>
  <si>
    <t>Current Read</t>
  </si>
  <si>
    <t>Removed Asset Status</t>
  </si>
  <si>
    <t>Off Circuit</t>
  </si>
  <si>
    <t>A : Aron</t>
  </si>
  <si>
    <t>A : Attic</t>
  </si>
  <si>
    <t>Confirm asset removed</t>
  </si>
  <si>
    <t>H : Hall</t>
  </si>
  <si>
    <t>Earth Type</t>
  </si>
  <si>
    <t>ECV Checks</t>
  </si>
  <si>
    <t>ECV Report</t>
  </si>
  <si>
    <t>ECV EGP Ref</t>
  </si>
  <si>
    <t>Area Safe</t>
  </si>
  <si>
    <t>Area Safe Report</t>
  </si>
  <si>
    <t>Area Safe EGP Ref</t>
  </si>
  <si>
    <t>Safe to Continue</t>
  </si>
  <si>
    <t>M</t>
  </si>
  <si>
    <t>P</t>
  </si>
  <si>
    <t>L</t>
  </si>
  <si>
    <t>Suitable for Smart</t>
  </si>
  <si>
    <t>Smart Notes</t>
  </si>
  <si>
    <t>Tightness Notes</t>
  </si>
  <si>
    <t>Cust/Gas issue</t>
  </si>
  <si>
    <t>G</t>
  </si>
  <si>
    <t>Report incident GT</t>
  </si>
  <si>
    <t>Need to wait GT assistance</t>
  </si>
  <si>
    <t>Another job jeopardy</t>
  </si>
  <si>
    <t>DFM_Energy_Efficiency</t>
  </si>
  <si>
    <t>Appointment Date/Time</t>
  </si>
  <si>
    <t>Elec MPAN</t>
  </si>
  <si>
    <t>E Remove Serial No</t>
  </si>
  <si>
    <t>E Remove Meter Reading</t>
  </si>
  <si>
    <t>E Socket Test Witnessed by</t>
  </si>
  <si>
    <t>G MPRN</t>
  </si>
  <si>
    <t>G Removed meter Serial no</t>
  </si>
  <si>
    <t>G Removed meter reading</t>
  </si>
  <si>
    <t>G New Meter Reading</t>
  </si>
  <si>
    <t>C</t>
  </si>
  <si>
    <t>Mr Rep Name</t>
  </si>
  <si>
    <t>DFM_Job_Summary</t>
  </si>
  <si>
    <t>A</t>
  </si>
  <si>
    <t>D</t>
  </si>
  <si>
    <t>E</t>
  </si>
  <si>
    <t>F</t>
  </si>
  <si>
    <t>H</t>
  </si>
  <si>
    <t>K</t>
  </si>
  <si>
    <t>B : Bedroom</t>
  </si>
  <si>
    <t>ACT : ACTARIS</t>
  </si>
  <si>
    <t>G4</t>
  </si>
  <si>
    <t>16</t>
  </si>
  <si>
    <t>Unable to test with plug in device</t>
  </si>
  <si>
    <t>Hallway</t>
  </si>
  <si>
    <t>CM meter type</t>
  </si>
  <si>
    <t>CM meter location code</t>
  </si>
  <si>
    <t>CM ElecMetr Serial number</t>
  </si>
  <si>
    <t>CM SSC Code</t>
  </si>
  <si>
    <t>CM last meter reading 1</t>
  </si>
  <si>
    <t>CM last meter reading 2</t>
  </si>
  <si>
    <t>CM last meter reading 3</t>
  </si>
  <si>
    <t>CM last meter reading 4</t>
  </si>
  <si>
    <t>CM Meter Manuf Let</t>
  </si>
  <si>
    <t>FMAsset Serial No</t>
  </si>
  <si>
    <t>FMMan Letter</t>
  </si>
  <si>
    <t>FMMeterType</t>
  </si>
  <si>
    <t>FMSscCde</t>
  </si>
  <si>
    <t>FMNoOfReg1</t>
  </si>
  <si>
    <t>FMNoOfReg2</t>
  </si>
  <si>
    <t>FMNoOfReg3</t>
  </si>
  <si>
    <t>FMNoOfReg4</t>
  </si>
  <si>
    <t>FMMeterLocCode</t>
  </si>
  <si>
    <t>FMTeleswich</t>
  </si>
  <si>
    <t>FMRemMetReadOld1</t>
  </si>
  <si>
    <t>FMRemMetReadOldUnableRead</t>
  </si>
  <si>
    <t>FMNoRemovedMeterReadingNotes</t>
  </si>
  <si>
    <t>FMDateOldMeterRem</t>
  </si>
  <si>
    <t>FMReadingKnownOldFound</t>
  </si>
  <si>
    <t>FMInstMeterReadingsFoundMeter1</t>
  </si>
  <si>
    <t>FMInstMeterReadingsFoundMeter2</t>
  </si>
  <si>
    <t>FMInstMeterReadingsFoundMeter3</t>
  </si>
  <si>
    <t>FMInstMeterReadingsFoundMeter4</t>
  </si>
  <si>
    <t>FM-ContinueWithJob</t>
  </si>
  <si>
    <t>FMRemMetReadOld2</t>
  </si>
  <si>
    <t>FMRemMetReadOld3</t>
  </si>
  <si>
    <t>FMRemMetReadOld4</t>
  </si>
  <si>
    <t>eITM</t>
  </si>
  <si>
    <t>11</t>
  </si>
  <si>
    <t>RMSerialNo</t>
  </si>
  <si>
    <t>RMSscCode</t>
  </si>
  <si>
    <t>RmMeterMan</t>
  </si>
  <si>
    <t>RmLastMRead1</t>
  </si>
  <si>
    <t>RmLastMRead2</t>
  </si>
  <si>
    <t>RmLastMRead3</t>
  </si>
  <si>
    <t>RmLastMRead4</t>
  </si>
  <si>
    <t>rmRemMeterRead1</t>
  </si>
  <si>
    <t>rmRemMeterRead2</t>
  </si>
  <si>
    <t>rmRemMeterRead3</t>
  </si>
  <si>
    <t>rmRemMeterRead4</t>
  </si>
  <si>
    <t>rmUnableReadMeter</t>
  </si>
  <si>
    <t>rmUnableReadMeterNotes</t>
  </si>
  <si>
    <t>rmRemAssetStatus</t>
  </si>
  <si>
    <t>rmConfirmAssRemoved</t>
  </si>
  <si>
    <t>12345</t>
  </si>
  <si>
    <t>notes unable</t>
  </si>
  <si>
    <t>Cert year</t>
  </si>
  <si>
    <t>teleswitch</t>
  </si>
  <si>
    <t>Drop in pressure</t>
  </si>
  <si>
    <t>DIP</t>
  </si>
  <si>
    <t>Pass/Fail</t>
  </si>
  <si>
    <t>Reschedule Job</t>
  </si>
  <si>
    <t>Gas Test Carried Out</t>
  </si>
  <si>
    <t>national Grid</t>
  </si>
  <si>
    <t>Report H&amp;S airline</t>
  </si>
  <si>
    <t>Airline Ref</t>
  </si>
  <si>
    <t>Gt resolve</t>
  </si>
  <si>
    <t>23</t>
  </si>
  <si>
    <t>SERIAL</t>
  </si>
  <si>
    <t>NOT USED</t>
  </si>
  <si>
    <t>Standard Domestic Credit</t>
  </si>
  <si>
    <t>Check Meter</t>
  </si>
  <si>
    <t>Test Witness name</t>
  </si>
  <si>
    <t>Notes Unable Meter</t>
  </si>
  <si>
    <t>Notes meter fail</t>
  </si>
  <si>
    <t>Unable Read Meter</t>
  </si>
  <si>
    <t>4</t>
  </si>
  <si>
    <t>5</t>
  </si>
  <si>
    <t>6</t>
  </si>
  <si>
    <t>Regulator Type</t>
  </si>
  <si>
    <t>Regulator Description</t>
  </si>
  <si>
    <t>Regulator Make</t>
  </si>
  <si>
    <t>Make ?</t>
  </si>
  <si>
    <t>J42</t>
  </si>
  <si>
    <t>Standard</t>
  </si>
  <si>
    <t>iPreInstDropPressure</t>
  </si>
  <si>
    <t>sPreInstGasPressure</t>
  </si>
  <si>
    <t>sPreInstSmellGas</t>
  </si>
  <si>
    <t>PreInstGasTightCompl</t>
  </si>
  <si>
    <t>YES</t>
  </si>
  <si>
    <t>Gas Cooker</t>
  </si>
  <si>
    <t>At Risk</t>
  </si>
  <si>
    <t xml:space="preserve">Address 1 </t>
  </si>
  <si>
    <t>Address 2</t>
  </si>
  <si>
    <t>Address 3</t>
  </si>
  <si>
    <t>Mr Witness</t>
  </si>
  <si>
    <t>Meter Type G</t>
  </si>
  <si>
    <t>SSC E</t>
  </si>
  <si>
    <t>MPAN e</t>
  </si>
  <si>
    <t>MPRN g</t>
  </si>
  <si>
    <t>76575</t>
  </si>
  <si>
    <t>Add Access Details</t>
  </si>
  <si>
    <t>JOBTYPE</t>
  </si>
  <si>
    <t>EXCH3</t>
  </si>
  <si>
    <t>No Registers</t>
  </si>
  <si>
    <t>0393</t>
  </si>
  <si>
    <t>Laura Marshall</t>
  </si>
  <si>
    <t xml:space="preserve"> AExchNextVisit</t>
  </si>
  <si>
    <t>ContactFU</t>
  </si>
  <si>
    <t xml:space="preserve"> Arep</t>
  </si>
  <si>
    <t>AMeterAccess</t>
  </si>
  <si>
    <t>07795482719</t>
  </si>
  <si>
    <t>booking remarks</t>
  </si>
  <si>
    <t>S941</t>
  </si>
  <si>
    <t>Exchange Meter - PP to Credit Mtr Sys</t>
  </si>
  <si>
    <t>Risk failure</t>
  </si>
  <si>
    <t>Sang/Schlum/Actaris</t>
  </si>
  <si>
    <t>not used</t>
  </si>
  <si>
    <t>DateOfOldMeterRemoved</t>
  </si>
  <si>
    <t>11111</t>
  </si>
  <si>
    <t>Rm number of registers</t>
  </si>
  <si>
    <t>22222</t>
  </si>
  <si>
    <t>33333</t>
  </si>
  <si>
    <t>44444</t>
  </si>
  <si>
    <t>sCredRemainMeter</t>
  </si>
  <si>
    <t>sTotValCredAccept</t>
  </si>
  <si>
    <t>sStandingCharge</t>
  </si>
  <si>
    <t>sWeeklyDebtCharge</t>
  </si>
  <si>
    <t>sTotDebtRem</t>
  </si>
  <si>
    <t>sTotDebSet</t>
  </si>
  <si>
    <t>sFixedStandCharge</t>
  </si>
  <si>
    <t>sMeterEmerCred</t>
  </si>
  <si>
    <t>100</t>
  </si>
  <si>
    <t>200</t>
  </si>
  <si>
    <t>300</t>
  </si>
  <si>
    <t>500</t>
  </si>
  <si>
    <t>600</t>
  </si>
  <si>
    <t>700</t>
  </si>
  <si>
    <t>Unable read meter</t>
  </si>
  <si>
    <t>123456</t>
  </si>
  <si>
    <t>Unable read notes</t>
  </si>
  <si>
    <t>Comms connected to Wan</t>
  </si>
  <si>
    <t>Elec meter loc</t>
  </si>
  <si>
    <t>Gas Meter location</t>
  </si>
  <si>
    <t>H - Hall</t>
  </si>
  <si>
    <t>Distance</t>
  </si>
  <si>
    <t>Elec Meter Signal</t>
  </si>
  <si>
    <t>Comm Code</t>
  </si>
  <si>
    <t>Time to Comm Meter</t>
  </si>
  <si>
    <t>&lt;5 minutes</t>
  </si>
  <si>
    <t>Non Ser Asset</t>
  </si>
  <si>
    <t>Meter Board</t>
  </si>
  <si>
    <t>qty</t>
  </si>
  <si>
    <t>18 : Outside WC</t>
  </si>
  <si>
    <t>All Seals intact</t>
  </si>
  <si>
    <t>Cable marker</t>
  </si>
  <si>
    <t>Replace main fuse</t>
  </si>
  <si>
    <t>Emergency Job</t>
  </si>
  <si>
    <t>1. L N N L</t>
  </si>
  <si>
    <t>2) TN–S (Cable Sheath)</t>
  </si>
  <si>
    <t>03 : Hall</t>
  </si>
  <si>
    <t xml:space="preserve">
Installed kit used: Y</t>
  </si>
  <si>
    <t>E Installed Meter Serial No</t>
  </si>
  <si>
    <t>CM Meter Reg</t>
  </si>
  <si>
    <t>CM Meter Reg 2</t>
  </si>
  <si>
    <t>CM Meter Reg2</t>
  </si>
  <si>
    <t>G installed  meter serial no</t>
  </si>
  <si>
    <t>1U - 2 rate to 1 exhange</t>
  </si>
  <si>
    <t>01154847414</t>
  </si>
  <si>
    <t>ME15 8LB</t>
  </si>
  <si>
    <t>LU4 9RY</t>
  </si>
  <si>
    <t>APPOINTMENT_ID (E&amp;G)</t>
  </si>
  <si>
    <t>G_APPOINTMENT_NO</t>
  </si>
  <si>
    <t>G_JOB_DESCRIPTION</t>
  </si>
  <si>
    <t>G_JOB_TYPE_ID</t>
  </si>
  <si>
    <t>G_METER_LOCATION</t>
  </si>
  <si>
    <t>G_METER_TYPE</t>
  </si>
  <si>
    <t>G_ASSET_SERIAL_NO</t>
  </si>
  <si>
    <t>G_SOURCE_ID</t>
  </si>
  <si>
    <t>G_SPR</t>
  </si>
  <si>
    <t>G_SSC</t>
  </si>
  <si>
    <t>E_ASSET_SERIAL_NO</t>
  </si>
  <si>
    <t>E_JOB_TYPE_ID</t>
  </si>
  <si>
    <t>E_METER_LOCATION</t>
  </si>
  <si>
    <t>E_METER_TYPE</t>
  </si>
  <si>
    <t>E_SPR(mpan)</t>
  </si>
  <si>
    <t>E_SSC</t>
  </si>
  <si>
    <t xml:space="preserve">E_Registers </t>
  </si>
  <si>
    <t>E_LAST_METER_READ</t>
  </si>
  <si>
    <t>G_Registers</t>
  </si>
  <si>
    <t>G_LAST_METER_READ</t>
  </si>
  <si>
    <t>E_Workflow Type</t>
  </si>
  <si>
    <t>G_Workflow Type</t>
  </si>
  <si>
    <t>CARE_DETAILS</t>
  </si>
  <si>
    <t>RESP_NAME</t>
  </si>
  <si>
    <t>ADDRESS_TYPE</t>
  </si>
  <si>
    <t>E_TRAD_PP_FLAG</t>
  </si>
  <si>
    <t>E_SMART_FLAG</t>
  </si>
  <si>
    <t>E_NO_OF_METERS</t>
  </si>
  <si>
    <t>G_NO_OF_METERS</t>
  </si>
  <si>
    <t>E_SOURCE_ID</t>
  </si>
  <si>
    <t>E_MAP_ID</t>
  </si>
  <si>
    <t>E_OWNER_ID</t>
  </si>
  <si>
    <t>E_MODEL</t>
  </si>
  <si>
    <t>G_MODEL</t>
  </si>
  <si>
    <t>E_LAST_CERT_DATE</t>
  </si>
  <si>
    <t>G_LAST_CERT_DATE</t>
  </si>
  <si>
    <t>E_DIAL_CLASS_CODE</t>
  </si>
  <si>
    <t>G_DIAL_CLASS_CODE</t>
  </si>
  <si>
    <t>E_ENERGISED</t>
  </si>
  <si>
    <t>G_ENERGISED</t>
  </si>
  <si>
    <t>E_DATA_GROUP_REASON</t>
  </si>
  <si>
    <t>G_DATA_GROUP_REASON</t>
  </si>
  <si>
    <t>E_INST_ID</t>
  </si>
  <si>
    <t>G_INST_ID</t>
  </si>
  <si>
    <t>E_ASSET_TYPE_ID</t>
  </si>
  <si>
    <t>G_ASSET_TYPE_ID</t>
  </si>
  <si>
    <t>E_NEW_MAP_ID</t>
  </si>
  <si>
    <t>G_NEW_MAP_ID</t>
  </si>
  <si>
    <t>E_NEW_OWNER_ID</t>
  </si>
  <si>
    <t>G_NEW_OWNER_ID</t>
  </si>
  <si>
    <t>E_SYSTEM_ID</t>
  </si>
  <si>
    <t>G_SYSTEM_ID</t>
  </si>
  <si>
    <t>G_JOB_REF</t>
  </si>
  <si>
    <t>G_JOB_CROSS_REF</t>
  </si>
  <si>
    <t>G_NEW_METER_TYPE</t>
  </si>
  <si>
    <t>true</t>
  </si>
  <si>
    <t>false</t>
  </si>
  <si>
    <t>SIEM</t>
  </si>
  <si>
    <t>0605</t>
  </si>
  <si>
    <t>LI</t>
  </si>
  <si>
    <t>PRE</t>
  </si>
  <si>
    <t>FRST</t>
  </si>
  <si>
    <t>BGAS</t>
  </si>
  <si>
    <t>M98S</t>
  </si>
  <si>
    <t>BSMT</t>
  </si>
  <si>
    <t>TPJR00530</t>
  </si>
  <si>
    <t>0.0</t>
  </si>
  <si>
    <t>EELC</t>
  </si>
  <si>
    <t>1U - Change to EDMI MK7b Smart</t>
  </si>
  <si>
    <t>O2</t>
  </si>
  <si>
    <t>230</t>
  </si>
  <si>
    <t>K168</t>
  </si>
  <si>
    <t>SEEB</t>
  </si>
  <si>
    <t>0196</t>
  </si>
  <si>
    <t>LOND</t>
  </si>
  <si>
    <t>E24FST</t>
  </si>
  <si>
    <t>L107</t>
  </si>
  <si>
    <t>01</t>
  </si>
  <si>
    <t>7</t>
  </si>
  <si>
    <t>UNK</t>
  </si>
  <si>
    <t>93736</t>
  </si>
  <si>
    <t>NT</t>
  </si>
  <si>
    <t>NO OF METERS</t>
  </si>
  <si>
    <t>EXCH2</t>
  </si>
  <si>
    <t>Visual Inspect Compl</t>
  </si>
  <si>
    <t>TESTINGHAM</t>
  </si>
  <si>
    <t>TESTINGHAMSHIRE</t>
  </si>
  <si>
    <t>EXCH5 ROAD</t>
  </si>
  <si>
    <t>EXCH2 ROAD</t>
  </si>
  <si>
    <t>000Password</t>
  </si>
  <si>
    <t>UK_1_F</t>
  </si>
  <si>
    <t>USER_ID</t>
  </si>
  <si>
    <t>E0000167</t>
  </si>
  <si>
    <t>E_Meter_Manuf</t>
  </si>
  <si>
    <t>All jobs</t>
  </si>
  <si>
    <t>Gas only</t>
  </si>
  <si>
    <t>Elec. only</t>
  </si>
  <si>
    <t>KEY</t>
  </si>
  <si>
    <t>ADDRESS1/Building No</t>
  </si>
  <si>
    <t>G_Meter_Manufac</t>
  </si>
  <si>
    <t>Trash</t>
  </si>
  <si>
    <t>URL</t>
  </si>
  <si>
    <t>BRMN2</t>
  </si>
  <si>
    <t>VULNERABILTY_INFO</t>
  </si>
  <si>
    <t>MPAN</t>
  </si>
  <si>
    <t>MPRN</t>
  </si>
  <si>
    <t>TIME</t>
  </si>
  <si>
    <t>ADDRESS 4</t>
  </si>
  <si>
    <t>COMMENT</t>
  </si>
  <si>
    <t>DEBUG</t>
  </si>
  <si>
    <t>USERNAME</t>
  </si>
  <si>
    <t>VALID</t>
  </si>
  <si>
    <t>NAME</t>
  </si>
  <si>
    <t>CONTACT</t>
  </si>
  <si>
    <t>WORK CONTACT</t>
  </si>
  <si>
    <t>ADDRESS 1</t>
  </si>
  <si>
    <t>ADDRESS 2</t>
  </si>
  <si>
    <t>ADDRESS 3</t>
  </si>
  <si>
    <t>STATUS</t>
  </si>
  <si>
    <t>DESCRIPTION</t>
  </si>
  <si>
    <t>SCRIPT NAME</t>
  </si>
  <si>
    <t>Meter location G</t>
  </si>
  <si>
    <t>Previous remarks engineer</t>
  </si>
  <si>
    <t>ASSET SERIAL E</t>
  </si>
  <si>
    <t>METER TYPE E</t>
  </si>
  <si>
    <t>METER LOCATION E</t>
  </si>
  <si>
    <t>ASSET SERIAL G</t>
  </si>
  <si>
    <t>JOB TYPE E</t>
  </si>
  <si>
    <t>JOB TYPE G</t>
  </si>
  <si>
    <t>METER LOCATION G</t>
  </si>
  <si>
    <t>JOB DESCRIPTION E</t>
  </si>
  <si>
    <t>JOB DESCRIPTION G</t>
  </si>
  <si>
    <t>DFM_Vrf_Call_Fwd</t>
  </si>
  <si>
    <t>CONTACT MADE</t>
  </si>
  <si>
    <t>APPT CONFIRM</t>
  </si>
  <si>
    <t>RESCHEDULE</t>
  </si>
  <si>
    <t>NOTES</t>
  </si>
  <si>
    <t>ABORT REASON</t>
  </si>
  <si>
    <t>S_CONTACT</t>
  </si>
  <si>
    <t>DFM_Confirm_Dpt</t>
  </si>
  <si>
    <t>JOB TYPE</t>
  </si>
  <si>
    <t>New Risk Id</t>
  </si>
  <si>
    <t>ACCESS TO SITE</t>
  </si>
  <si>
    <t>CUST ON SITE</t>
  </si>
  <si>
    <t>FAIL MSG</t>
  </si>
  <si>
    <t>SUSPEND JOB</t>
  </si>
  <si>
    <t>CALL BACK</t>
  </si>
  <si>
    <t>CARD LEFT</t>
  </si>
  <si>
    <t>CHK ABORT CODES</t>
  </si>
  <si>
    <t>MEDIUM PERFORM</t>
  </si>
  <si>
    <t>MTR PRESSURE</t>
  </si>
  <si>
    <t>VOLT STICK</t>
  </si>
  <si>
    <t>VOLT REPORT</t>
  </si>
  <si>
    <t>VOLT EGP REF</t>
  </si>
  <si>
    <t>TAMPER</t>
  </si>
  <si>
    <t>TAMPER REPORT</t>
  </si>
  <si>
    <t>ABORT DTLS</t>
  </si>
  <si>
    <t>ABORT REASON:No Meter On Site;JOB TYPE:EXCH6;CONTACT FU:Y;REP:Laura Marshall;EXCH NEXT VISIT:Y;ABORT NOTES:Cancel job;ABORT METER:N;ABORT APP:N;CANCEL:N;METER ACCESS:Y</t>
  </si>
  <si>
    <t>CHK</t>
  </si>
  <si>
    <t>COMM</t>
  </si>
  <si>
    <t>DFM_Vrf_Job_List</t>
  </si>
  <si>
    <t>DFM_Vrf_Dtls_Cust</t>
  </si>
  <si>
    <t>DFM_Vrf_Dtls_Mtr</t>
  </si>
  <si>
    <t>DFM_Vrf_Dtls_Job</t>
  </si>
  <si>
    <t>DFM_Risk_Ass_Elec</t>
  </si>
  <si>
    <t>DFM_Risk_Ass_Gas</t>
  </si>
  <si>
    <t>SMELL GAS</t>
  </si>
  <si>
    <t>EGP OFF</t>
  </si>
  <si>
    <t>EGP Ref No</t>
  </si>
  <si>
    <t>AIR LINE REF</t>
  </si>
  <si>
    <t>EGP OUTCOME</t>
  </si>
  <si>
    <t>EGP CALLED</t>
  </si>
  <si>
    <t>GAS OFF</t>
  </si>
  <si>
    <t>REPORT TO HS</t>
  </si>
  <si>
    <t>MTR ACCESS</t>
  </si>
  <si>
    <t>MTR EXCHANGED</t>
  </si>
  <si>
    <t>GAS ABORT NOTE</t>
  </si>
  <si>
    <t>Gas abort questions notes</t>
  </si>
  <si>
    <t>DO RISK ASSESS</t>
  </si>
  <si>
    <t>Risk Reason</t>
  </si>
  <si>
    <t>Report to DNO</t>
  </si>
  <si>
    <t>DNO REF NO</t>
  </si>
  <si>
    <t>DNO RA NOTES</t>
  </si>
  <si>
    <t>DNO Risk assessment notes</t>
  </si>
  <si>
    <t>RA REMARKS</t>
  </si>
  <si>
    <t>RA PASS</t>
  </si>
  <si>
    <t>RISK FAIL NOTES</t>
  </si>
  <si>
    <t>Risk fail notes</t>
  </si>
  <si>
    <t>RESCHEDULE JOB</t>
  </si>
  <si>
    <t>CAN COMPLETE</t>
  </si>
  <si>
    <t>Smart Remarks</t>
  </si>
  <si>
    <t>SUIT SMART</t>
  </si>
  <si>
    <t>C06 : Metal encased cut-out</t>
  </si>
  <si>
    <t>TAMPER EGP REF</t>
  </si>
  <si>
    <t>Martindale</t>
  </si>
  <si>
    <t>SAFE TEST PASS</t>
  </si>
  <si>
    <t>SAFE TEST LOC</t>
  </si>
  <si>
    <t>SAFE TEST REVERSE</t>
  </si>
  <si>
    <t>SAFE CUT OUT</t>
  </si>
  <si>
    <t>SAFE AT METER</t>
  </si>
  <si>
    <t>DFM_Pol_Chk_Elec</t>
  </si>
  <si>
    <t>POL CHECK</t>
  </si>
  <si>
    <t>POL CHK NOTES</t>
  </si>
  <si>
    <t>SOCKET TEST LOC</t>
  </si>
  <si>
    <t>SOCKET REVERSED</t>
  </si>
  <si>
    <t>REV POL LOC</t>
  </si>
  <si>
    <t>REVERSE SOCKET NO</t>
  </si>
  <si>
    <t>REVERSE SOCKET NO 3</t>
  </si>
  <si>
    <t>REV POL LOC 3</t>
  </si>
  <si>
    <t>REVERSE SOCKET NO 2</t>
  </si>
  <si>
    <t>REV POL LOC 2</t>
  </si>
  <si>
    <t>POL CHK MTR</t>
  </si>
  <si>
    <t>POL CHK CUTOUT</t>
  </si>
  <si>
    <t>POL MTR FAIL NOTE</t>
  </si>
  <si>
    <t>CUTOUT FAIL NOTE</t>
  </si>
  <si>
    <t>REPROT TEAM MAN</t>
  </si>
  <si>
    <t>OK PROCESSED</t>
  </si>
  <si>
    <t>AIRLINE</t>
  </si>
  <si>
    <t>AIRLINE REF</t>
  </si>
  <si>
    <t>REPORT DNO</t>
  </si>
  <si>
    <t>DNO REF</t>
  </si>
  <si>
    <t>ABORT MTR</t>
  </si>
  <si>
    <t>ABORT APP</t>
  </si>
  <si>
    <t>CANCEL</t>
  </si>
  <si>
    <t>ABORT NOTES</t>
  </si>
  <si>
    <t>CONTACT FIRST UTIL</t>
  </si>
  <si>
    <t>REP</t>
  </si>
  <si>
    <t>ELEC MTR ACC</t>
  </si>
  <si>
    <t>MARTINDALE</t>
  </si>
  <si>
    <t>ELEC MTR EXCH NEXT</t>
  </si>
  <si>
    <t>SIGNAL</t>
  </si>
  <si>
    <t>SAFE SOCKET TEST</t>
  </si>
  <si>
    <t>REPORT TEAM MAN NAME</t>
  </si>
  <si>
    <t>DFM_Curr_Mtr_Elec</t>
  </si>
  <si>
    <t>CM Existing Asset Details Correct</t>
  </si>
  <si>
    <t>DFM_Rem_Mtr_Elec</t>
  </si>
  <si>
    <t>DFM_Capt_Prepay_Elec</t>
  </si>
  <si>
    <t>SNOTES</t>
  </si>
  <si>
    <t>Prepay notes</t>
  </si>
  <si>
    <t>REM ASSET STATUS</t>
  </si>
  <si>
    <t>CONFIRM REMOVE</t>
  </si>
  <si>
    <t>METER LOCATION</t>
  </si>
  <si>
    <t>Manufacturer</t>
  </si>
  <si>
    <t>DFM_Rem_Ass_Elec</t>
  </si>
  <si>
    <t>SerialNo</t>
  </si>
  <si>
    <t>DFM_New_Mtr_Elec</t>
  </si>
  <si>
    <t>Z : Ampy</t>
  </si>
  <si>
    <t>Z89K12345</t>
  </si>
  <si>
    <t>5235A (1 Rate)</t>
  </si>
  <si>
    <t>SSC</t>
  </si>
  <si>
    <t>16/01</t>
  </si>
  <si>
    <t>DFM_Add_Chks_Elec</t>
  </si>
  <si>
    <t>SIEMENS MARKERS</t>
  </si>
  <si>
    <t>meter board</t>
  </si>
  <si>
    <t>Tails changed</t>
  </si>
  <si>
    <t>TERM SCREW TIGHT</t>
  </si>
  <si>
    <t>REG1</t>
  </si>
  <si>
    <t>REG3</t>
  </si>
  <si>
    <t>REG2</t>
  </si>
  <si>
    <t>DFM_Commission</t>
  </si>
  <si>
    <t>Socket Safety test</t>
  </si>
  <si>
    <t>Socket Test Loc</t>
  </si>
  <si>
    <t>Socket Test passed</t>
  </si>
  <si>
    <t>DFM_Post_Inst_Chks</t>
  </si>
  <si>
    <t>With plug in</t>
  </si>
  <si>
    <t>DFM_Submit_Elec</t>
  </si>
  <si>
    <t>DFM_Add_Chks_Gas</t>
  </si>
  <si>
    <t>DFM_Curr_Mtr_Gas</t>
  </si>
  <si>
    <t xml:space="preserve"> Elec Mtr Serial NO</t>
  </si>
  <si>
    <t>FM Meter Loc Code</t>
  </si>
  <si>
    <t>FM Asset Serial No</t>
  </si>
  <si>
    <t>FM Man Letter</t>
  </si>
  <si>
    <t>FM OLD READ FOUND</t>
  </si>
  <si>
    <t>FM Rem Mtr Read Old 1</t>
  </si>
  <si>
    <t>FM Meter Type</t>
  </si>
  <si>
    <t>FM OLD UNABLE READ</t>
  </si>
  <si>
    <t>FM REMOVE MTR NOTE</t>
  </si>
  <si>
    <t>FM OLD MTR REM DATE</t>
  </si>
  <si>
    <t>FM Inst Read 1</t>
  </si>
  <si>
    <t>DFM_Rem_Mtr_Gas</t>
  </si>
  <si>
    <t>Unable Read Meter Notes</t>
  </si>
  <si>
    <t>Serial No</t>
  </si>
  <si>
    <t>Meter Man</t>
  </si>
  <si>
    <t>Rem Meter Read1</t>
  </si>
  <si>
    <t>Registers</t>
  </si>
  <si>
    <t>DFM_Capt_Prepay_Gas</t>
  </si>
  <si>
    <t>DFM_Rem_Ass_Gas</t>
  </si>
  <si>
    <t>Last Read</t>
  </si>
  <si>
    <t>Unable to read notes (only used if unable to read = 'Y')</t>
  </si>
  <si>
    <t>TOTAL CREDIT ACCEPTED</t>
  </si>
  <si>
    <t>STANDING CHARGE</t>
  </si>
  <si>
    <t>WEEKLY DEBT CHARGE</t>
  </si>
  <si>
    <t>TOTAL DEBT REMAINING</t>
  </si>
  <si>
    <t>CREDIT REMAINING</t>
  </si>
  <si>
    <t>TOTAL DEBT SET</t>
  </si>
  <si>
    <t>FIXED STANDING CHARGE</t>
  </si>
  <si>
    <t>EMERGENCY CREDIT</t>
  </si>
  <si>
    <t>Capture prepayment notes</t>
  </si>
  <si>
    <t>REMOVED ASSET STATUS</t>
  </si>
  <si>
    <t>COMFIRM ASSET REMOVED</t>
  </si>
  <si>
    <t>DFM_New_Reg_Gas</t>
  </si>
  <si>
    <t>REGULATOR SERIAL NO</t>
  </si>
  <si>
    <t>DFM_New_Mtr_Gas</t>
  </si>
  <si>
    <t>METER SERIAL NO</t>
  </si>
  <si>
    <t>MANUFACTURER</t>
  </si>
  <si>
    <t>METER TYPE</t>
  </si>
  <si>
    <t>DFM_Init_Read_Gas</t>
  </si>
  <si>
    <t>DFM_Init_Read_Elec</t>
  </si>
  <si>
    <t>Notes: completion</t>
  </si>
  <si>
    <t>REG 1</t>
  </si>
  <si>
    <t>UNABLE READ METER</t>
  </si>
  <si>
    <t>NO READ NOTES</t>
  </si>
  <si>
    <t>Notes: Cannot read meter</t>
  </si>
  <si>
    <t>DFM_Gas_Inst_Kit</t>
  </si>
  <si>
    <t>INSTALL KIT USED</t>
  </si>
  <si>
    <t>NON SERIAL ASSET</t>
  </si>
  <si>
    <t>QTY</t>
  </si>
  <si>
    <t>DFM_Post_Tight_Gas</t>
  </si>
  <si>
    <t>Brackets</t>
  </si>
  <si>
    <t>CONTACT GT</t>
  </si>
  <si>
    <t>NATIONAL GRID</t>
  </si>
  <si>
    <t>REPORT HS AIRLINE</t>
  </si>
  <si>
    <t>NEED TO WAIT GT ASSISTANCE</t>
  </si>
  <si>
    <t>GT RESOLVE</t>
  </si>
  <si>
    <t>ADDITIONAL WORK</t>
  </si>
  <si>
    <t>ADD WORK NOTES</t>
  </si>
  <si>
    <t>REPLACED GAS METER</t>
  </si>
  <si>
    <t>REPLACED GAS REGULATOR</t>
  </si>
  <si>
    <t>POST INST TIGHT TEST</t>
  </si>
  <si>
    <t>PI DROP IN PRESSURE</t>
  </si>
  <si>
    <t>TIGHNESS TEST PASSED</t>
  </si>
  <si>
    <t>WITNESS NAME</t>
  </si>
  <si>
    <t>CAPPED METER</t>
  </si>
  <si>
    <t>CAPPED COOKER</t>
  </si>
  <si>
    <t>CAPPED ECV</t>
  </si>
  <si>
    <t>INSTALLED IN OUT</t>
  </si>
  <si>
    <t>COPPER PIPE</t>
  </si>
  <si>
    <t>ENTER REMARKS</t>
  </si>
  <si>
    <t>Notes: Additional work</t>
  </si>
  <si>
    <t>G4 - 0.5-4m bars</t>
  </si>
  <si>
    <t>DFM_App_Safe_Gas</t>
  </si>
  <si>
    <t>ADD APPLIANCE</t>
  </si>
  <si>
    <t>SUBMIT</t>
  </si>
  <si>
    <t>Address 4</t>
  </si>
  <si>
    <t>Address 5</t>
  </si>
  <si>
    <t>Address 6</t>
  </si>
  <si>
    <t>Address 7</t>
  </si>
  <si>
    <t>ALL APPS TESTED</t>
  </si>
  <si>
    <t>EARTH BONDING</t>
  </si>
  <si>
    <t>LANDLORD PROP</t>
  </si>
  <si>
    <t>ADDRESS1</t>
  </si>
  <si>
    <t>ADDRESS7</t>
  </si>
  <si>
    <t>ADDRESS6</t>
  </si>
  <si>
    <t>ADDRESS5</t>
  </si>
  <si>
    <t>FLUE TYPE</t>
  </si>
  <si>
    <t>Open Flue</t>
  </si>
  <si>
    <t>VENTILATION GOOD</t>
  </si>
  <si>
    <t>PURGE AND RELIGHT</t>
  </si>
  <si>
    <t>APP TYPE</t>
  </si>
  <si>
    <t>APP LOCATION</t>
  </si>
  <si>
    <t>APP CONDITION</t>
  </si>
  <si>
    <t>SAFE TO USE</t>
  </si>
  <si>
    <t>ELEC METER TYPE</t>
  </si>
  <si>
    <t>GAS METER TYPE</t>
  </si>
  <si>
    <t>EE INFORMATION PROVIDED</t>
  </si>
  <si>
    <t>EE DOC LEFT</t>
  </si>
  <si>
    <t>CUST HAPPY EE ADVICE</t>
  </si>
  <si>
    <t>Notes: Energy efficiency</t>
  </si>
  <si>
    <t>5235A</t>
  </si>
  <si>
    <t>54321</t>
  </si>
  <si>
    <t>00005</t>
  </si>
  <si>
    <t>DFM_Capture_Sig</t>
  </si>
  <si>
    <t>SIGNATURE</t>
  </si>
  <si>
    <t>SIGNATURE RESET</t>
  </si>
  <si>
    <t>CUST OR REP</t>
  </si>
  <si>
    <t>REP NAME</t>
  </si>
  <si>
    <t>REFUSED TO SIGN</t>
  </si>
  <si>
    <t>COMPLETION NOTES</t>
  </si>
  <si>
    <t>SUBMIT COMPLETE</t>
  </si>
  <si>
    <t>Representative</t>
  </si>
  <si>
    <t>200000</t>
  </si>
  <si>
    <t>E0000022</t>
  </si>
  <si>
    <t>WOLVES</t>
  </si>
  <si>
    <t>NMEX3</t>
  </si>
  <si>
    <t>E18FST</t>
  </si>
  <si>
    <t>DFM_Init_Risk_Elec</t>
  </si>
  <si>
    <t>DFM_Init_Photo_Elec</t>
  </si>
  <si>
    <t>OKAY TO PROCEED</t>
  </si>
  <si>
    <t>DFM_Risk_Ass_Elec_DEV</t>
  </si>
  <si>
    <t>EGP REF NO</t>
  </si>
  <si>
    <t>RISK REASON</t>
  </si>
  <si>
    <t>RA PASS NOTES</t>
  </si>
  <si>
    <t>We passed</t>
  </si>
  <si>
    <t>CALLED HS</t>
  </si>
  <si>
    <t>REPORT TO DNO</t>
  </si>
  <si>
    <t>RISK FAIL DNO NOTE</t>
  </si>
  <si>
    <t>DFM_Init_Pol_Chk_Mart_Elec</t>
  </si>
  <si>
    <t>DFM_Init_Pol_Chk_Mtr_Elec</t>
  </si>
  <si>
    <t>CHK PLUG IN</t>
  </si>
  <si>
    <t>UNABLE POL CHK NOTES</t>
  </si>
  <si>
    <t>MTR FAIL NOTE</t>
  </si>
  <si>
    <t>AUTH TO PROCEED</t>
  </si>
  <si>
    <t>CALLED AIRLINE</t>
  </si>
  <si>
    <t>1U Elec Meter Read</t>
  </si>
  <si>
    <t>NMEX5 ROAD</t>
  </si>
  <si>
    <t>E59FST</t>
  </si>
  <si>
    <t>F112</t>
  </si>
  <si>
    <t>26147</t>
  </si>
  <si>
    <t>NMEX5</t>
  </si>
  <si>
    <t>G_INST_TRAD_PP_FLAG</t>
  </si>
  <si>
    <t>G_INST_SMART_FLAG</t>
  </si>
  <si>
    <t>1000</t>
  </si>
  <si>
    <t>MTR READ NOTES</t>
  </si>
  <si>
    <t>Meter read notes</t>
  </si>
  <si>
    <t>MTR READ</t>
  </si>
  <si>
    <t>EXISTING ASSET DETAILS CORRECT</t>
  </si>
  <si>
    <t>MTR FLTY</t>
  </si>
  <si>
    <t>EXCH MTR</t>
  </si>
  <si>
    <t>TMOB</t>
  </si>
  <si>
    <t>Z89K12398</t>
  </si>
  <si>
    <t>E : EDMI</t>
  </si>
  <si>
    <t>EDMI Mk7B 1ph CR/PP (1ph CR)</t>
  </si>
  <si>
    <t>2222</t>
  </si>
  <si>
    <t>IHD12345</t>
  </si>
  <si>
    <t>EDMI MK7B</t>
  </si>
  <si>
    <t>Jobtype</t>
  </si>
  <si>
    <t>DFM_Init_Photo_Gas</t>
  </si>
  <si>
    <t>DFM_Pre_Tight_Gas</t>
  </si>
  <si>
    <t>EDM : EDMI</t>
  </si>
  <si>
    <t>Working Order</t>
  </si>
  <si>
    <t>G6000MUE6</t>
  </si>
  <si>
    <t>1U - Change to EDMI Smart DF (G4)</t>
  </si>
  <si>
    <t>EXCH3 ROAD</t>
  </si>
  <si>
    <t>E73FST</t>
  </si>
  <si>
    <t>S108</t>
  </si>
  <si>
    <t>SOUT</t>
  </si>
  <si>
    <t>26166</t>
  </si>
  <si>
    <t>ACT</t>
  </si>
  <si>
    <t>1U D/F HCall FD  - Chg to PP (G3)</t>
  </si>
  <si>
    <t>TPJR00540</t>
  </si>
  <si>
    <t>FLTY17 ROAD</t>
  </si>
  <si>
    <t>E30FST</t>
  </si>
  <si>
    <t>ONST</t>
  </si>
  <si>
    <t>FLTY17</t>
  </si>
  <si>
    <t>G3</t>
  </si>
  <si>
    <t>Exchange Meter - Credit to PP Mtr Sys</t>
  </si>
  <si>
    <t>26157</t>
  </si>
  <si>
    <t>8</t>
  </si>
  <si>
    <t>DFM_Chk_Chg_Data_Elec</t>
  </si>
  <si>
    <t>WAN AVAILABLE</t>
  </si>
  <si>
    <t>ORANGE</t>
  </si>
  <si>
    <t>SIG SUFFICIENT</t>
  </si>
  <si>
    <t>VODAPHONE</t>
  </si>
  <si>
    <t>DFM_Han_Wan_Chk_Elec</t>
  </si>
  <si>
    <t>CONNECTED TO WAN</t>
  </si>
  <si>
    <t>ELEC MTR LOC</t>
  </si>
  <si>
    <t>GAS MTR LOC</t>
  </si>
  <si>
    <t>ZZ : No Gas Meter On Site</t>
  </si>
  <si>
    <t>DISTANCE</t>
  </si>
  <si>
    <t>ELEC METER SIGNAL</t>
  </si>
  <si>
    <t>COMM CODE</t>
  </si>
  <si>
    <t>TIME TAKEN</t>
  </si>
  <si>
    <t>IHD ACCEPT</t>
  </si>
  <si>
    <t>IHD PAIRED</t>
  </si>
  <si>
    <t>DFM_Device_Bind_Comm</t>
  </si>
  <si>
    <t>ADD NOTES REFUSAL</t>
  </si>
  <si>
    <t>IHD SERIAL NO</t>
  </si>
  <si>
    <t>WAN ESTABLISHED</t>
  </si>
  <si>
    <t>FULL CONFIG</t>
  </si>
  <si>
    <t>DFM_Scan_IHD</t>
  </si>
  <si>
    <t>DFM_Config_Mtr</t>
  </si>
  <si>
    <t>DFM_Smart_Ed</t>
  </si>
  <si>
    <t>SMART LIT LEFT</t>
  </si>
  <si>
    <t>DEMO EQUIP</t>
  </si>
  <si>
    <t>Some notes</t>
  </si>
  <si>
    <t>DFM_Suit_Smart_Elec</t>
  </si>
  <si>
    <t>SUIT DUMB</t>
  </si>
  <si>
    <t>Test notes</t>
  </si>
  <si>
    <t>Domestic SMART</t>
  </si>
  <si>
    <t>HAN EST</t>
  </si>
  <si>
    <t>GAS ELEC PAIRED</t>
  </si>
  <si>
    <t>1U D/F HCall FD - Chg to PP (G3)</t>
  </si>
  <si>
    <t>NEW RISK ID</t>
  </si>
  <si>
    <t>DFM_War_Data_Elec</t>
  </si>
  <si>
    <t>EXCHANGE</t>
  </si>
  <si>
    <t>DFM_War_Data_Gas</t>
  </si>
  <si>
    <t>SMART</t>
  </si>
  <si>
    <t>DFM_Suit_Smart_Gas</t>
  </si>
  <si>
    <t>GAS PRE TIGHT</t>
  </si>
  <si>
    <t>PRESSURE DROP</t>
  </si>
  <si>
    <t>MTR TYPE</t>
  </si>
  <si>
    <t>DFM_Capt_Mtr_Rd_Elec</t>
  </si>
  <si>
    <t>100727</t>
  </si>
  <si>
    <t>100734</t>
  </si>
  <si>
    <t>E0000066</t>
  </si>
  <si>
    <t>SHEFLD</t>
  </si>
  <si>
    <t>1U - Change to EDMI Smart GAS (G4)</t>
  </si>
  <si>
    <t>TPJR00550</t>
  </si>
  <si>
    <t>EXCH1 ROAD</t>
  </si>
  <si>
    <t>E74FST</t>
  </si>
  <si>
    <t>0910</t>
  </si>
  <si>
    <t>EXCH1</t>
  </si>
  <si>
    <t>Exchange Meter -PP to Credit</t>
  </si>
  <si>
    <t>ADDITIONAL HELP</t>
  </si>
  <si>
    <t>ADDITIONAL INFO</t>
  </si>
  <si>
    <t>VULNERABLE CUST</t>
  </si>
  <si>
    <t>CUST AGREES</t>
  </si>
  <si>
    <t>REPOSITION</t>
  </si>
  <si>
    <t>No Reposition Required</t>
  </si>
  <si>
    <t>0.1</t>
  </si>
  <si>
    <t>TPJR00531</t>
  </si>
  <si>
    <t>241</t>
  </si>
  <si>
    <t>S109</t>
  </si>
  <si>
    <t>0606</t>
  </si>
  <si>
    <t>0394</t>
  </si>
  <si>
    <t>02</t>
  </si>
  <si>
    <t>26167</t>
  </si>
  <si>
    <t>EXCH4</t>
  </si>
  <si>
    <t>G5</t>
  </si>
  <si>
    <t>76576</t>
  </si>
  <si>
    <t>FH TEST</t>
  </si>
  <si>
    <t>EXCH9</t>
  </si>
  <si>
    <t>1U DF MTR EXCH TO SECURE PP (G3)</t>
  </si>
  <si>
    <t>EXCH9 ROAD</t>
  </si>
  <si>
    <t>111Siemens</t>
  </si>
  <si>
    <t>G_ENQ_NO</t>
  </si>
  <si>
    <t>G_JOB_ID</t>
  </si>
  <si>
    <t>PREVIOUS_RISK ASSESS OUTCOME</t>
  </si>
  <si>
    <t>PREVIOUS_REMARKS FIELD ENGINEER</t>
  </si>
  <si>
    <t>LAST_METER_WO</t>
  </si>
  <si>
    <t>Automation</t>
  </si>
  <si>
    <t>TEST_CASE_NAME</t>
  </si>
  <si>
    <t>BROWSER</t>
  </si>
  <si>
    <t>IE</t>
  </si>
  <si>
    <t>EXCHANGE_3_APPOINTMENT_DETAILS_PAGE_ABORT_NO_ACCESS_CHROME</t>
  </si>
  <si>
    <t>EXCHANGE_3_APPOINTMENT_DETAILS_PAGE_ABORT_NO_ACCESS_IE</t>
  </si>
  <si>
    <t>EXCHANGE_3_DOORSTEP_PROTOCOL_PAGE_ABORT_DOORSTEP_PROCEDURE_FAIL_CHROME</t>
  </si>
  <si>
    <t>EXCHANGE_3_ELEC_HAN_WAN_CHECKS_PAGE_ABORT_CHROME</t>
  </si>
  <si>
    <t>EXCHANGE_3_ELEC_HAN_WAN_CHECKS_PAGE_ABORT_IE</t>
  </si>
  <si>
    <t>EXCHANGE_3_ELEC_INITIAL_POLARITY_CHECK_AT_METER_PAGE_ABORT_CHROME</t>
  </si>
  <si>
    <t>EXCHANGE_3_ELEC_INITIAL_POLARITY_CHECK_AT_METER_PAGE_ABORT_IE</t>
  </si>
  <si>
    <t>EXCHANGE_3_ELEC_INITIAL_RISK_ASSESSMENT_PAGE_ABORT_CHROME</t>
  </si>
  <si>
    <t>EXCHANGE_3_ELEC_INITIAL_RISK_ASSESSMENT_PAGE_ABORT_IE</t>
  </si>
  <si>
    <t>EXCHANGE_3_ELEC_SUITABLE_FOR_SMART_INSTALLATION_PAGE_ABORT_CHROME</t>
  </si>
  <si>
    <t>EXCHANGE_3_ELEC_SUITABLE_FOR_SMART_INSTALLATION_PAGE_ABORT_IE</t>
  </si>
  <si>
    <t>EXCHANGE_3_END_TO_END_CHROME</t>
  </si>
  <si>
    <t>EXCHANGE_3_GAS_METER_POST_INSTALLATION_GAS_TIGHTNESS_TEST_ABORT_CHROME</t>
  </si>
  <si>
    <t>EXCHANGE_3_GAS_METER_POST_INSTALLATION_GAS_TIGHTNESS_TEST_ABORT_IE</t>
  </si>
  <si>
    <t>EXCHANGE_3_GAS_METER_PRE_INSTALLATION_GAS_TIGHTNESS_TEST_FAILED_TEST_ABORT_CHROME</t>
  </si>
  <si>
    <t>EXCHANGE_3_GAS_METER_PRE_INSTALLATION_GAS_TIGHTNESS_TEST_FAILED_TEST_ABORT_IE</t>
  </si>
  <si>
    <t>EXCHANGE_3_GAS_METER_PRE_INSTALLATION_GAS_TIGHTNESS_TEST_LOW_PRESSURE_ABORT_CHROME</t>
  </si>
  <si>
    <t>EXCHANGE_3_GAS_METER_PRE_INSTALLATION_GAS_TIGHTNESS_TEST_LOW_PRESSURE_ABORT_IE</t>
  </si>
  <si>
    <t>EXCHANGE_3_GAS_RISK_ASSESSMENT_GAS_ABORT_LOW_PRESSURE_CHROME</t>
  </si>
  <si>
    <t>EXCHANGE_3_GAS_RISK_ASSESSMENT_GAS_ABORT_LOW_PRESSURE_IE</t>
  </si>
  <si>
    <t>EXCHANGE_3_GAS_RISK_ASSESSMENT_GAS_ABORT_MED_PRESSURE_CHROME</t>
  </si>
  <si>
    <t>EXCHANGE_3_GAS_RISK_ASSESSMENT_GAS_ABORT_MED_PRESSURE_IE</t>
  </si>
  <si>
    <t>EXCHANGE_3_GAS_SUITABLE_FOR_SMART_INSTALLATION_ABORT_IE</t>
  </si>
  <si>
    <t>Chrome</t>
  </si>
  <si>
    <t>USER</t>
  </si>
  <si>
    <t>EXCHANGE_3_ELEC_RISK_ASSESSMENT_PAGE_ABORT_CHROME</t>
  </si>
  <si>
    <t>EXCHANGE_3_ELEC_RISK_ASSESSMENT_PAGE_ABORT_IE</t>
  </si>
  <si>
    <t>EXCHANGE_2_APPOINTMENT_DETAILS_PAGE_ABORT_NO_ACCESS_CHROME</t>
  </si>
  <si>
    <t>EXCHANGE_2_APPOINTMENT_DETAILS_PAGE_ABORT_NO_ACCESS_IE</t>
  </si>
  <si>
    <t>EXCHANGE_2_DOORSTEP_PROTOCOL_PAGE_ABORT_DOORSTEP_PROCEDURE_FAIL_CHROME</t>
  </si>
  <si>
    <t>EXCHANGE_2_DOORSTEP_PROTOCOL_PAGE_ABORT_DOORSTEP_PROCEDURE_FAIL_IE</t>
  </si>
  <si>
    <t>EXCHANGE_2_ELEC_HAN_WAN_CHECKS_PAGE_ABORT_CHROME</t>
  </si>
  <si>
    <t>EXCHANGE_2_ELEC_HAN_WAN_CHECKS_PAGE_ABORT_IE</t>
  </si>
  <si>
    <t>EXCHANGE_2_ELEC_INITIAL_POLARITY_CHECK_AT_METER_PAGE_ABORT_CHROME</t>
  </si>
  <si>
    <t>EXCHANGE_2_ELEC_INITIAL_POLARITY_CHECK_AT_METER_PAGE_ABORT_IE</t>
  </si>
  <si>
    <t>EXCHANGE_2_ELEC_INITIAL_RISK_ASSESSMENT_PAGE_ABORT_CHROME</t>
  </si>
  <si>
    <t>EXCHANGE_2_ELEC_INITIAL_RISK_ASSESSMENT_PAGE_ABORT_IE</t>
  </si>
  <si>
    <t>EXCHANGE_2_ELEC_RISK_ASSESSMENT_PAGE_ABORT_CHROME</t>
  </si>
  <si>
    <t>EXCHANGE_2_ELEC_RISK_ASSESSMENT_PAGE_ABORT_IE</t>
  </si>
  <si>
    <t>EXCHANGE_2_ELEC_SUITABLE_FOR_SMART_INSTALLATION_PAGE_ABORT_CHROME</t>
  </si>
  <si>
    <t>EXCHANGE_2_ELEC_SUITABLE_FOR_SMART_INSTALLATION_PAGE_ABORT_IE</t>
  </si>
  <si>
    <t>EXCHANGE_2_END_TO_END_CHROME</t>
  </si>
  <si>
    <t>NMEX_5_APPOINTMENT_DETAILS_PAGE_ABORT_NO_ACCESS_CHROME</t>
  </si>
  <si>
    <t>NMEX_5_APPOINTMENT_DETAILS_PAGE_ABORT_NO_ACCESS_IE</t>
  </si>
  <si>
    <t>NMEX_5_DOORSTEP_PROTOCOL_PAGE_ABORT_DOORSTEP_PROCEDURE_FAIL_CHROME</t>
  </si>
  <si>
    <t>NMEX_5_DOORSTEP_PROTOCOL_PAGE_ABORT_DOORSTEP_PROCEDURE_FAIL_IE</t>
  </si>
  <si>
    <t>NMEX_5_ELEC_INITIAL_RISK_ASSESSMENT_PAGE_ABORT_CHROME</t>
  </si>
  <si>
    <t>NMEX_5_ELEC_INITIAL_RISK_ASSESSMENT_PAGE_ABORT_IE</t>
  </si>
  <si>
    <t>NMEX_5_ELEC_RISK_ASSESSMENT_PAGE_ABORT_CHROME</t>
  </si>
  <si>
    <t>NMEX_5_ELEC_RISK_ASSESSMENT_PAGE_ABORT_IE</t>
  </si>
  <si>
    <t>NMEX_5_END_TO_END_CHROME</t>
  </si>
  <si>
    <t>FLTY_17_APPOINTMENT_DETAILS_PAGE_ABORT_NO_ACCESS_CHROME</t>
  </si>
  <si>
    <t>FLTY_17_APPOINTMENT_DETAILS_PAGE_ABORT_NO_ACCESS_IE</t>
  </si>
  <si>
    <t>FLTY_17_DOORSTEP_PROTOCOL_PAGE_ABORT_DOORSTEP_PROCEDURE_FAIL_CHROME</t>
  </si>
  <si>
    <t>FLTY_17_DOORSTEP_PROTOCOL_PAGE_ABORT_DOORSTEP_PROCEDURE_FAIL_IE</t>
  </si>
  <si>
    <t>FLTY_17_ELEC_INITIAL_POLARITY_CHECK_AT_METER_PAGE_ABORT_CHROME</t>
  </si>
  <si>
    <t>FLTY_17_ELEC_INITIAL_POLARITY_CHECK_AT_METER_PAGE_ABORT_IE</t>
  </si>
  <si>
    <t>FLTY_17_ELEC_INITIAL_RISK_ASSESSMENT_PAGE_ABORT_CHROME</t>
  </si>
  <si>
    <t>FLTY_17_ELEC_INITIAL_RISK_ASSESSMENT_PAGE_ABORT_IE</t>
  </si>
  <si>
    <t>FLTY_17_ELEC_RISK_ASSESSMENT_PAGE_ABORT_CHROME</t>
  </si>
  <si>
    <t>FLTY_17_ELEC_RISK_ASSESSMENT_PAGE_ABORT_IE</t>
  </si>
  <si>
    <t>FLTY_17_ELEC_SUITABLE_FOR_SMART_INSTALLATION_PAGE_ABORT_CHROME</t>
  </si>
  <si>
    <t>FLTY_17_ELEC_SUITABLE_FOR_SMART_INSTALLATION_PAGE_ABORT_IE</t>
  </si>
  <si>
    <t>FLTY_17_END_TO_END_CHROME</t>
  </si>
  <si>
    <t>FLTY_17_GAS_METER_POST_INSTALLATION_GAS_TIGHTNESS_TEST_ABORT_CHROME</t>
  </si>
  <si>
    <t>FLTY_17_GAS_METER_POST_INSTALLATION_GAS_TIGHTNESS_TEST_ABORT_IE</t>
  </si>
  <si>
    <t>FLTY_17_GAS_METER_PRE_INSTALLATION_GAS_TIGHTNESS_TEST_FAILED_TEST_ABORT_CHROME</t>
  </si>
  <si>
    <t>FLTY_17_GAS_METER_PRE_INSTALLATION_GAS_TIGHTNESS_TEST_FAILED_TEST_ABORT_IE</t>
  </si>
  <si>
    <t>FLTY_17_GAS_METER_PRE_INSTALLATION_GAS_TIGHTNESS_TEST_LOW_PRESSURE_ABORT_CHROME</t>
  </si>
  <si>
    <t>FLTY_17_GAS_METER_PRE_INSTALLATION_GAS_TIGHTNESS_TEST_LOW_PRESSURE_ABORT_IE</t>
  </si>
  <si>
    <t>FLTY_17_GAS_RISK_ASSESSMENT_GAS_ABORT_LOW_PRESSURE_CHROME</t>
  </si>
  <si>
    <t>FLTY_17_GAS_RISK_ASSESSMENT_GAS_ABORT_LOW_PRESSURE_IE</t>
  </si>
  <si>
    <t>FLTY_17_GAS_RISK_ASSESSMENT_GAS_ABORT_MED_PRESSURE_CHROME</t>
  </si>
  <si>
    <t>FLTY_17_GAS_RISK_ASSESSMENT_GAS_ABORT_MED_PRESSURE_IE</t>
  </si>
  <si>
    <t>FLTY_17_GAS_SUITABLE_FOR_SMART_INSTALLATION_ABORT_CHROME</t>
  </si>
  <si>
    <t>FLTY_17_GAS_SUITABLE_FOR_SMART_INSTALLATION_ABORT_IE</t>
  </si>
  <si>
    <t>FLTY2 ROAD</t>
  </si>
  <si>
    <t>FLTY2</t>
  </si>
  <si>
    <t>1U Callout - CHK/CHG Fault - On supply</t>
  </si>
  <si>
    <t>E22FST</t>
  </si>
  <si>
    <t>FLTY_2_APPOINTMENT_DETAILS_PAGE_ABORT_NO_ACCESS_CHROME</t>
  </si>
  <si>
    <t>FLTY_2_APPOINTMENT_DETAILS_PAGE_ABORT_NO_ACCESS_IE</t>
  </si>
  <si>
    <t>FLTY_2_DOORSTEP_PROTOCOL_PAGE_ABORT_DOORSTEP_PROCEDURE_FAIL_CHROME</t>
  </si>
  <si>
    <t>FLTY_2_DOORSTEP_PROTOCOL_PAGE_ABORT_DOORSTEP_PROCEDURE_FAIL_IE</t>
  </si>
  <si>
    <t>FLTY_2_ELEC_DETERMINE_EMERGENCY_CALL_OUT_PAGE_ABORT_CHROME</t>
  </si>
  <si>
    <t>FLTY_2_ELEC_INITIAL_POLARITY_CHECK_AT_METER_PAGE_ABORT_CHROME</t>
  </si>
  <si>
    <t>FLTY_2_ELEC_INITIAL_POLARITY_CHECK_AT_METER_PAGE_ABORT_IE</t>
  </si>
  <si>
    <t>FLTY_2_ELEC_DETERMINE_EMERGENCY_CALL_OUT_PAGE_ABORT_IE</t>
  </si>
  <si>
    <t>FLTY_2_ELEC_INITIAL_RISK_ASSESSMENT_PAGE_ABORT_CHROME</t>
  </si>
  <si>
    <t>FLTY_2_ELEC_INITIAL_RISK_ASSESSMENT_PAGE_ABORT_IE</t>
  </si>
  <si>
    <t>FLTY_2_ELEC_RISK_ASSESSMENT_PAGE_ABORT_CHROME</t>
  </si>
  <si>
    <t>FLTY_2_ELEC_RISK_ASSESSMENT_PAGE_ABORT_IE</t>
  </si>
  <si>
    <t>FLTY_2_END_TO_END_CHROME</t>
  </si>
  <si>
    <t>E67FST</t>
  </si>
  <si>
    <t>13</t>
  </si>
  <si>
    <t>I</t>
  </si>
  <si>
    <t>69650</t>
  </si>
  <si>
    <t>Elec Exchange 1 rate Credit 1PH</t>
  </si>
  <si>
    <t>E5FRST</t>
  </si>
  <si>
    <t>EXCH5</t>
  </si>
  <si>
    <t>EXCHANGE_5_APPOINTMENT_DETAILS_PAGE_ABORT_NO_ACCESS_CHROME</t>
  </si>
  <si>
    <t>EXCHANGE_5_APPOINTMENT_DETAILS_PAGE_ABORT_NO_ACCESS_IE</t>
  </si>
  <si>
    <t>EXCHANGE_5_DOORSTEP_PROTOCOL_PAGE_ABORT_DOORSTEP_PROCEDURE_FAIL_CHROME</t>
  </si>
  <si>
    <t>EXCHANGE_5_DOORSTEP_PROTOCOL_PAGE_ABORT_DOORSTEP_PROCEDURE_FAIL_IE</t>
  </si>
  <si>
    <t>EXCHANGE_5_ELEC_INITIAL_POLARITY_CHECK_AT_METER_PAGE_ABORT_CHROME</t>
  </si>
  <si>
    <t>EXCHANGE_5_ELEC_INITIAL_POLARITY_CHECK_AT_METER_PAGE_ABORT_IE</t>
  </si>
  <si>
    <t>EXCHANGE_5_ELEC_INITIAL_RISK_ASSESSMENT_PAGE_ABORT_CHROME</t>
  </si>
  <si>
    <t>EXCHANGE_5_ELEC_INITIAL_RISK_ASSESSMENT_PAGE_ABORT_IE</t>
  </si>
  <si>
    <t>EXCHANGE_5_ELEC_RISK_ASSESSMENT_PAGE_ABORT_CHROME</t>
  </si>
  <si>
    <t>EXCHANGE_5_ELEC_RISK_ASSESSMENT_PAGE_ABORT_IE</t>
  </si>
  <si>
    <t>EXCHANGE_5_END_TO_END_CHROME</t>
  </si>
  <si>
    <t>INST_5_APPOINTMENT_DETAILS_PAGE_ABORT_NO_ACCESS_CHROME</t>
  </si>
  <si>
    <t>INST_5_APPOINTMENT_DETAILS_PAGE_ABORT_NO_ACCESS_IE</t>
  </si>
  <si>
    <t>INST_5_DOORSTEP_PROTOCOL_PAGE_ABORT_DOORSTEP_PROCEDURE_FAIL_CHROME</t>
  </si>
  <si>
    <t>INST_5_DOORSTEP_PROTOCOL_PAGE_ABORT_DOORSTEP_PROCEDURE_FAIL_IE</t>
  </si>
  <si>
    <t>INST_5_ELEC_INITIAL_POLARITY_CHECK_AT_METER_PAGE_ABORT_CHROME</t>
  </si>
  <si>
    <t>INST_5_ELEC_INITIAL_POLARITY_CHECK_AT_METER_PAGE_ABORT_IE</t>
  </si>
  <si>
    <t>INST_5_ELEC_INITIAL_RISK_ASSESSMENT_PAGE_ABORT_CHROME</t>
  </si>
  <si>
    <t>INST_5_ELEC_INITIAL_RISK_ASSESSMENT_PAGE_ABORT_IE</t>
  </si>
  <si>
    <t>INST_5_ELEC_RISK_ASSESSMENT_PAGE_ABORT_CHROME</t>
  </si>
  <si>
    <t>INST_5_ELEC_RISK_ASSESSMENT_PAGE_ABORT_IE</t>
  </si>
  <si>
    <t>INST_5_END_TO_END_CHROME</t>
  </si>
  <si>
    <t>INST5 ROAD</t>
  </si>
  <si>
    <t>E1FRST</t>
  </si>
  <si>
    <t>Install New 1PH Credit Elec Metering System</t>
  </si>
  <si>
    <t>INST5</t>
  </si>
  <si>
    <t>EXCHANGE_9_APPOINTMENT_DETAILS_PAGE_ABORT_NO_ACCESS_CHROME</t>
  </si>
  <si>
    <t>EXCHANGE_9_APPOINTMENT_DETAILS_PAGE_ABORT_NO_ACCESS_IE</t>
  </si>
  <si>
    <t>EXCHANGE_9_DOORSTEP_PROTOCOL_PAGE_ABORT_DOORSTEP_PROCEDURE_FAIL_CHROME</t>
  </si>
  <si>
    <t>EXCHANGE_9_DOORSTEP_PROTOCOL_PAGE_ABORT_DOORSTEP_PROCEDURE_FAIL_IE</t>
  </si>
  <si>
    <t>EXCHANGE_9_ELEC_HAN_WAN_CHECKS_PAGE_ABORT_CHROME</t>
  </si>
  <si>
    <t>EXCHANGE_9_ELEC_HAN_WAN_CHECKS_PAGE_ABORT_IE</t>
  </si>
  <si>
    <t>EXCHANGE_9_ELEC_INITIAL_POLARITY_CHECK_AT_METER_PAGE_ABORT_CHROME</t>
  </si>
  <si>
    <t>EXCHANGE_9_ELEC_INITIAL_POLARITY_CHECK_AT_METER_PAGE_ABORT_IE</t>
  </si>
  <si>
    <t>EXCHANGE_9_ELEC_INITIAL_RISK_ASSESSMENT_PAGE_ABORT_CHROME</t>
  </si>
  <si>
    <t>EXCHANGE_9_ELEC_INITIAL_RISK_ASSESSMENT_PAGE_ABORT_IE</t>
  </si>
  <si>
    <t>EXCHANGE_9_ELEC_RISK_ASSESSMENT_PAGE_ABORT_CHROME</t>
  </si>
  <si>
    <t>EXCHANGE_9_ELEC_RISK_ASSESSMENT_PAGE_ABORT_IE</t>
  </si>
  <si>
    <t>EXCHANGE_9_ELEC_SUITABLE_FOR_SMART_INSTALLATION_PAGE_ABORT_CHROME</t>
  </si>
  <si>
    <t>EXCHANGE_9_ELEC_SUITABLE_FOR_SMART_INSTALLATION_PAGE_ABORT_IE</t>
  </si>
  <si>
    <t>EXCHANGE_9_END_TO_END_CHROME</t>
  </si>
  <si>
    <t>EXCHANGE_9_GAS_METER_INITIAL_RISK_ASSESSMENT_GAS_ABORT_CHROME</t>
  </si>
  <si>
    <t>EXCHANGE_9_GAS_METER_INITIAL_RISK_ASSESSMENT_GAS_ABORT_IE</t>
  </si>
  <si>
    <t>EXCHANGE_9_GAS_METER_POST_INSTALLATION_GAS_TIGHTNESS_TEST_ABORT_CHROME</t>
  </si>
  <si>
    <t>EXCHANGE_9_GAS_METER_POST_INSTALLATION_GAS_TIGHTNESS_TEST_ABORT_IE</t>
  </si>
  <si>
    <t>EXCHANGE_9_GAS_METER_PRE_INSTALLATION_GAS_TIGHTNESS_TEST_FAILED_TEST_ABORT_CHROME</t>
  </si>
  <si>
    <t>EXCHANGE_9_GAS_METER_PRE_INSTALLATION_GAS_TIGHTNESS_TEST_FAILED_TEST_ABORT_IE</t>
  </si>
  <si>
    <t>EXCHANGE_9_GAS_METER_PRE_INSTALLATION_GAS_TIGHTNESS_TEST_LOW_PRESSURE_ABORT_CHROME</t>
  </si>
  <si>
    <t>EXCHANGE_9_GAS_METER_PRE_INSTALLATION_GAS_TIGHTNESS_TEST_LOW_PRESSURE_ABORT_IE</t>
  </si>
  <si>
    <t>EXCHANGE_9_GAS_RISK_ASSESSMENT_GAS_ABORT_LOW_PRESSURE_CHROME</t>
  </si>
  <si>
    <t>EXCHANGE_9_GAS_RISK_ASSESSMENT_GAS_ABORT_LOW_PRESSURE_IE</t>
  </si>
  <si>
    <t>EXCHANGE_9_GAS_RISK_ASSESSMENT_GAS_ABORT_MED_PRESSURE_CHROME</t>
  </si>
  <si>
    <t>EXCHANGE_9_GAS_RISK_ASSESSMENT_GAS_ABORT_MED_PRESSURE_IE</t>
  </si>
  <si>
    <t>EXCH11 ROAD</t>
  </si>
  <si>
    <t>E4FRST</t>
  </si>
  <si>
    <t>1U Exchange CR to PP Metering System</t>
  </si>
  <si>
    <t>EXCH11</t>
  </si>
  <si>
    <t>EXCHANGE_11_APPOINTMENT_DETAILS_PAGE_ABORT_NO_ACCESS_CHROME</t>
  </si>
  <si>
    <t>EXCHANGE_11_APPOINTMENT_DETAILS_PAGE_ABORT_NO_ACCESS_IE</t>
  </si>
  <si>
    <t>EXCHANGE_11_DOORSTEP_PROTOCOL_PAGE_ABORT_DOORSTEP_PROCEDURE_FAIL_CHROME</t>
  </si>
  <si>
    <t>EXCHANGE_11_ELEC_INITIAL_POLARITY_CHECK_AT_METER_PAGE_ABORT_CHROME</t>
  </si>
  <si>
    <t>EXCHANGE_11_ELEC_INITIAL_POLARITY_CHECK_AT_METER_PAGE_ABORT_IE</t>
  </si>
  <si>
    <t>EXCHANGE_11_ELEC_INITIAL_RISK_ASSESSMENT_PAGE_ABORT_CHROME</t>
  </si>
  <si>
    <t>EXCHANGE_11_ELEC_INITIAL_RISK_ASSESSMENT_PAGE_ABORT_IE</t>
  </si>
  <si>
    <t>EXCHANGE_11_ELEC_RISK_ASSESSMENT_PAGE_ABORT_CHROME</t>
  </si>
  <si>
    <t>EXCHANGE_11_ELEC_RISK_ASSESSMENT_PAGE_ABORT_IE</t>
  </si>
  <si>
    <t>EXCHANGE_11_END_TO_END_CHROME</t>
  </si>
  <si>
    <t>EXCHANGE GAS METER TO SECURE SMART CREDIT</t>
  </si>
  <si>
    <t>EXCHANGE_1_GAS_METER_POST_INSTALLATION_GAS_TIGHTNESS_TEST_ABORT_CHROME</t>
  </si>
  <si>
    <t>EXCHANGE_1_GAS_METER_POST_INSTALLATION_GAS_TIGHTNESS_TEST_ABORT_IE</t>
  </si>
  <si>
    <t>EXCHANGE_1_GAS_METER_PRE_INSTALLATION_GAS_TIGHTNESS_TEST_FAILED_TEST_ABORT_CHROME</t>
  </si>
  <si>
    <t>EXCHANGE_1_GAS_METER_PRE_INSTALLATION_GAS_TIGHTNESS_TEST_FAILED_TEST_ABORT_IE</t>
  </si>
  <si>
    <t>EXCHANGE_1_GAS_METER_PRE_INSTALLATION_GAS_TIGHTNESS_TEST_LOW_PRESSURE_ABORT_CHROME</t>
  </si>
  <si>
    <t>EXCHANGE_1_GAS_METER_PRE_INSTALLATION_GAS_TIGHTNESS_TEST_LOW_PRESSURE_ABORT_IE</t>
  </si>
  <si>
    <t>EXCHANGE_1_GAS_RISK_ASSESSMENT_GAS_ABORT_LOW_PRESSURE_CHROME</t>
  </si>
  <si>
    <t>EXCHANGE_1_GAS_RISK_ASSESSMENT_GAS_ABORT_LOW_PRESSURE_IE</t>
  </si>
  <si>
    <t>EXCHANGE_1_GAS_RISK_ASSESSMENT_GAS_ABORT_MED_PRESSURE_CHROME</t>
  </si>
  <si>
    <t>EXCHANGE_1_GAS_RISK_ASSESSMENT_GAS_ABORT_MED_PRESSURE_IE</t>
  </si>
  <si>
    <t>REMOVE GAS METERING SYSTEM</t>
  </si>
  <si>
    <t>RMVE1 ROAD</t>
  </si>
  <si>
    <t>G11</t>
  </si>
  <si>
    <t>RMVE1</t>
  </si>
  <si>
    <t>RMVE_1_APPOINTMENT_DETAILS_PAGE_ABORT_NO_ACCESS_CHROME</t>
  </si>
  <si>
    <t>RMVE_1_APPOINTMENT_DETAILS_PAGE_ABORT_NO_ACCESS_IE</t>
  </si>
  <si>
    <t>RMVE_1_DOORSTEP_PROTOCOL_PAGE_ABORT_DOORSTEP_PROCEDURE_FAIL_CHROME</t>
  </si>
  <si>
    <t>RMVE_1_DOORSTEP_PROTOCOL_PAGE_ABORT_DOORSTEP_PROCEDURE_FAIL_IE</t>
  </si>
  <si>
    <t>RMVE_1_END_TO_END_CHROME</t>
  </si>
  <si>
    <t>RMVE_1_GAS_METER_INITIAL_RISK_ASSESSMENT_GAS_ABORT_CHROME</t>
  </si>
  <si>
    <t>RMVE_1_GAS_METER_INITIAL_RISK_ASSESSMENT_GAS_ABORT_IE</t>
  </si>
  <si>
    <t>RMVE_1_GAS_RISK_ASSESSMENT_GAS_ABORT_LOW_PRESSURE_CHROME</t>
  </si>
  <si>
    <t>RMVE_1_GAS_RISK_ASSESSMENT_GAS_ABORT_LOW_PRESSURE_IE</t>
  </si>
  <si>
    <t>RMVE_1_GAS_RISK_ASSESSMENT_GAS_ABORT_MED_PRESSURE_CHROME</t>
  </si>
  <si>
    <t>RMVE_1_GAS_RISK_ASSESSMENT_GAS_ABORT_MED_PRESSURE_IE</t>
  </si>
  <si>
    <t>ASSET_MANAGEMENT_ADD_ASSETS_CHROME</t>
  </si>
  <si>
    <t>ASSET_MANAGEMENT_STOCK_TAKE_CHROME</t>
  </si>
  <si>
    <t>ASSET_MANAGEMENT_ADD_ASSETS_IE</t>
  </si>
  <si>
    <t>ASSET_MANAGEMENT_STOCK_TAKE_IE</t>
  </si>
  <si>
    <t>AM ROAD</t>
  </si>
  <si>
    <t>CUSTOMER_ADDRESS</t>
  </si>
  <si>
    <t>DS_PASSWORD_PLAIN</t>
  </si>
  <si>
    <t>APPNT_REMARKS</t>
  </si>
  <si>
    <t>EXCHANGE_3_RETURN_TO_APPOINTMENTS_LIST_PAGE_FROM_APPOINTMENT_DETAILS_PAGE_CHROME</t>
  </si>
  <si>
    <t>EXCHANGE_3_RETURN_TO_APPOINTMENTS_LIST_PAGE_FROM_APPOINTMENT_DETAILS_PAGE_IE</t>
  </si>
  <si>
    <t>Automation2</t>
  </si>
  <si>
    <t>Aut0m4t1on2</t>
  </si>
  <si>
    <t>Aut0m4t1on</t>
  </si>
  <si>
    <t>AUTOTEST</t>
  </si>
  <si>
    <t>AUTOMATION2</t>
  </si>
  <si>
    <t>AA_Logon_Water</t>
  </si>
  <si>
    <t>EXCHANGE_3_GAS_SMETER_POST_INSTALLATION_PRESSURE_DROP_ABORT_CHROME</t>
  </si>
  <si>
    <t>EXCHANGE_3_DOORSTEP_PROTOCOL_PAGE_SUSPEND_DOORSTEP_PROCEDURE_FAIL_CHROME</t>
  </si>
  <si>
    <t>EXCHANGE_3_SPARK_END_TO_END_CHROME</t>
  </si>
  <si>
    <t>SPRK</t>
  </si>
  <si>
    <t>AUTOTEST2</t>
  </si>
  <si>
    <t>EXCHANGE_11_END_TO_END_SPARK_CHROME</t>
  </si>
  <si>
    <t>EXCHANGE_2_END_TO_END_SPARK_CHROME</t>
  </si>
  <si>
    <t>EXCHANGE_5_END_TO_END_SPARK_CHROME</t>
  </si>
  <si>
    <t>EXCHANGE_9_END_TO_END_SPARK_CHROME</t>
  </si>
  <si>
    <t>FLTY_17_END_TO_END_SPARK_CHROME</t>
  </si>
  <si>
    <t>FLTY_2_END_TO_END_SPARK_CHROME</t>
  </si>
  <si>
    <t>INST_5_END_TO_END_SPARK_CHROME</t>
  </si>
  <si>
    <t>NMEX_5_END_TO_END_SPARK_CHROME</t>
  </si>
  <si>
    <t>RMVE_1_END_TO_END_SPARK_CHROME</t>
  </si>
  <si>
    <t>EXCHANGE_11_DOORSTEP_PROTOCOL_PAGE_ABORT_DOORSTEP_PROCEDURE_FAIL_SPARK_CHROME</t>
  </si>
  <si>
    <t>ECOT</t>
  </si>
  <si>
    <t>NL03DF</t>
  </si>
  <si>
    <t>E181XX</t>
  </si>
  <si>
    <t>SPK001</t>
  </si>
  <si>
    <t>NG01W1</t>
  </si>
  <si>
    <t>NH09DF</t>
  </si>
  <si>
    <t>NE01W1</t>
  </si>
  <si>
    <t>D011CX</t>
  </si>
  <si>
    <t>D211XX</t>
  </si>
  <si>
    <t>D021KX</t>
  </si>
  <si>
    <t>D111CX</t>
  </si>
  <si>
    <t>INST3 ROAD</t>
  </si>
  <si>
    <t>INST3</t>
  </si>
  <si>
    <t>INSTALL SMART CREDIT METER</t>
  </si>
  <si>
    <t>INST_3_APPOINTMENT_DETAILS_PAGE_ABORT_NO_ACCESS_CHROME</t>
  </si>
  <si>
    <t>INST_3_END_TO_END_ECOT_CHROME</t>
  </si>
  <si>
    <t>TPJR00532</t>
  </si>
  <si>
    <t>TPJR00533</t>
  </si>
  <si>
    <t>TPJR00534</t>
  </si>
  <si>
    <t>TPJR00535</t>
  </si>
  <si>
    <t>TPJR00536</t>
  </si>
  <si>
    <t>TPJR00537</t>
  </si>
  <si>
    <t>TPJR00538</t>
  </si>
  <si>
    <t>TPJR00539</t>
  </si>
  <si>
    <t>TPJR00541</t>
  </si>
  <si>
    <t>INST_3_DOORSTEP_PROTOCOL_PAGE_ABORT_DOORSTEP_PROCEDURE_FAIL_CHROME</t>
  </si>
  <si>
    <t>INST_3_ELEC_HAN_WAN_CHECKS_PAGE_ABORT_CHROME</t>
  </si>
  <si>
    <t>INST_3_ELEC_INITIAL_POLARITY_CHECK_AT_METER_PAGE_ABORT_CHROME</t>
  </si>
  <si>
    <t>INST_3_ELEC_INITIAL_RISK_ASSESSMENT_PAGE_ABORT_CHROME</t>
  </si>
  <si>
    <t>INST_3_ELEC_RISK_ASSESSMENT_PAGE_ABORT_CHROME</t>
  </si>
  <si>
    <t>INST_3_ELEC_SUITABLE_FOR_SMART_INSTALLATION_PAGE_ABORT_CHROME</t>
  </si>
  <si>
    <t>INST_3_GAS_METER_INITIAL_RISK_ASSESSMENT_GAS_ABORT_CHROME</t>
  </si>
  <si>
    <t>INST_3_GAS_METER_POST_INSTALLATION_GAS_TIGHTNESS_TEST_ABORT_CHROME</t>
  </si>
  <si>
    <t>INST_3_GAS_RISK_ASSESSMENT_GAS_ABORT_LOW_PRESSURE_CHROME</t>
  </si>
  <si>
    <t>INST_3_GAS_RISK_ASSESSMENT_GAS_ABORT_MED_PRESSURE_CHROME</t>
  </si>
  <si>
    <t>INST_12_END_TO_END_ECOT_CHROME</t>
  </si>
  <si>
    <t>INST_12_ELEC_INITIAL_POLARITY_CHECK_AT_METER_PAGE_ABORT_CHROME</t>
  </si>
  <si>
    <t>INST_12_ELEC_INITIAL_RISK_ASSESSMENT_PAGE_ABORT_CHROME</t>
  </si>
  <si>
    <t>INST_12_ELEC_RISK_ASSESSMENT_PAGE_ABORT_CHROME</t>
  </si>
  <si>
    <t>INST_12_ELEC_SUITABLE_FOR_SMART_INSTALLATION_PAGE_ABORT_CHROME</t>
  </si>
  <si>
    <t>INST_12_APPOINTMENT_DETAILS_PAGE_ABORT_NO_ACCESS_CHROME</t>
  </si>
  <si>
    <t>INST_12_GAS_METER_INITIAL_RISK_ASSESSMENT_GAS_ABORT_CHROME</t>
  </si>
  <si>
    <t>INST_12_GAS_METER_POST_INSTALLATION_GAS_TIGHTNESS_TEST_ABORT_CHROME</t>
  </si>
  <si>
    <t>INST_12_GAS_RISK_ASSESSMENT_GAS_ABORT_LOW_PRESSURE_CHROME</t>
  </si>
  <si>
    <t>INST_12_GAS_RISK_ASSESSMENT_GAS_ABORT_MED_PRESSURE_CHROME</t>
  </si>
  <si>
    <t>INST_8_END_TO_END_ECOT_CHROME</t>
  </si>
  <si>
    <t>INST8 ROAD</t>
  </si>
  <si>
    <t>NE01K1</t>
  </si>
  <si>
    <t>INSTALL NEW 1PH 1 rate PP Elec</t>
  </si>
  <si>
    <t>INST8</t>
  </si>
  <si>
    <t>INST_8_ELEC_METER_FOUND_END_TO_END_ECOT_CHROME</t>
  </si>
  <si>
    <t>INST_8_DOORSTEP_PROTOCOL_PAGE_ABORT_DOORSTEP_PROCEDURE_FAIL_ECOT_CHROME</t>
  </si>
  <si>
    <t>INST_8_ELEC_INITIAL_POLARITY_CHECK_AT_METER_PAGE_ABORT_ECOT_CHROME</t>
  </si>
  <si>
    <t>INST_8_ELEC_INITIAL_RISK_ASSESSMENT_PAGE_ABORT_ECOT_CHROME</t>
  </si>
  <si>
    <t>INST_8_ELEC_RISK_ASSESSMENT_PAGE_ABORT_ECOT_CHROME</t>
  </si>
  <si>
    <t>INST_8_APPOINTMENT_DETAILS_PAGE_ABORT_NO_ACCESS_ECOT_CHROME</t>
  </si>
  <si>
    <t>INST_8_ELEC_INITIAL_POLARITY_FAIL_PROCEED_END_TO_END_ECOT_CHROME</t>
  </si>
  <si>
    <t>INST12 ROAD</t>
  </si>
  <si>
    <t>D121KX</t>
  </si>
  <si>
    <t>INSTALL NEW DF PREPAYMENT METER SYSTEM 1PH (G3)</t>
  </si>
  <si>
    <t>INSTALL NEW DF CREDIT METER SYSTEM 1PH (G4)</t>
  </si>
  <si>
    <t>INST12</t>
  </si>
  <si>
    <t>INST_12_DOORSTEP_PROTOCOL_PAGE_ABORT_DOORSTEP_PROCEDURE_FAIL_ECOT_CHROME</t>
  </si>
  <si>
    <t>INST_12_ELEC_HAN_WAN_CHECKS_PAGE_ABORT_ECOT_CHROME</t>
  </si>
  <si>
    <t>https://siemens-og-bykrw4bu7an2nvbgh7xdzce7-sdg1-dev.mbaas1.sdg.feedhenry.com/#/login</t>
  </si>
  <si>
    <t>IE_SUB100_METER_EXCH_HV_CT</t>
  </si>
  <si>
    <t>2018-08-13 08:00</t>
  </si>
  <si>
    <t>2018-08-13 18:00</t>
  </si>
  <si>
    <t>CHROME_SUB100_METER_EXCH_HV_CT</t>
  </si>
  <si>
    <t>IE_SUB100_METER_EXCH_WC_1PH</t>
  </si>
  <si>
    <t>CHROME_SUB100_METER_EXCH_WC_1PH</t>
  </si>
  <si>
    <t>IE_SUB100_METER_EXCH_LV_CT</t>
  </si>
  <si>
    <t>CHROME_SUB100_METER_EXCH_LV_CT</t>
  </si>
  <si>
    <t>IE_SUB100_METER_EXCH_WC_3PH</t>
  </si>
  <si>
    <t>CHROME_SUB100_METER_EXCH_WC_3PH</t>
  </si>
</sst>
</file>

<file path=xl/styles.xml><?xml version="1.0" encoding="utf-8"?>
<styleSheet xmlns="http://schemas.openxmlformats.org/spreadsheetml/2006/main">
  <numFmts count="4">
    <numFmt numFmtId="164" formatCode="yyyy\-mm\-dd\ hh:mm"/>
    <numFmt numFmtId="165" formatCode="yyyy\-mm\-dd"/>
    <numFmt numFmtId="166" formatCode="yyyy\-mm\-dd\ &quot;08:00&quot;"/>
    <numFmt numFmtId="167" formatCode="yyyy\-mm\-dd\ &quot;18:00&quot;"/>
  </numFmts>
  <fonts count="43">
    <font>
      <sz val="10"/>
      <color theme="1"/>
      <name val="Arial"/>
      <family val="2"/>
    </font>
    <font>
      <u/>
      <sz val="10"/>
      <color theme="10"/>
      <name val="Arial"/>
      <family val="2"/>
    </font>
    <font>
      <sz val="8"/>
      <color theme="1"/>
      <name val="Calibri"/>
      <family val="2"/>
      <scheme val="minor"/>
    </font>
    <font>
      <sz val="8"/>
      <name val="Calibri"/>
      <family val="2"/>
      <scheme val="minor"/>
    </font>
    <font>
      <sz val="8"/>
      <color rgb="FF3D6077"/>
      <name val="Calibri"/>
      <family val="2"/>
      <scheme val="minor"/>
    </font>
    <font>
      <b/>
      <sz val="8"/>
      <color theme="1"/>
      <name val="Calibri"/>
      <family val="2"/>
      <scheme val="minor"/>
    </font>
    <font>
      <b/>
      <sz val="8"/>
      <color theme="4" tint="-0.249977111117893"/>
      <name val="Calibri"/>
      <family val="2"/>
      <scheme val="minor"/>
    </font>
    <font>
      <b/>
      <sz val="8"/>
      <color indexed="63"/>
      <name val="Calibri"/>
      <family val="2"/>
      <scheme val="minor"/>
    </font>
    <font>
      <b/>
      <sz val="8"/>
      <color indexed="54"/>
      <name val="Calibri"/>
      <family val="2"/>
      <scheme val="minor"/>
    </font>
    <font>
      <b/>
      <sz val="8"/>
      <color rgb="FF3D6077"/>
      <name val="Calibri"/>
      <family val="2"/>
      <scheme val="minor"/>
    </font>
    <font>
      <sz val="8"/>
      <color indexed="63"/>
      <name val="Calibri"/>
      <family val="2"/>
      <scheme val="minor"/>
    </font>
    <font>
      <b/>
      <sz val="8"/>
      <color rgb="FFFF0000"/>
      <name val="Calibri"/>
      <family val="2"/>
      <scheme val="minor"/>
    </font>
    <font>
      <b/>
      <sz val="8"/>
      <color theme="9" tint="-0.249977111117893"/>
      <name val="Calibri"/>
      <family val="2"/>
      <scheme val="minor"/>
    </font>
    <font>
      <sz val="4"/>
      <color theme="9" tint="-0.249977111117893"/>
      <name val="Calibri"/>
      <family val="2"/>
      <scheme val="minor"/>
    </font>
    <font>
      <sz val="4"/>
      <color theme="0" tint="-0.34998626667073579"/>
      <name val="Calibri"/>
      <family val="2"/>
      <scheme val="minor"/>
    </font>
    <font>
      <b/>
      <sz val="8"/>
      <color indexed="63"/>
      <name val="Calibri"/>
      <family val="2"/>
    </font>
    <font>
      <b/>
      <sz val="8"/>
      <color indexed="54"/>
      <name val="Calibri"/>
      <family val="2"/>
    </font>
    <font>
      <sz val="4"/>
      <color theme="0" tint="-0.34998626667073579"/>
      <name val="Calibri"/>
      <family val="2"/>
    </font>
    <font>
      <sz val="4"/>
      <color theme="9" tint="-0.249977111117893"/>
      <name val="Calibri"/>
      <family val="2"/>
    </font>
    <font>
      <b/>
      <sz val="8"/>
      <color theme="9" tint="-0.249977111117893"/>
      <name val="Calibri"/>
      <family val="2"/>
    </font>
    <font>
      <sz val="4"/>
      <color theme="0" tint="-0.499984740745262"/>
      <name val="Arial"/>
      <family val="2"/>
    </font>
    <font>
      <b/>
      <sz val="8"/>
      <color theme="1" tint="4.9989318521683403E-2"/>
      <name val="Calibri"/>
      <family val="2"/>
      <scheme val="minor"/>
    </font>
    <font>
      <sz val="4"/>
      <color theme="0" tint="-0.499984740745262"/>
      <name val="Calibri"/>
      <family val="2"/>
      <scheme val="minor"/>
    </font>
    <font>
      <sz val="4"/>
      <color theme="9" tint="-0.249977111117893"/>
      <name val="Arial"/>
      <family val="2"/>
    </font>
    <font>
      <sz val="4"/>
      <color indexed="63"/>
      <name val="Calibri"/>
      <family val="2"/>
      <scheme val="minor"/>
    </font>
    <font>
      <sz val="4"/>
      <color theme="1"/>
      <name val="Calibri"/>
      <family val="2"/>
      <scheme val="minor"/>
    </font>
    <font>
      <sz val="8"/>
      <color theme="1" tint="0.14999847407452621"/>
      <name val="Calibri"/>
      <family val="2"/>
      <scheme val="minor"/>
    </font>
    <font>
      <sz val="4"/>
      <color theme="1" tint="0.14999847407452621"/>
      <name val="Calibri"/>
      <family val="2"/>
      <scheme val="minor"/>
    </font>
    <font>
      <b/>
      <sz val="8"/>
      <color theme="1" tint="0.14999847407452621"/>
      <name val="Calibri"/>
      <family val="2"/>
      <scheme val="minor"/>
    </font>
    <font>
      <sz val="4"/>
      <color theme="1" tint="0.14999847407452621"/>
      <name val="Calibri"/>
      <family val="2"/>
    </font>
    <font>
      <b/>
      <sz val="8"/>
      <color theme="1" tint="0.14999847407452621"/>
      <name val="Calibri"/>
      <family val="2"/>
    </font>
    <font>
      <sz val="4"/>
      <color theme="1" tint="0.14999847407452621"/>
      <name val="Arial"/>
      <family val="2"/>
    </font>
    <font>
      <sz val="9"/>
      <color indexed="81"/>
      <name val="Tahoma"/>
      <family val="2"/>
    </font>
    <font>
      <b/>
      <sz val="9"/>
      <color indexed="81"/>
      <name val="Tahoma"/>
      <family val="2"/>
    </font>
    <font>
      <sz val="4"/>
      <color rgb="FFFF0000"/>
      <name val="Calibri"/>
      <family val="2"/>
    </font>
    <font>
      <b/>
      <sz val="8"/>
      <color rgb="FFFF0000"/>
      <name val="Calibri"/>
      <family val="2"/>
    </font>
    <font>
      <u/>
      <sz val="4"/>
      <color theme="0" tint="-0.34998626667073579"/>
      <name val="Calibri"/>
      <family val="2"/>
      <scheme val="minor"/>
    </font>
    <font>
      <sz val="4"/>
      <color theme="0" tint="-0.499984740745262"/>
      <name val="Calibri"/>
      <family val="2"/>
    </font>
    <font>
      <u/>
      <sz val="4"/>
      <color theme="0" tint="-0.499984740745262"/>
      <name val="Calibri"/>
      <family val="2"/>
      <scheme val="minor"/>
    </font>
    <font>
      <sz val="10"/>
      <color theme="0" tint="-0.499984740745262"/>
      <name val="Arial"/>
      <family val="2"/>
    </font>
    <font>
      <sz val="4"/>
      <color theme="5" tint="-0.249977111117893"/>
      <name val="Calibri"/>
      <family val="2"/>
      <scheme val="minor"/>
    </font>
    <font>
      <b/>
      <sz val="8"/>
      <color theme="5" tint="-0.249977111117893"/>
      <name val="Calibri"/>
      <family val="2"/>
      <scheme val="minor"/>
    </font>
    <font>
      <sz val="8"/>
      <color rgb="FF1F497D"/>
      <name val="Calibri"/>
      <family val="2"/>
      <scheme val="minor"/>
    </font>
  </fonts>
  <fills count="22">
    <fill>
      <patternFill patternType="none"/>
    </fill>
    <fill>
      <patternFill patternType="gray125"/>
    </fill>
    <fill>
      <patternFill patternType="solid">
        <fgColor theme="0"/>
        <bgColor indexed="64"/>
      </patternFill>
    </fill>
    <fill>
      <patternFill patternType="solid">
        <fgColor theme="3" tint="0.79998168889431442"/>
        <bgColor indexed="64"/>
      </patternFill>
    </fill>
    <fill>
      <patternFill patternType="solid">
        <fgColor theme="4" tint="0.39997558519241921"/>
        <bgColor indexed="64"/>
      </patternFill>
    </fill>
    <fill>
      <patternFill patternType="solid">
        <fgColor theme="3" tint="0.59999389629810485"/>
        <bgColor indexed="64"/>
      </patternFill>
    </fill>
    <fill>
      <patternFill patternType="solid">
        <fgColor theme="5" tint="0.59999389629810485"/>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rgb="FFFFFFCC"/>
        <bgColor indexed="64"/>
      </patternFill>
    </fill>
    <fill>
      <patternFill patternType="solid">
        <fgColor theme="6" tint="0.79998168889431442"/>
        <bgColor indexed="64"/>
      </patternFill>
    </fill>
    <fill>
      <patternFill patternType="solid">
        <fgColor theme="9" tint="0.39997558519241921"/>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0" tint="-0.249977111117893"/>
        <bgColor indexed="64"/>
      </patternFill>
    </fill>
    <fill>
      <patternFill patternType="solid">
        <fgColor theme="2" tint="-9.9978637043366805E-2"/>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9" tint="0.39994506668294322"/>
        <bgColor indexed="64"/>
      </patternFill>
    </fill>
    <fill>
      <patternFill patternType="solid">
        <fgColor theme="6" tint="0.39994506668294322"/>
        <bgColor indexed="64"/>
      </patternFill>
    </fill>
    <fill>
      <patternFill patternType="solid">
        <fgColor rgb="FFFFFF00"/>
        <bgColor indexed="64"/>
      </patternFill>
    </fill>
  </fills>
  <borders count="2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auto="1"/>
      </left>
      <right style="medium">
        <color indexed="64"/>
      </right>
      <top/>
      <bottom style="thin">
        <color auto="1"/>
      </bottom>
      <diagonal/>
    </border>
    <border>
      <left style="medium">
        <color indexed="64"/>
      </left>
      <right style="thin">
        <color indexed="64"/>
      </right>
      <top style="thin">
        <color indexed="64"/>
      </top>
      <bottom style="thin">
        <color indexed="64"/>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style="thin">
        <color theme="0" tint="-0.499984740745262"/>
      </right>
      <top/>
      <bottom/>
      <diagonal/>
    </border>
    <border>
      <left style="thin">
        <color indexed="64"/>
      </left>
      <right/>
      <top/>
      <bottom style="thin">
        <color indexed="64"/>
      </bottom>
      <diagonal/>
    </border>
  </borders>
  <cellStyleXfs count="2">
    <xf numFmtId="0" fontId="0" fillId="0" borderId="0"/>
    <xf numFmtId="0" fontId="1" fillId="0" borderId="0" applyNumberFormat="0" applyFill="0" applyBorder="0" applyAlignment="0" applyProtection="0">
      <alignment vertical="top"/>
      <protection locked="0"/>
    </xf>
  </cellStyleXfs>
  <cellXfs count="255">
    <xf numFmtId="0" fontId="0" fillId="0" borderId="0" xfId="0"/>
    <xf numFmtId="49" fontId="2" fillId="2" borderId="0" xfId="0" applyNumberFormat="1" applyFont="1" applyFill="1"/>
    <xf numFmtId="49" fontId="2" fillId="2" borderId="1" xfId="0" applyNumberFormat="1" applyFont="1" applyFill="1" applyBorder="1"/>
    <xf numFmtId="0" fontId="2" fillId="2" borderId="0" xfId="0" applyFont="1" applyFill="1"/>
    <xf numFmtId="1" fontId="2" fillId="2" borderId="0" xfId="0" applyNumberFormat="1" applyFont="1" applyFill="1"/>
    <xf numFmtId="0" fontId="4" fillId="2" borderId="0" xfId="0" applyFont="1" applyFill="1"/>
    <xf numFmtId="1" fontId="2" fillId="8" borderId="2" xfId="0" applyNumberFormat="1" applyFont="1" applyFill="1" applyBorder="1"/>
    <xf numFmtId="49" fontId="2" fillId="8" borderId="2" xfId="0" applyNumberFormat="1" applyFont="1" applyFill="1" applyBorder="1"/>
    <xf numFmtId="165" fontId="2" fillId="2" borderId="0" xfId="0" applyNumberFormat="1" applyFont="1" applyFill="1"/>
    <xf numFmtId="164" fontId="2" fillId="2" borderId="0" xfId="0" applyNumberFormat="1" applyFont="1" applyFill="1"/>
    <xf numFmtId="49" fontId="2" fillId="8" borderId="3" xfId="0" applyNumberFormat="1" applyFont="1" applyFill="1" applyBorder="1"/>
    <xf numFmtId="1" fontId="2" fillId="8" borderId="1" xfId="0" applyNumberFormat="1" applyFont="1" applyFill="1" applyBorder="1"/>
    <xf numFmtId="49" fontId="2" fillId="8" borderId="1" xfId="0" applyNumberFormat="1" applyFont="1" applyFill="1" applyBorder="1"/>
    <xf numFmtId="1" fontId="2" fillId="10" borderId="1" xfId="0" applyNumberFormat="1" applyFont="1" applyFill="1" applyBorder="1"/>
    <xf numFmtId="49" fontId="2" fillId="10" borderId="2" xfId="0" applyNumberFormat="1" applyFont="1" applyFill="1" applyBorder="1"/>
    <xf numFmtId="49" fontId="2" fillId="10" borderId="1" xfId="0" applyNumberFormat="1" applyFont="1" applyFill="1" applyBorder="1"/>
    <xf numFmtId="49" fontId="2" fillId="9" borderId="2" xfId="0" applyNumberFormat="1" applyFont="1" applyFill="1" applyBorder="1"/>
    <xf numFmtId="49" fontId="2" fillId="9" borderId="1" xfId="0" applyNumberFormat="1" applyFont="1" applyFill="1" applyBorder="1"/>
    <xf numFmtId="1" fontId="2" fillId="10" borderId="2" xfId="0" applyNumberFormat="1" applyFont="1" applyFill="1" applyBorder="1"/>
    <xf numFmtId="0" fontId="2" fillId="10" borderId="1" xfId="0" applyFont="1" applyFill="1" applyBorder="1"/>
    <xf numFmtId="1" fontId="2" fillId="9" borderId="2" xfId="0" applyNumberFormat="1" applyFont="1" applyFill="1" applyBorder="1"/>
    <xf numFmtId="1" fontId="2" fillId="9" borderId="1" xfId="0" applyNumberFormat="1" applyFont="1" applyFill="1" applyBorder="1"/>
    <xf numFmtId="1" fontId="5" fillId="10" borderId="12" xfId="0" applyNumberFormat="1" applyFont="1" applyFill="1" applyBorder="1" applyAlignment="1">
      <alignment horizontal="center"/>
    </xf>
    <xf numFmtId="1" fontId="5" fillId="9" borderId="12" xfId="0" applyNumberFormat="1" applyFont="1" applyFill="1" applyBorder="1" applyAlignment="1">
      <alignment horizontal="center"/>
    </xf>
    <xf numFmtId="166" fontId="2" fillId="2" borderId="0" xfId="0" applyNumberFormat="1" applyFont="1" applyFill="1"/>
    <xf numFmtId="167" fontId="2" fillId="2" borderId="0" xfId="0" applyNumberFormat="1" applyFont="1" applyFill="1"/>
    <xf numFmtId="165" fontId="2" fillId="10" borderId="1" xfId="0" applyNumberFormat="1" applyFont="1" applyFill="1" applyBorder="1"/>
    <xf numFmtId="0" fontId="3" fillId="8" borderId="2" xfId="0" applyFont="1" applyFill="1" applyBorder="1"/>
    <xf numFmtId="0" fontId="3" fillId="8" borderId="1" xfId="0" applyFont="1" applyFill="1" applyBorder="1"/>
    <xf numFmtId="1" fontId="5" fillId="8" borderId="12" xfId="0" applyNumberFormat="1" applyFont="1" applyFill="1" applyBorder="1" applyAlignment="1">
      <alignment horizontal="center"/>
    </xf>
    <xf numFmtId="1" fontId="5" fillId="11" borderId="13" xfId="0" applyNumberFormat="1" applyFont="1" applyFill="1" applyBorder="1" applyAlignment="1">
      <alignment horizontal="center"/>
    </xf>
    <xf numFmtId="49" fontId="7" fillId="2" borderId="0" xfId="0" applyNumberFormat="1" applyFont="1" applyFill="1" applyBorder="1"/>
    <xf numFmtId="49" fontId="10" fillId="0" borderId="0" xfId="0" applyNumberFormat="1" applyFont="1" applyFill="1" applyBorder="1"/>
    <xf numFmtId="0" fontId="10" fillId="0" borderId="0" xfId="0" applyNumberFormat="1" applyFont="1" applyFill="1" applyBorder="1"/>
    <xf numFmtId="49" fontId="2" fillId="5" borderId="10" xfId="0" applyNumberFormat="1" applyFont="1" applyFill="1" applyBorder="1" applyAlignment="1">
      <alignment horizontal="left"/>
    </xf>
    <xf numFmtId="49" fontId="2" fillId="5" borderId="4" xfId="0" applyNumberFormat="1" applyFont="1" applyFill="1" applyBorder="1" applyAlignment="1">
      <alignment horizontal="left"/>
    </xf>
    <xf numFmtId="0" fontId="2" fillId="5" borderId="6" xfId="0" applyFont="1" applyFill="1" applyBorder="1"/>
    <xf numFmtId="49" fontId="2" fillId="11" borderId="2" xfId="0" applyNumberFormat="1" applyFont="1" applyFill="1" applyBorder="1"/>
    <xf numFmtId="1" fontId="2" fillId="11" borderId="2" xfId="0" applyNumberFormat="1" applyFont="1" applyFill="1" applyBorder="1"/>
    <xf numFmtId="0" fontId="2" fillId="11" borderId="2" xfId="0" applyNumberFormat="1" applyFont="1" applyFill="1" applyBorder="1"/>
    <xf numFmtId="49" fontId="2" fillId="11" borderId="1" xfId="0" applyNumberFormat="1" applyFont="1" applyFill="1" applyBorder="1"/>
    <xf numFmtId="1" fontId="2" fillId="11" borderId="1" xfId="0" applyNumberFormat="1" applyFont="1" applyFill="1" applyBorder="1"/>
    <xf numFmtId="0" fontId="2" fillId="11" borderId="7" xfId="0" applyFont="1" applyFill="1" applyBorder="1"/>
    <xf numFmtId="1" fontId="5" fillId="4" borderId="11" xfId="0" applyNumberFormat="1" applyFont="1" applyFill="1" applyBorder="1" applyAlignment="1">
      <alignment horizontal="center"/>
    </xf>
    <xf numFmtId="49" fontId="7" fillId="2" borderId="14" xfId="0" applyNumberFormat="1" applyFont="1" applyFill="1" applyBorder="1"/>
    <xf numFmtId="0" fontId="5" fillId="2" borderId="14" xfId="0" applyNumberFormat="1" applyFont="1" applyFill="1" applyBorder="1"/>
    <xf numFmtId="0" fontId="8" fillId="2" borderId="14" xfId="0" applyNumberFormat="1" applyFont="1" applyFill="1" applyBorder="1"/>
    <xf numFmtId="49" fontId="8" fillId="2" borderId="14" xfId="0" applyNumberFormat="1" applyFont="1" applyFill="1" applyBorder="1"/>
    <xf numFmtId="0" fontId="6" fillId="7" borderId="14" xfId="0" applyFont="1" applyFill="1" applyBorder="1"/>
    <xf numFmtId="1" fontId="6" fillId="7" borderId="14" xfId="0" applyNumberFormat="1" applyFont="1" applyFill="1" applyBorder="1"/>
    <xf numFmtId="0" fontId="6" fillId="7" borderId="14" xfId="0" applyNumberFormat="1" applyFont="1" applyFill="1" applyBorder="1"/>
    <xf numFmtId="49" fontId="6" fillId="2" borderId="0" xfId="0" applyNumberFormat="1" applyFont="1" applyFill="1" applyBorder="1"/>
    <xf numFmtId="49" fontId="2" fillId="10" borderId="15" xfId="0" applyNumberFormat="1" applyFont="1" applyFill="1" applyBorder="1"/>
    <xf numFmtId="49" fontId="2" fillId="10" borderId="9" xfId="0" applyNumberFormat="1" applyFont="1" applyFill="1" applyBorder="1"/>
    <xf numFmtId="0" fontId="2" fillId="10" borderId="2" xfId="0" applyNumberFormat="1" applyFont="1" applyFill="1" applyBorder="1"/>
    <xf numFmtId="0" fontId="0" fillId="2" borderId="0" xfId="0" applyFill="1"/>
    <xf numFmtId="0" fontId="5" fillId="0" borderId="14" xfId="0" applyNumberFormat="1" applyFont="1" applyFill="1" applyBorder="1"/>
    <xf numFmtId="49" fontId="6" fillId="7" borderId="14" xfId="1" applyNumberFormat="1" applyFont="1" applyFill="1" applyBorder="1" applyAlignment="1" applyProtection="1"/>
    <xf numFmtId="49" fontId="7" fillId="0" borderId="14" xfId="0" applyNumberFormat="1" applyFont="1" applyFill="1" applyBorder="1"/>
    <xf numFmtId="1" fontId="8" fillId="0" borderId="14" xfId="0" applyNumberFormat="1" applyFont="1" applyFill="1" applyBorder="1"/>
    <xf numFmtId="49" fontId="8" fillId="0" borderId="14" xfId="0" applyNumberFormat="1" applyFont="1" applyFill="1" applyBorder="1"/>
    <xf numFmtId="0" fontId="8" fillId="0" borderId="14" xfId="0" applyNumberFormat="1" applyFont="1" applyFill="1" applyBorder="1"/>
    <xf numFmtId="1" fontId="8" fillId="2" borderId="14" xfId="0" applyNumberFormat="1" applyFont="1" applyFill="1" applyBorder="1"/>
    <xf numFmtId="0" fontId="9" fillId="2" borderId="14" xfId="0" applyFont="1" applyFill="1" applyBorder="1"/>
    <xf numFmtId="49" fontId="10" fillId="2" borderId="0" xfId="0" applyNumberFormat="1" applyFont="1" applyFill="1" applyBorder="1"/>
    <xf numFmtId="49" fontId="7" fillId="13" borderId="14" xfId="0" applyNumberFormat="1" applyFont="1" applyFill="1" applyBorder="1"/>
    <xf numFmtId="0" fontId="5" fillId="13" borderId="14" xfId="0" applyNumberFormat="1" applyFont="1" applyFill="1" applyBorder="1"/>
    <xf numFmtId="1" fontId="5" fillId="13" borderId="14" xfId="0" applyNumberFormat="1" applyFont="1" applyFill="1" applyBorder="1"/>
    <xf numFmtId="49" fontId="6" fillId="7" borderId="14" xfId="0" applyNumberFormat="1" applyFont="1" applyFill="1" applyBorder="1"/>
    <xf numFmtId="49" fontId="12" fillId="13" borderId="14" xfId="0" applyNumberFormat="1" applyFont="1" applyFill="1" applyBorder="1"/>
    <xf numFmtId="49" fontId="12" fillId="13" borderId="14" xfId="0" applyNumberFormat="1" applyFont="1" applyFill="1" applyBorder="1" applyAlignment="1">
      <alignment wrapText="1"/>
    </xf>
    <xf numFmtId="1" fontId="12" fillId="13" borderId="14" xfId="0" applyNumberFormat="1" applyFont="1" applyFill="1" applyBorder="1"/>
    <xf numFmtId="0" fontId="10" fillId="2" borderId="0" xfId="0" applyNumberFormat="1" applyFont="1" applyFill="1" applyBorder="1"/>
    <xf numFmtId="0" fontId="6" fillId="0" borderId="14" xfId="0" applyNumberFormat="1" applyFont="1" applyFill="1" applyBorder="1"/>
    <xf numFmtId="1" fontId="6" fillId="0" borderId="14" xfId="0" applyNumberFormat="1" applyFont="1" applyFill="1" applyBorder="1"/>
    <xf numFmtId="49" fontId="6" fillId="0" borderId="14" xfId="0" applyNumberFormat="1" applyFont="1" applyFill="1" applyBorder="1"/>
    <xf numFmtId="0" fontId="21" fillId="0" borderId="14" xfId="0" applyNumberFormat="1" applyFont="1" applyFill="1" applyBorder="1"/>
    <xf numFmtId="2" fontId="2" fillId="2" borderId="0" xfId="0" applyNumberFormat="1" applyFont="1" applyFill="1"/>
    <xf numFmtId="49" fontId="21" fillId="0" borderId="14" xfId="0" applyNumberFormat="1" applyFont="1" applyFill="1" applyBorder="1"/>
    <xf numFmtId="49" fontId="5" fillId="0" borderId="14" xfId="0" applyNumberFormat="1" applyFont="1" applyFill="1" applyBorder="1"/>
    <xf numFmtId="49" fontId="12" fillId="14" borderId="14" xfId="0" applyNumberFormat="1" applyFont="1" applyFill="1" applyBorder="1"/>
    <xf numFmtId="0" fontId="12" fillId="14" borderId="14" xfId="0" applyNumberFormat="1" applyFont="1" applyFill="1" applyBorder="1"/>
    <xf numFmtId="1" fontId="5" fillId="0" borderId="14" xfId="0" applyNumberFormat="1" applyFont="1" applyFill="1" applyBorder="1"/>
    <xf numFmtId="1" fontId="12" fillId="0" borderId="14" xfId="0" applyNumberFormat="1" applyFont="1" applyFill="1" applyBorder="1"/>
    <xf numFmtId="49" fontId="19" fillId="13" borderId="14" xfId="0" applyNumberFormat="1" applyFont="1" applyFill="1" applyBorder="1"/>
    <xf numFmtId="49" fontId="19" fillId="13" borderId="14" xfId="0" applyNumberFormat="1" applyFont="1" applyFill="1" applyBorder="1" applyAlignment="1">
      <alignment wrapText="1"/>
    </xf>
    <xf numFmtId="0" fontId="16" fillId="0" borderId="14" xfId="0" applyNumberFormat="1" applyFont="1" applyFill="1" applyBorder="1"/>
    <xf numFmtId="0" fontId="16" fillId="8" borderId="14" xfId="0" applyNumberFormat="1" applyFont="1" applyFill="1" applyBorder="1"/>
    <xf numFmtId="49" fontId="15" fillId="0" borderId="14" xfId="0" applyNumberFormat="1" applyFont="1" applyFill="1" applyBorder="1"/>
    <xf numFmtId="1" fontId="6" fillId="0" borderId="14" xfId="0" quotePrefix="1" applyNumberFormat="1" applyFont="1" applyFill="1" applyBorder="1"/>
    <xf numFmtId="49" fontId="7" fillId="6" borderId="14" xfId="0" applyNumberFormat="1" applyFont="1" applyFill="1" applyBorder="1"/>
    <xf numFmtId="0" fontId="8" fillId="6" borderId="14" xfId="0" applyNumberFormat="1" applyFont="1" applyFill="1" applyBorder="1"/>
    <xf numFmtId="0" fontId="12" fillId="13" borderId="14" xfId="0" applyNumberFormat="1" applyFont="1" applyFill="1" applyBorder="1"/>
    <xf numFmtId="49" fontId="13" fillId="12" borderId="14" xfId="0" applyNumberFormat="1" applyFont="1" applyFill="1" applyBorder="1"/>
    <xf numFmtId="0" fontId="28" fillId="2" borderId="14" xfId="0" applyNumberFormat="1" applyFont="1" applyFill="1" applyBorder="1"/>
    <xf numFmtId="0" fontId="28" fillId="0" borderId="14" xfId="0" applyNumberFormat="1" applyFont="1" applyFill="1" applyBorder="1"/>
    <xf numFmtId="0" fontId="30" fillId="0" borderId="14" xfId="0" applyNumberFormat="1" applyFont="1" applyFill="1" applyBorder="1"/>
    <xf numFmtId="49" fontId="28" fillId="0" borderId="14" xfId="0" applyNumberFormat="1" applyFont="1" applyFill="1" applyBorder="1"/>
    <xf numFmtId="49" fontId="28" fillId="2" borderId="0" xfId="0" applyNumberFormat="1" applyFont="1" applyFill="1" applyBorder="1"/>
    <xf numFmtId="49" fontId="26" fillId="2" borderId="0" xfId="0" applyNumberFormat="1" applyFont="1" applyFill="1" applyBorder="1"/>
    <xf numFmtId="49" fontId="26" fillId="0" borderId="0" xfId="0" applyNumberFormat="1" applyFont="1" applyFill="1" applyBorder="1"/>
    <xf numFmtId="49" fontId="27" fillId="12" borderId="14" xfId="0" applyNumberFormat="1" applyFont="1" applyFill="1" applyBorder="1"/>
    <xf numFmtId="49" fontId="22" fillId="12" borderId="14" xfId="0" applyNumberFormat="1" applyFont="1" applyFill="1" applyBorder="1"/>
    <xf numFmtId="49" fontId="14" fillId="12" borderId="14" xfId="0" applyNumberFormat="1" applyFont="1" applyFill="1" applyBorder="1"/>
    <xf numFmtId="1" fontId="14" fillId="12" borderId="14" xfId="0" applyNumberFormat="1" applyFont="1" applyFill="1" applyBorder="1"/>
    <xf numFmtId="0" fontId="14" fillId="12" borderId="14" xfId="0" applyFont="1" applyFill="1" applyBorder="1"/>
    <xf numFmtId="49" fontId="18" fillId="12" borderId="14" xfId="0" applyNumberFormat="1" applyFont="1" applyFill="1" applyBorder="1"/>
    <xf numFmtId="49" fontId="29" fillId="12" borderId="14" xfId="0" applyNumberFormat="1" applyFont="1" applyFill="1" applyBorder="1"/>
    <xf numFmtId="49" fontId="17" fillId="12" borderId="14" xfId="0" applyNumberFormat="1" applyFont="1" applyFill="1" applyBorder="1"/>
    <xf numFmtId="49" fontId="23" fillId="12" borderId="14" xfId="0" applyNumberFormat="1" applyFont="1" applyFill="1" applyBorder="1"/>
    <xf numFmtId="49" fontId="31" fillId="12" borderId="14" xfId="0" applyNumberFormat="1" applyFont="1" applyFill="1" applyBorder="1"/>
    <xf numFmtId="49" fontId="20" fillId="12" borderId="14" xfId="0" applyNumberFormat="1" applyFont="1" applyFill="1" applyBorder="1"/>
    <xf numFmtId="49" fontId="24" fillId="12" borderId="14" xfId="0" applyNumberFormat="1" applyFont="1" applyFill="1" applyBorder="1"/>
    <xf numFmtId="49" fontId="25" fillId="12" borderId="14" xfId="0" applyNumberFormat="1" applyFont="1" applyFill="1" applyBorder="1"/>
    <xf numFmtId="49" fontId="27" fillId="12" borderId="0" xfId="0" applyNumberFormat="1" applyFont="1" applyFill="1" applyBorder="1"/>
    <xf numFmtId="49" fontId="24" fillId="12" borderId="0" xfId="0" applyNumberFormat="1" applyFont="1" applyFill="1" applyBorder="1"/>
    <xf numFmtId="49" fontId="13" fillId="12" borderId="17" xfId="0" applyNumberFormat="1" applyFont="1" applyFill="1" applyBorder="1"/>
    <xf numFmtId="49" fontId="13" fillId="12" borderId="18" xfId="0" applyNumberFormat="1" applyFont="1" applyFill="1" applyBorder="1"/>
    <xf numFmtId="0" fontId="12" fillId="0" borderId="14" xfId="0" applyNumberFormat="1" applyFont="1" applyFill="1" applyBorder="1"/>
    <xf numFmtId="49" fontId="12" fillId="0" borderId="14" xfId="0" applyNumberFormat="1" applyFont="1" applyFill="1" applyBorder="1"/>
    <xf numFmtId="49" fontId="12" fillId="0" borderId="14" xfId="0" applyNumberFormat="1" applyFont="1" applyFill="1" applyBorder="1" applyAlignment="1">
      <alignment wrapText="1"/>
    </xf>
    <xf numFmtId="0" fontId="2" fillId="11" borderId="1" xfId="0" applyFont="1" applyFill="1" applyBorder="1"/>
    <xf numFmtId="166" fontId="6" fillId="11" borderId="2" xfId="0" applyNumberFormat="1" applyFont="1" applyFill="1" applyBorder="1"/>
    <xf numFmtId="165" fontId="2" fillId="11" borderId="1" xfId="0" applyNumberFormat="1" applyFont="1" applyFill="1" applyBorder="1"/>
    <xf numFmtId="49" fontId="2" fillId="11" borderId="9" xfId="0" applyNumberFormat="1" applyFont="1" applyFill="1" applyBorder="1"/>
    <xf numFmtId="0" fontId="4" fillId="11" borderId="7" xfId="0" applyFont="1" applyFill="1" applyBorder="1"/>
    <xf numFmtId="49" fontId="2" fillId="11" borderId="7" xfId="0" applyNumberFormat="1" applyFont="1" applyFill="1" applyBorder="1"/>
    <xf numFmtId="0" fontId="2" fillId="11" borderId="8" xfId="0" applyFont="1" applyFill="1" applyBorder="1"/>
    <xf numFmtId="0" fontId="2" fillId="11" borderId="0" xfId="0" applyFont="1" applyFill="1"/>
    <xf numFmtId="0" fontId="0" fillId="11" borderId="0" xfId="0" applyFill="1"/>
    <xf numFmtId="49" fontId="19" fillId="0" borderId="14" xfId="0" applyNumberFormat="1" applyFont="1" applyFill="1" applyBorder="1" applyAlignment="1">
      <alignment wrapText="1"/>
    </xf>
    <xf numFmtId="0" fontId="6" fillId="0" borderId="14" xfId="0" applyFont="1" applyFill="1" applyBorder="1"/>
    <xf numFmtId="1" fontId="8" fillId="7" borderId="14" xfId="0" applyNumberFormat="1" applyFont="1" applyFill="1" applyBorder="1"/>
    <xf numFmtId="0" fontId="7" fillId="0" borderId="14" xfId="0" applyNumberFormat="1" applyFont="1" applyFill="1" applyBorder="1"/>
    <xf numFmtId="49" fontId="19" fillId="0" borderId="14" xfId="0" applyNumberFormat="1" applyFont="1" applyFill="1" applyBorder="1"/>
    <xf numFmtId="0" fontId="2" fillId="10" borderId="1" xfId="0" applyNumberFormat="1" applyFont="1" applyFill="1" applyBorder="1"/>
    <xf numFmtId="166" fontId="6" fillId="10" borderId="1" xfId="0" applyNumberFormat="1" applyFont="1" applyFill="1" applyBorder="1"/>
    <xf numFmtId="0" fontId="6" fillId="10" borderId="1" xfId="0" applyNumberFormat="1" applyFont="1" applyFill="1" applyBorder="1"/>
    <xf numFmtId="0" fontId="2" fillId="11" borderId="1" xfId="0" applyNumberFormat="1" applyFont="1" applyFill="1" applyBorder="1"/>
    <xf numFmtId="0" fontId="0" fillId="2" borderId="1" xfId="0" applyFill="1" applyBorder="1"/>
    <xf numFmtId="0" fontId="0" fillId="0" borderId="1" xfId="0" applyBorder="1"/>
    <xf numFmtId="1" fontId="6" fillId="2" borderId="14" xfId="0" applyNumberFormat="1" applyFont="1" applyFill="1" applyBorder="1"/>
    <xf numFmtId="49" fontId="12" fillId="12" borderId="14" xfId="0" applyNumberFormat="1" applyFont="1" applyFill="1" applyBorder="1"/>
    <xf numFmtId="0" fontId="8" fillId="3" borderId="14" xfId="0" applyNumberFormat="1" applyFont="1" applyFill="1" applyBorder="1"/>
    <xf numFmtId="49" fontId="34" fillId="12" borderId="14" xfId="0" applyNumberFormat="1" applyFont="1" applyFill="1" applyBorder="1"/>
    <xf numFmtId="0" fontId="36" fillId="12" borderId="14" xfId="1" applyNumberFormat="1" applyFont="1" applyFill="1" applyBorder="1" applyAlignment="1" applyProtection="1"/>
    <xf numFmtId="0" fontId="14" fillId="12" borderId="14" xfId="0" applyNumberFormat="1" applyFont="1" applyFill="1" applyBorder="1"/>
    <xf numFmtId="49" fontId="37" fillId="12" borderId="14" xfId="0" applyNumberFormat="1" applyFont="1" applyFill="1" applyBorder="1"/>
    <xf numFmtId="0" fontId="8" fillId="8" borderId="14" xfId="0" applyNumberFormat="1" applyFont="1" applyFill="1" applyBorder="1"/>
    <xf numFmtId="49" fontId="7" fillId="8" borderId="14" xfId="0" applyNumberFormat="1" applyFont="1" applyFill="1" applyBorder="1"/>
    <xf numFmtId="49" fontId="22" fillId="15" borderId="14" xfId="0" applyNumberFormat="1" applyFont="1" applyFill="1" applyBorder="1"/>
    <xf numFmtId="0" fontId="38" fillId="15" borderId="14" xfId="1" applyNumberFormat="1" applyFont="1" applyFill="1" applyBorder="1" applyAlignment="1" applyProtection="1"/>
    <xf numFmtId="0" fontId="22" fillId="15" borderId="14" xfId="0" applyNumberFormat="1" applyFont="1" applyFill="1" applyBorder="1"/>
    <xf numFmtId="49" fontId="37" fillId="15" borderId="14" xfId="0" applyNumberFormat="1" applyFont="1" applyFill="1" applyBorder="1"/>
    <xf numFmtId="1" fontId="22" fillId="15" borderId="14" xfId="0" applyNumberFormat="1" applyFont="1" applyFill="1" applyBorder="1"/>
    <xf numFmtId="0" fontId="22" fillId="15" borderId="14" xfId="0" applyFont="1" applyFill="1" applyBorder="1"/>
    <xf numFmtId="49" fontId="20" fillId="15" borderId="14" xfId="0" applyNumberFormat="1" applyFont="1" applyFill="1" applyBorder="1"/>
    <xf numFmtId="0" fontId="39" fillId="15" borderId="0" xfId="0" applyFont="1" applyFill="1"/>
    <xf numFmtId="0" fontId="1" fillId="0" borderId="0" xfId="1" applyAlignment="1" applyProtection="1"/>
    <xf numFmtId="0" fontId="19" fillId="0" borderId="14" xfId="0" applyNumberFormat="1" applyFont="1" applyFill="1" applyBorder="1"/>
    <xf numFmtId="0" fontId="12" fillId="0" borderId="14" xfId="0" applyFont="1" applyFill="1" applyBorder="1"/>
    <xf numFmtId="49" fontId="12" fillId="16" borderId="14" xfId="0" applyNumberFormat="1" applyFont="1" applyFill="1" applyBorder="1"/>
    <xf numFmtId="49" fontId="12" fillId="16" borderId="14" xfId="0" applyNumberFormat="1" applyFont="1" applyFill="1" applyBorder="1" applyAlignment="1">
      <alignment wrapText="1"/>
    </xf>
    <xf numFmtId="1" fontId="12" fillId="16" borderId="14" xfId="0" applyNumberFormat="1" applyFont="1" applyFill="1" applyBorder="1"/>
    <xf numFmtId="0" fontId="28" fillId="16" borderId="14" xfId="0" applyNumberFormat="1" applyFont="1" applyFill="1" applyBorder="1"/>
    <xf numFmtId="0" fontId="8" fillId="16" borderId="14" xfId="0" applyNumberFormat="1" applyFont="1" applyFill="1" applyBorder="1"/>
    <xf numFmtId="49" fontId="7" fillId="16" borderId="14" xfId="0" applyNumberFormat="1" applyFont="1" applyFill="1" applyBorder="1"/>
    <xf numFmtId="49" fontId="35" fillId="16" borderId="14" xfId="0" applyNumberFormat="1" applyFont="1" applyFill="1" applyBorder="1"/>
    <xf numFmtId="49" fontId="19" fillId="16" borderId="14" xfId="0" applyNumberFormat="1" applyFont="1" applyFill="1" applyBorder="1" applyAlignment="1">
      <alignment wrapText="1"/>
    </xf>
    <xf numFmtId="0" fontId="30" fillId="16" borderId="14" xfId="0" applyNumberFormat="1" applyFont="1" applyFill="1" applyBorder="1"/>
    <xf numFmtId="0" fontId="16" fillId="16" borderId="14" xfId="0" applyNumberFormat="1" applyFont="1" applyFill="1" applyBorder="1"/>
    <xf numFmtId="0" fontId="6" fillId="16" borderId="14" xfId="0" applyFont="1" applyFill="1" applyBorder="1"/>
    <xf numFmtId="49" fontId="15" fillId="16" borderId="14" xfId="0" applyNumberFormat="1" applyFont="1" applyFill="1" applyBorder="1"/>
    <xf numFmtId="49" fontId="19" fillId="16" borderId="14" xfId="0" applyNumberFormat="1" applyFont="1" applyFill="1" applyBorder="1"/>
    <xf numFmtId="49" fontId="13" fillId="16" borderId="14" xfId="0" applyNumberFormat="1" applyFont="1" applyFill="1" applyBorder="1"/>
    <xf numFmtId="1" fontId="2" fillId="17" borderId="1" xfId="0" applyNumberFormat="1" applyFont="1" applyFill="1" applyBorder="1"/>
    <xf numFmtId="49" fontId="2" fillId="17" borderId="1" xfId="0" applyNumberFormat="1" applyFont="1" applyFill="1" applyBorder="1"/>
    <xf numFmtId="1" fontId="2" fillId="17" borderId="2" xfId="0" applyNumberFormat="1" applyFont="1" applyFill="1" applyBorder="1"/>
    <xf numFmtId="0" fontId="2" fillId="17" borderId="1" xfId="0" applyFont="1" applyFill="1" applyBorder="1"/>
    <xf numFmtId="0" fontId="2" fillId="17" borderId="2" xfId="0" applyNumberFormat="1" applyFont="1" applyFill="1" applyBorder="1"/>
    <xf numFmtId="166" fontId="6" fillId="17" borderId="1" xfId="0" applyNumberFormat="1" applyFont="1" applyFill="1" applyBorder="1"/>
    <xf numFmtId="0" fontId="6" fillId="17" borderId="1" xfId="0" applyNumberFormat="1" applyFont="1" applyFill="1" applyBorder="1"/>
    <xf numFmtId="165" fontId="2" fillId="17" borderId="1" xfId="0" applyNumberFormat="1" applyFont="1" applyFill="1" applyBorder="1"/>
    <xf numFmtId="49" fontId="2" fillId="17" borderId="9" xfId="0" applyNumberFormat="1" applyFont="1" applyFill="1" applyBorder="1"/>
    <xf numFmtId="49" fontId="2" fillId="17" borderId="2" xfId="0" applyNumberFormat="1" applyFont="1" applyFill="1" applyBorder="1"/>
    <xf numFmtId="49" fontId="2" fillId="17" borderId="16" xfId="0" applyNumberFormat="1" applyFont="1" applyFill="1" applyBorder="1"/>
    <xf numFmtId="0" fontId="3" fillId="17" borderId="2" xfId="0" applyFont="1" applyFill="1" applyBorder="1"/>
    <xf numFmtId="49" fontId="2" fillId="17" borderId="3" xfId="0" applyNumberFormat="1" applyFont="1" applyFill="1" applyBorder="1"/>
    <xf numFmtId="49" fontId="2" fillId="17" borderId="0" xfId="0" applyNumberFormat="1" applyFont="1" applyFill="1"/>
    <xf numFmtId="0" fontId="0" fillId="17" borderId="0" xfId="0" applyFill="1"/>
    <xf numFmtId="49" fontId="2" fillId="9" borderId="16" xfId="0" applyNumberFormat="1" applyFont="1" applyFill="1" applyBorder="1"/>
    <xf numFmtId="49" fontId="2" fillId="8" borderId="19" xfId="0" applyNumberFormat="1" applyFont="1" applyFill="1" applyBorder="1"/>
    <xf numFmtId="49" fontId="2" fillId="2" borderId="0" xfId="0" applyNumberFormat="1" applyFont="1" applyFill="1" applyBorder="1"/>
    <xf numFmtId="0" fontId="0" fillId="2" borderId="0" xfId="0" applyFill="1" applyBorder="1"/>
    <xf numFmtId="0" fontId="0" fillId="0" borderId="0" xfId="0" applyBorder="1"/>
    <xf numFmtId="49" fontId="2" fillId="17" borderId="15" xfId="0" applyNumberFormat="1" applyFont="1" applyFill="1" applyBorder="1"/>
    <xf numFmtId="1" fontId="2" fillId="18" borderId="1" xfId="0" applyNumberFormat="1" applyFont="1" applyFill="1" applyBorder="1"/>
    <xf numFmtId="49" fontId="2" fillId="18" borderId="1" xfId="0" applyNumberFormat="1" applyFont="1" applyFill="1" applyBorder="1"/>
    <xf numFmtId="1" fontId="2" fillId="18" borderId="2" xfId="0" applyNumberFormat="1" applyFont="1" applyFill="1" applyBorder="1"/>
    <xf numFmtId="0" fontId="2" fillId="18" borderId="1" xfId="0" applyFont="1" applyFill="1" applyBorder="1"/>
    <xf numFmtId="0" fontId="2" fillId="18" borderId="2" xfId="0" applyNumberFormat="1" applyFont="1" applyFill="1" applyBorder="1"/>
    <xf numFmtId="166" fontId="6" fillId="18" borderId="1" xfId="0" applyNumberFormat="1" applyFont="1" applyFill="1" applyBorder="1"/>
    <xf numFmtId="165" fontId="2" fillId="18" borderId="1" xfId="0" applyNumberFormat="1" applyFont="1" applyFill="1" applyBorder="1"/>
    <xf numFmtId="49" fontId="2" fillId="18" borderId="15" xfId="0" applyNumberFormat="1" applyFont="1" applyFill="1" applyBorder="1"/>
    <xf numFmtId="49" fontId="2" fillId="18" borderId="9" xfId="0" applyNumberFormat="1" applyFont="1" applyFill="1" applyBorder="1"/>
    <xf numFmtId="49" fontId="2" fillId="18" borderId="2" xfId="0" applyNumberFormat="1" applyFont="1" applyFill="1" applyBorder="1"/>
    <xf numFmtId="0" fontId="3" fillId="18" borderId="2" xfId="0" applyFont="1" applyFill="1" applyBorder="1"/>
    <xf numFmtId="49" fontId="2" fillId="18" borderId="3" xfId="0" applyNumberFormat="1" applyFont="1" applyFill="1" applyBorder="1"/>
    <xf numFmtId="49" fontId="2" fillId="18" borderId="0" xfId="0" applyNumberFormat="1" applyFont="1" applyFill="1"/>
    <xf numFmtId="0" fontId="0" fillId="18" borderId="0" xfId="0" applyFill="1"/>
    <xf numFmtId="49" fontId="2" fillId="18" borderId="16" xfId="0" applyNumberFormat="1" applyFont="1" applyFill="1" applyBorder="1"/>
    <xf numFmtId="49" fontId="6" fillId="2" borderId="1" xfId="0" applyNumberFormat="1" applyFont="1" applyFill="1" applyBorder="1"/>
    <xf numFmtId="0" fontId="6" fillId="2" borderId="1" xfId="0" quotePrefix="1" applyNumberFormat="1" applyFont="1" applyFill="1" applyBorder="1" applyAlignment="1">
      <alignment horizontal="left" vertical="center"/>
    </xf>
    <xf numFmtId="0" fontId="2" fillId="2" borderId="1" xfId="0" applyFont="1" applyFill="1" applyBorder="1"/>
    <xf numFmtId="0" fontId="6" fillId="2" borderId="1" xfId="0" applyFont="1" applyFill="1" applyBorder="1"/>
    <xf numFmtId="0" fontId="6" fillId="0" borderId="1" xfId="0" applyFont="1" applyBorder="1"/>
    <xf numFmtId="49" fontId="40" fillId="8" borderId="14" xfId="0" applyNumberFormat="1" applyFont="1" applyFill="1" applyBorder="1"/>
    <xf numFmtId="0" fontId="41" fillId="8" borderId="14" xfId="0" applyNumberFormat="1" applyFont="1" applyFill="1" applyBorder="1"/>
    <xf numFmtId="0" fontId="42" fillId="0" borderId="0" xfId="0" applyFont="1"/>
    <xf numFmtId="0" fontId="2" fillId="0" borderId="1" xfId="0" applyFont="1" applyBorder="1"/>
    <xf numFmtId="1" fontId="2" fillId="19" borderId="1" xfId="0" applyNumberFormat="1" applyFont="1" applyFill="1" applyBorder="1"/>
    <xf numFmtId="166" fontId="6" fillId="2" borderId="5" xfId="0" quotePrefix="1" applyNumberFormat="1" applyFont="1" applyFill="1" applyBorder="1" applyAlignment="1">
      <alignment horizontal="left" vertical="center"/>
    </xf>
    <xf numFmtId="167" fontId="6" fillId="2" borderId="5" xfId="0" quotePrefix="1" applyNumberFormat="1" applyFont="1" applyFill="1" applyBorder="1" applyAlignment="1">
      <alignment horizontal="left" vertical="center"/>
    </xf>
    <xf numFmtId="167" fontId="6" fillId="10" borderId="1" xfId="0" applyNumberFormat="1" applyFont="1" applyFill="1" applyBorder="1"/>
    <xf numFmtId="167" fontId="6" fillId="18" borderId="1" xfId="0" applyNumberFormat="1" applyFont="1" applyFill="1" applyBorder="1"/>
    <xf numFmtId="167" fontId="6" fillId="20" borderId="1" xfId="0" applyNumberFormat="1" applyFont="1" applyFill="1" applyBorder="1"/>
    <xf numFmtId="49" fontId="5" fillId="2" borderId="0" xfId="0" applyNumberFormat="1" applyFont="1" applyFill="1"/>
    <xf numFmtId="0" fontId="3" fillId="10" borderId="1" xfId="0" applyFont="1" applyFill="1" applyBorder="1"/>
    <xf numFmtId="49" fontId="2" fillId="10" borderId="0" xfId="0" applyNumberFormat="1" applyFont="1" applyFill="1" applyBorder="1"/>
    <xf numFmtId="0" fontId="0" fillId="10" borderId="0" xfId="0" applyFill="1" applyBorder="1"/>
    <xf numFmtId="0" fontId="2" fillId="21" borderId="1" xfId="0" applyFont="1" applyFill="1" applyBorder="1"/>
    <xf numFmtId="1" fontId="2" fillId="21" borderId="1" xfId="0" applyNumberFormat="1" applyFont="1" applyFill="1" applyBorder="1"/>
    <xf numFmtId="49" fontId="2" fillId="21" borderId="1" xfId="0" applyNumberFormat="1" applyFont="1" applyFill="1" applyBorder="1"/>
    <xf numFmtId="1" fontId="2" fillId="21" borderId="2" xfId="0" applyNumberFormat="1" applyFont="1" applyFill="1" applyBorder="1"/>
    <xf numFmtId="0" fontId="2" fillId="21" borderId="2" xfId="0" applyNumberFormat="1" applyFont="1" applyFill="1" applyBorder="1"/>
    <xf numFmtId="166" fontId="6" fillId="21" borderId="1" xfId="0" applyNumberFormat="1" applyFont="1" applyFill="1" applyBorder="1"/>
    <xf numFmtId="167" fontId="6" fillId="21" borderId="1" xfId="0" applyNumberFormat="1" applyFont="1" applyFill="1" applyBorder="1"/>
    <xf numFmtId="165" fontId="2" fillId="21" borderId="1" xfId="0" applyNumberFormat="1" applyFont="1" applyFill="1" applyBorder="1"/>
    <xf numFmtId="49" fontId="2" fillId="21" borderId="15" xfId="0" applyNumberFormat="1" applyFont="1" applyFill="1" applyBorder="1"/>
    <xf numFmtId="49" fontId="2" fillId="21" borderId="9" xfId="0" applyNumberFormat="1" applyFont="1" applyFill="1" applyBorder="1"/>
    <xf numFmtId="49" fontId="2" fillId="21" borderId="2" xfId="0" applyNumberFormat="1" applyFont="1" applyFill="1" applyBorder="1"/>
    <xf numFmtId="0" fontId="3" fillId="21" borderId="2" xfId="0" applyFont="1" applyFill="1" applyBorder="1"/>
    <xf numFmtId="49" fontId="2" fillId="21" borderId="3" xfId="0" applyNumberFormat="1" applyFont="1" applyFill="1" applyBorder="1"/>
    <xf numFmtId="49" fontId="2" fillId="21" borderId="0" xfId="0" applyNumberFormat="1" applyFont="1" applyFill="1"/>
    <xf numFmtId="0" fontId="0" fillId="21" borderId="0" xfId="0" applyFill="1"/>
    <xf numFmtId="1" fontId="5" fillId="3" borderId="16" xfId="0" applyNumberFormat="1" applyFont="1" applyFill="1" applyBorder="1" applyAlignment="1">
      <alignment horizontal="center" textRotation="45" wrapText="1"/>
    </xf>
    <xf numFmtId="49" fontId="5" fillId="3" borderId="16" xfId="0" applyNumberFormat="1" applyFont="1" applyFill="1" applyBorder="1" applyAlignment="1">
      <alignment horizontal="center" textRotation="45" wrapText="1"/>
    </xf>
    <xf numFmtId="49" fontId="11" fillId="3" borderId="16" xfId="0" applyNumberFormat="1" applyFont="1" applyFill="1" applyBorder="1" applyAlignment="1">
      <alignment horizontal="center" textRotation="45" wrapText="1"/>
    </xf>
    <xf numFmtId="49" fontId="2" fillId="11" borderId="16" xfId="0" applyNumberFormat="1" applyFont="1" applyFill="1" applyBorder="1" applyAlignment="1">
      <alignment horizontal="center" textRotation="45" wrapText="1"/>
    </xf>
    <xf numFmtId="49" fontId="2" fillId="2" borderId="0" xfId="0" applyNumberFormat="1" applyFont="1" applyFill="1" applyAlignment="1">
      <alignment textRotation="45"/>
    </xf>
    <xf numFmtId="0" fontId="0" fillId="2" borderId="0" xfId="0" applyFill="1" applyAlignment="1">
      <alignment textRotation="45"/>
    </xf>
    <xf numFmtId="0" fontId="0" fillId="0" borderId="0" xfId="0" applyAlignment="1">
      <alignment textRotation="45"/>
    </xf>
    <xf numFmtId="0" fontId="2" fillId="0" borderId="1" xfId="0" applyFont="1" applyFill="1" applyBorder="1"/>
    <xf numFmtId="49" fontId="2" fillId="0" borderId="0" xfId="0" applyNumberFormat="1" applyFont="1" applyFill="1" applyBorder="1"/>
    <xf numFmtId="0" fontId="0" fillId="0" borderId="0" xfId="0" applyFill="1" applyBorder="1"/>
  </cellXfs>
  <cellStyles count="2">
    <cellStyle name="Hyperlink" xfId="1" builtinId="8"/>
    <cellStyle name="Normal" xfId="0" builtinId="0"/>
  </cellStyles>
  <dxfs count="0"/>
  <tableStyles count="0" defaultTableStyle="TableStyleMedium9" defaultPivotStyle="PivotStyleLight16"/>
  <colors>
    <mruColors>
      <color rgb="FFFFFFCC"/>
      <color rgb="FFFF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iemens-og-bykrw4bu7an2nvbgh7xdzce7-sdg1-dev.mbaas1.sdg.feedhenry.com/"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sheetPr codeName="Sheet1">
    <tabColor theme="1" tint="4.9989318521683403E-2"/>
  </sheetPr>
  <dimension ref="A1:L66"/>
  <sheetViews>
    <sheetView zoomScale="130" zoomScaleNormal="130" workbookViewId="0">
      <selection activeCell="B1" sqref="B1"/>
    </sheetView>
  </sheetViews>
  <sheetFormatPr defaultColWidth="9.140625" defaultRowHeight="11.25"/>
  <cols>
    <col min="1" max="1" width="16" style="3" bestFit="1" customWidth="1" collapsed="1"/>
    <col min="2" max="2" width="12.85546875" style="3" customWidth="1" collapsed="1"/>
    <col min="3" max="6" width="3.85546875" style="3" customWidth="1" collapsed="1"/>
    <col min="7" max="9" width="7.7109375" style="3" bestFit="1" customWidth="1" collapsed="1"/>
    <col min="10" max="16384" width="9.140625" style="3" collapsed="1"/>
  </cols>
  <sheetData>
    <row r="1" spans="1:12">
      <c r="A1" s="34" t="s">
        <v>66</v>
      </c>
      <c r="B1" s="226">
        <v>642</v>
      </c>
      <c r="G1" s="211" t="s">
        <v>827</v>
      </c>
      <c r="H1" s="211" t="s">
        <v>715</v>
      </c>
      <c r="I1" s="211" t="s">
        <v>828</v>
      </c>
      <c r="J1" s="211" t="s">
        <v>828</v>
      </c>
      <c r="K1" s="213"/>
      <c r="L1" s="213"/>
    </row>
    <row r="2" spans="1:12">
      <c r="A2" s="35" t="s">
        <v>5</v>
      </c>
      <c r="B2" s="221" t="s">
        <v>1159</v>
      </c>
      <c r="C2" s="24"/>
      <c r="D2" s="8"/>
      <c r="G2" s="212"/>
      <c r="H2" s="213"/>
      <c r="I2" s="212"/>
      <c r="J2" s="212"/>
      <c r="K2" s="213"/>
      <c r="L2" s="213"/>
    </row>
    <row r="3" spans="1:12">
      <c r="A3" s="35" t="s">
        <v>4</v>
      </c>
      <c r="B3" s="222" t="s">
        <v>1160</v>
      </c>
      <c r="C3" s="25"/>
      <c r="D3" s="9"/>
      <c r="G3" s="212"/>
      <c r="H3" s="213"/>
      <c r="I3" s="212"/>
      <c r="J3" s="212"/>
      <c r="K3" s="213" t="s">
        <v>1075</v>
      </c>
      <c r="L3" s="213" t="s">
        <v>1076</v>
      </c>
    </row>
    <row r="4" spans="1:12">
      <c r="A4" s="35" t="s">
        <v>67</v>
      </c>
      <c r="B4" s="218" t="s">
        <v>1082</v>
      </c>
      <c r="G4" s="214" t="s">
        <v>437</v>
      </c>
      <c r="H4" s="214" t="s">
        <v>717</v>
      </c>
      <c r="I4" s="214" t="s">
        <v>830</v>
      </c>
      <c r="J4" s="214" t="s">
        <v>855</v>
      </c>
      <c r="K4" s="218" t="s">
        <v>865</v>
      </c>
      <c r="L4" s="218" t="s">
        <v>1072</v>
      </c>
    </row>
    <row r="5" spans="1:12">
      <c r="A5" s="35" t="s">
        <v>426</v>
      </c>
      <c r="B5" s="218">
        <v>111011</v>
      </c>
      <c r="G5" s="215" t="s">
        <v>427</v>
      </c>
      <c r="H5" s="215" t="s">
        <v>716</v>
      </c>
      <c r="I5" s="215" t="s">
        <v>829</v>
      </c>
      <c r="J5" s="215">
        <v>111011</v>
      </c>
      <c r="K5" s="218" t="s">
        <v>1074</v>
      </c>
      <c r="L5" s="218" t="s">
        <v>1073</v>
      </c>
    </row>
    <row r="6" spans="1:12">
      <c r="A6" s="35" t="s">
        <v>115</v>
      </c>
      <c r="B6" s="218" t="s">
        <v>859</v>
      </c>
      <c r="H6" s="3" t="s">
        <v>424</v>
      </c>
      <c r="J6" s="3" t="s">
        <v>859</v>
      </c>
    </row>
    <row r="7" spans="1:12" ht="13.5" thickBot="1">
      <c r="A7" s="36" t="s">
        <v>436</v>
      </c>
      <c r="B7" s="158" t="s">
        <v>1157</v>
      </c>
      <c r="C7" s="51"/>
    </row>
    <row r="8" spans="1:12" ht="12.75">
      <c r="B8" s="158"/>
    </row>
    <row r="15" spans="1:12">
      <c r="E15" s="77"/>
      <c r="F15" s="77"/>
      <c r="G15" s="77"/>
    </row>
    <row r="16" spans="1:12">
      <c r="E16" s="77"/>
      <c r="F16" s="77"/>
      <c r="G16" s="77"/>
    </row>
    <row r="17" spans="5:7">
      <c r="E17" s="77"/>
      <c r="F17" s="77"/>
      <c r="G17" s="77"/>
    </row>
    <row r="18" spans="5:7">
      <c r="E18" s="77"/>
      <c r="F18" s="77"/>
      <c r="G18" s="77"/>
    </row>
    <row r="19" spans="5:7">
      <c r="E19" s="77"/>
      <c r="F19" s="77"/>
      <c r="G19" s="77"/>
    </row>
    <row r="20" spans="5:7">
      <c r="E20" s="77"/>
      <c r="F20" s="77"/>
      <c r="G20" s="77"/>
    </row>
    <row r="21" spans="5:7">
      <c r="E21" s="77"/>
      <c r="F21" s="77"/>
      <c r="G21" s="77"/>
    </row>
    <row r="22" spans="5:7">
      <c r="E22" s="77"/>
      <c r="F22" s="77"/>
      <c r="G22" s="77"/>
    </row>
    <row r="23" spans="5:7">
      <c r="E23" s="77"/>
      <c r="F23" s="77"/>
      <c r="G23" s="77"/>
    </row>
    <row r="24" spans="5:7">
      <c r="E24" s="77"/>
      <c r="F24" s="77"/>
      <c r="G24" s="77"/>
    </row>
    <row r="25" spans="5:7">
      <c r="E25" s="77"/>
      <c r="F25" s="77"/>
      <c r="G25" s="77"/>
    </row>
    <row r="26" spans="5:7">
      <c r="E26" s="77"/>
      <c r="F26" s="77"/>
      <c r="G26" s="77"/>
    </row>
    <row r="27" spans="5:7">
      <c r="E27" s="77"/>
      <c r="F27" s="77"/>
      <c r="G27" s="77"/>
    </row>
    <row r="28" spans="5:7">
      <c r="E28" s="77"/>
      <c r="F28" s="77"/>
      <c r="G28" s="77"/>
    </row>
    <row r="29" spans="5:7">
      <c r="E29" s="77"/>
      <c r="F29" s="77"/>
      <c r="G29" s="77"/>
    </row>
    <row r="30" spans="5:7">
      <c r="E30" s="77"/>
      <c r="F30" s="77"/>
      <c r="G30" s="77"/>
    </row>
    <row r="31" spans="5:7">
      <c r="E31" s="77"/>
      <c r="F31" s="77"/>
      <c r="G31" s="77"/>
    </row>
    <row r="32" spans="5:7">
      <c r="E32" s="77"/>
      <c r="F32" s="77"/>
      <c r="G32" s="77"/>
    </row>
    <row r="33" spans="5:7">
      <c r="E33" s="77"/>
      <c r="F33" s="77"/>
      <c r="G33" s="77"/>
    </row>
    <row r="34" spans="5:7">
      <c r="E34" s="77"/>
      <c r="F34" s="77"/>
      <c r="G34" s="77"/>
    </row>
    <row r="35" spans="5:7">
      <c r="E35" s="77"/>
      <c r="F35" s="77"/>
      <c r="G35" s="77"/>
    </row>
    <row r="36" spans="5:7">
      <c r="E36" s="77"/>
      <c r="F36" s="77"/>
      <c r="G36" s="77"/>
    </row>
    <row r="37" spans="5:7">
      <c r="E37" s="77"/>
      <c r="F37" s="77"/>
      <c r="G37" s="77"/>
    </row>
    <row r="38" spans="5:7">
      <c r="E38" s="77"/>
      <c r="F38" s="77"/>
      <c r="G38" s="77"/>
    </row>
    <row r="39" spans="5:7">
      <c r="E39" s="77"/>
      <c r="F39" s="77"/>
      <c r="G39" s="77"/>
    </row>
    <row r="40" spans="5:7">
      <c r="E40" s="77"/>
      <c r="F40" s="77"/>
      <c r="G40" s="77"/>
    </row>
    <row r="41" spans="5:7">
      <c r="E41" s="77"/>
      <c r="F41" s="77"/>
      <c r="G41" s="77"/>
    </row>
    <row r="42" spans="5:7">
      <c r="E42" s="77"/>
      <c r="F42" s="77"/>
      <c r="G42" s="77"/>
    </row>
    <row r="43" spans="5:7">
      <c r="E43" s="77"/>
      <c r="F43" s="77"/>
      <c r="G43" s="77"/>
    </row>
    <row r="44" spans="5:7">
      <c r="E44" s="77"/>
      <c r="F44" s="77"/>
      <c r="G44" s="77"/>
    </row>
    <row r="45" spans="5:7">
      <c r="E45" s="77"/>
      <c r="F45" s="77"/>
      <c r="G45" s="77"/>
    </row>
    <row r="46" spans="5:7">
      <c r="E46" s="77"/>
      <c r="F46" s="77"/>
      <c r="G46" s="77"/>
    </row>
    <row r="47" spans="5:7">
      <c r="E47" s="77"/>
      <c r="F47" s="77"/>
      <c r="G47" s="77"/>
    </row>
    <row r="48" spans="5:7">
      <c r="E48" s="77"/>
      <c r="F48" s="77"/>
      <c r="G48" s="77"/>
    </row>
    <row r="49" spans="5:7">
      <c r="E49" s="77"/>
      <c r="F49" s="77"/>
      <c r="G49" s="77"/>
    </row>
    <row r="50" spans="5:7">
      <c r="E50" s="77"/>
      <c r="F50" s="77"/>
      <c r="G50" s="77"/>
    </row>
    <row r="51" spans="5:7">
      <c r="E51" s="77"/>
      <c r="F51" s="77"/>
      <c r="G51" s="77"/>
    </row>
    <row r="52" spans="5:7">
      <c r="E52" s="77"/>
      <c r="F52" s="77"/>
      <c r="G52" s="77"/>
    </row>
    <row r="53" spans="5:7">
      <c r="E53" s="77"/>
      <c r="F53" s="77"/>
      <c r="G53" s="77"/>
    </row>
    <row r="54" spans="5:7">
      <c r="E54" s="77"/>
      <c r="F54" s="77"/>
      <c r="G54" s="77"/>
    </row>
    <row r="55" spans="5:7">
      <c r="E55" s="77"/>
      <c r="F55" s="77"/>
      <c r="G55" s="77"/>
    </row>
    <row r="56" spans="5:7">
      <c r="E56" s="77"/>
      <c r="F56" s="77"/>
      <c r="G56" s="77"/>
    </row>
    <row r="57" spans="5:7">
      <c r="E57" s="77"/>
      <c r="F57" s="77"/>
      <c r="G57" s="77"/>
    </row>
    <row r="58" spans="5:7">
      <c r="E58" s="77"/>
      <c r="F58" s="77"/>
      <c r="G58" s="77"/>
    </row>
    <row r="59" spans="5:7">
      <c r="E59" s="77"/>
      <c r="F59" s="77"/>
      <c r="G59" s="77"/>
    </row>
    <row r="60" spans="5:7">
      <c r="E60" s="77"/>
      <c r="F60" s="77"/>
      <c r="G60" s="77"/>
    </row>
    <row r="61" spans="5:7">
      <c r="E61" s="77"/>
      <c r="F61" s="77"/>
      <c r="G61" s="77"/>
    </row>
    <row r="62" spans="5:7">
      <c r="E62" s="77"/>
      <c r="F62" s="77"/>
      <c r="G62" s="77"/>
    </row>
    <row r="63" spans="5:7">
      <c r="E63" s="77"/>
      <c r="F63" s="77"/>
      <c r="G63" s="77"/>
    </row>
    <row r="64" spans="5:7">
      <c r="E64" s="77"/>
      <c r="F64" s="77"/>
      <c r="G64" s="77"/>
    </row>
    <row r="65" spans="5:7">
      <c r="E65" s="77"/>
      <c r="F65" s="77"/>
      <c r="G65" s="77"/>
    </row>
    <row r="66" spans="5:7">
      <c r="E66" s="77"/>
      <c r="F66" s="77"/>
      <c r="G66" s="77"/>
    </row>
  </sheetData>
  <hyperlinks>
    <hyperlink ref="B7" r:id="rId1" location="/login"/>
  </hyperlinks>
  <pageMargins left="0.7" right="0.7" top="0.75" bottom="0.75" header="0.3" footer="0.3"/>
  <pageSetup paperSize="9" orientation="portrait" r:id="rId2"/>
  <headerFooter>
    <oddFooter>&amp;LUnrestricted</oddFooter>
  </headerFooter>
</worksheet>
</file>

<file path=xl/worksheets/sheet2.xml><?xml version="1.0" encoding="utf-8"?>
<worksheet xmlns="http://schemas.openxmlformats.org/spreadsheetml/2006/main" xmlns:r="http://schemas.openxmlformats.org/officeDocument/2006/relationships">
  <sheetPr codeName="Sheet2">
    <tabColor theme="1" tint="4.9989318521683403E-2"/>
  </sheetPr>
  <dimension ref="A1:EF259"/>
  <sheetViews>
    <sheetView tabSelected="1" zoomScale="115" zoomScaleNormal="115" workbookViewId="0">
      <pane xSplit="3" ySplit="1" topLeftCell="D2" activePane="bottomRight" state="frozen"/>
      <selection pane="topRight" activeCell="D1" sqref="D1"/>
      <selection pane="bottomLeft" activeCell="A2" sqref="A2"/>
      <selection pane="bottomRight" activeCell="A11" sqref="A11"/>
    </sheetView>
  </sheetViews>
  <sheetFormatPr defaultRowHeight="12.75"/>
  <cols>
    <col min="1" max="1" width="63.7109375" customWidth="1"/>
    <col min="2" max="3" width="8.85546875" customWidth="1"/>
    <col min="4" max="4" width="6.140625" bestFit="1" customWidth="1"/>
    <col min="5" max="5" width="3" bestFit="1" customWidth="1"/>
    <col min="6" max="6" width="30.28515625" bestFit="1" customWidth="1"/>
    <col min="7" max="7" width="13.28515625" bestFit="1" customWidth="1"/>
    <col min="8" max="8" width="10.42578125" bestFit="1" customWidth="1"/>
    <col min="9" max="9" width="16.85546875" bestFit="1" customWidth="1"/>
    <col min="10" max="10" width="3" bestFit="1" customWidth="1"/>
    <col min="11" max="11" width="7" bestFit="1" customWidth="1"/>
    <col min="12" max="12" width="11.5703125" bestFit="1" customWidth="1"/>
    <col min="13" max="13" width="3" bestFit="1" customWidth="1"/>
    <col min="14" max="14" width="7" bestFit="1" customWidth="1"/>
    <col min="15" max="15" width="5.140625" bestFit="1" customWidth="1"/>
    <col min="16" max="16" width="7.42578125" bestFit="1" customWidth="1"/>
    <col min="17" max="17" width="6.85546875" bestFit="1" customWidth="1"/>
    <col min="18" max="18" width="7.140625" bestFit="1" customWidth="1"/>
    <col min="19" max="19" width="11.140625" bestFit="1" customWidth="1"/>
    <col min="20" max="20" width="14.42578125" bestFit="1" customWidth="1"/>
    <col min="21" max="21" width="3" bestFit="1" customWidth="1"/>
    <col min="22" max="22" width="3.140625" bestFit="1" customWidth="1"/>
    <col min="23" max="23" width="3" bestFit="1" customWidth="1"/>
    <col min="24" max="24" width="5.140625" bestFit="1" customWidth="1"/>
    <col min="25" max="25" width="17.7109375" bestFit="1" customWidth="1"/>
    <col min="26" max="26" width="3.140625" bestFit="1" customWidth="1"/>
    <col min="27" max="28" width="15.5703125" bestFit="1" customWidth="1"/>
    <col min="29" max="29" width="8.7109375" bestFit="1" customWidth="1"/>
    <col min="30" max="30" width="3" bestFit="1" customWidth="1"/>
    <col min="31" max="31" width="15.5703125" bestFit="1" customWidth="1"/>
    <col min="32" max="32" width="15.140625" bestFit="1" customWidth="1"/>
    <col min="33" max="33" width="8.85546875" customWidth="1"/>
    <col min="34" max="34" width="14.5703125" bestFit="1" customWidth="1"/>
    <col min="35" max="36" width="15.5703125" bestFit="1" customWidth="1"/>
    <col min="37" max="37" width="5" bestFit="1" customWidth="1"/>
    <col min="38" max="38" width="8.85546875" customWidth="1"/>
    <col min="39" max="39" width="8.5703125" customWidth="1"/>
    <col min="40" max="41" width="5.140625" bestFit="1" customWidth="1"/>
    <col min="42" max="45" width="3" bestFit="1" customWidth="1"/>
    <col min="46" max="46" width="8.28515625" bestFit="1" customWidth="1"/>
    <col min="47" max="47" width="3" bestFit="1" customWidth="1"/>
    <col min="48" max="48" width="6" bestFit="1" customWidth="1"/>
    <col min="49" max="49" width="10" bestFit="1" customWidth="1"/>
    <col min="50" max="50" width="12.140625" bestFit="1" customWidth="1"/>
    <col min="51" max="51" width="13.42578125" bestFit="1" customWidth="1"/>
    <col min="52" max="52" width="7.42578125" bestFit="1" customWidth="1"/>
    <col min="53" max="53" width="3" bestFit="1" customWidth="1"/>
    <col min="54" max="54" width="5.140625" bestFit="1" customWidth="1"/>
    <col min="55" max="55" width="15" bestFit="1" customWidth="1"/>
    <col min="56" max="56" width="7" bestFit="1" customWidth="1"/>
    <col min="57" max="58" width="4.42578125" bestFit="1" customWidth="1"/>
    <col min="59" max="59" width="30.28515625" bestFit="1" customWidth="1"/>
    <col min="60" max="60" width="14" bestFit="1" customWidth="1"/>
    <col min="61" max="61" width="3" bestFit="1" customWidth="1"/>
    <col min="62" max="62" width="12.140625" bestFit="1" customWidth="1"/>
    <col min="63" max="63" width="3" bestFit="1" customWidth="1"/>
    <col min="64" max="64" width="3.5703125" bestFit="1" customWidth="1"/>
    <col min="65" max="65" width="4.5703125" bestFit="1" customWidth="1"/>
    <col min="66" max="66" width="3" bestFit="1" customWidth="1"/>
    <col min="67" max="67" width="9.7109375" bestFit="1" customWidth="1"/>
    <col min="68" max="69" width="4.140625" bestFit="1" customWidth="1"/>
    <col min="70" max="72" width="3" bestFit="1" customWidth="1"/>
    <col min="73" max="73" width="4.42578125" bestFit="1" customWidth="1"/>
    <col min="74" max="75" width="3" bestFit="1" customWidth="1"/>
    <col min="76" max="76" width="5.140625" bestFit="1" customWidth="1"/>
    <col min="77" max="78" width="3" bestFit="1" customWidth="1"/>
    <col min="79" max="79" width="4.42578125" bestFit="1" customWidth="1"/>
    <col min="80" max="80" width="3" bestFit="1" customWidth="1"/>
    <col min="81" max="81" width="6.140625" bestFit="1" customWidth="1"/>
    <col min="82" max="82" width="4.140625" bestFit="1" customWidth="1"/>
    <col min="83" max="83" width="4" bestFit="1" customWidth="1"/>
    <col min="84" max="84" width="4.7109375" bestFit="1" customWidth="1"/>
    <col min="85" max="85" width="6.140625" customWidth="1"/>
    <col min="86" max="87" width="3" bestFit="1" customWidth="1"/>
    <col min="88" max="88" width="14.42578125" bestFit="1" customWidth="1"/>
    <col min="89" max="89" width="3" bestFit="1" customWidth="1"/>
    <col min="90" max="90" width="3.85546875" bestFit="1" customWidth="1"/>
    <col min="91" max="91" width="4.42578125" bestFit="1" customWidth="1"/>
    <col min="92" max="92" width="26.140625" bestFit="1" customWidth="1"/>
    <col min="93" max="93" width="13.5703125" bestFit="1" customWidth="1"/>
    <col min="94" max="94" width="5.140625" bestFit="1" customWidth="1"/>
    <col min="95" max="95" width="9.5703125" bestFit="1" customWidth="1"/>
    <col min="96" max="97" width="3" bestFit="1" customWidth="1"/>
    <col min="98" max="98" width="15" bestFit="1" customWidth="1"/>
    <col min="99" max="100" width="3" bestFit="1" customWidth="1"/>
    <col min="101" max="101" width="3.85546875" bestFit="1" customWidth="1"/>
    <col min="102" max="102" width="3" bestFit="1" customWidth="1"/>
    <col min="103" max="103" width="5.140625" bestFit="1" customWidth="1"/>
    <col min="104" max="104" width="3" bestFit="1" customWidth="1"/>
    <col min="105" max="105" width="5.140625" bestFit="1" customWidth="1"/>
    <col min="106" max="106" width="14" bestFit="1" customWidth="1"/>
    <col min="107" max="109" width="3" bestFit="1" customWidth="1"/>
    <col min="110" max="110" width="5.28515625" bestFit="1" customWidth="1"/>
    <col min="111" max="111" width="3" bestFit="1" customWidth="1"/>
    <col min="112" max="112" width="4.42578125" bestFit="1" customWidth="1"/>
    <col min="113" max="113" width="4.5703125" bestFit="1" customWidth="1"/>
    <col min="114" max="114" width="5.28515625" bestFit="1" customWidth="1"/>
    <col min="115" max="117" width="3" bestFit="1" customWidth="1"/>
    <col min="118" max="118" width="11.28515625" bestFit="1" customWidth="1"/>
    <col min="119" max="119" width="3" bestFit="1" customWidth="1"/>
    <col min="120" max="120" width="5.140625" bestFit="1" customWidth="1"/>
    <col min="121" max="121" width="3" bestFit="1" customWidth="1"/>
    <col min="122" max="122" width="5.140625" bestFit="1" customWidth="1"/>
    <col min="123" max="123" width="3" bestFit="1" customWidth="1"/>
    <col min="124" max="124" width="5.140625" bestFit="1" customWidth="1"/>
    <col min="125" max="127" width="3" bestFit="1" customWidth="1"/>
    <col min="128" max="128" width="3.5703125" bestFit="1" customWidth="1"/>
    <col min="129" max="129" width="5.140625" bestFit="1" customWidth="1"/>
    <col min="130" max="130" width="4.7109375" bestFit="1" customWidth="1"/>
    <col min="131" max="131" width="37.7109375" bestFit="1" customWidth="1"/>
    <col min="132" max="132" width="5.28515625" bestFit="1" customWidth="1"/>
    <col min="133" max="133" width="3" bestFit="1" customWidth="1"/>
  </cols>
  <sheetData>
    <row r="1" spans="1:136" s="251" customFormat="1" ht="99" customHeight="1">
      <c r="A1" s="245" t="s">
        <v>866</v>
      </c>
      <c r="B1" s="245" t="s">
        <v>867</v>
      </c>
      <c r="C1" s="245" t="s">
        <v>893</v>
      </c>
      <c r="D1" s="245" t="s">
        <v>335</v>
      </c>
      <c r="E1" s="246" t="s">
        <v>6</v>
      </c>
      <c r="F1" s="246" t="s">
        <v>1069</v>
      </c>
      <c r="G1" s="246" t="s">
        <v>0</v>
      </c>
      <c r="H1" s="246" t="s">
        <v>11</v>
      </c>
      <c r="I1" s="246" t="s">
        <v>13</v>
      </c>
      <c r="J1" s="246" t="s">
        <v>357</v>
      </c>
      <c r="K1" s="246" t="s">
        <v>358</v>
      </c>
      <c r="L1" s="246" t="s">
        <v>14</v>
      </c>
      <c r="M1" s="246" t="s">
        <v>15</v>
      </c>
      <c r="N1" s="246" t="s">
        <v>16</v>
      </c>
      <c r="O1" s="246" t="s">
        <v>18</v>
      </c>
      <c r="P1" s="246" t="s">
        <v>93</v>
      </c>
      <c r="Q1" s="246" t="s">
        <v>92</v>
      </c>
      <c r="R1" s="246" t="s">
        <v>91</v>
      </c>
      <c r="S1" s="246" t="s">
        <v>862</v>
      </c>
      <c r="T1" s="246" t="s">
        <v>863</v>
      </c>
      <c r="U1" s="246" t="s">
        <v>19</v>
      </c>
      <c r="V1" s="246" t="s">
        <v>20</v>
      </c>
      <c r="W1" s="246" t="s">
        <v>21</v>
      </c>
      <c r="X1" s="246" t="s">
        <v>22</v>
      </c>
      <c r="Y1" s="246" t="s">
        <v>23</v>
      </c>
      <c r="Z1" s="246" t="s">
        <v>27</v>
      </c>
      <c r="AA1" s="246" t="s">
        <v>5</v>
      </c>
      <c r="AB1" s="246" t="s">
        <v>4</v>
      </c>
      <c r="AC1" s="246" t="s">
        <v>31</v>
      </c>
      <c r="AD1" s="246" t="s">
        <v>30</v>
      </c>
      <c r="AE1" s="246" t="s">
        <v>864</v>
      </c>
      <c r="AF1" s="246" t="s">
        <v>34</v>
      </c>
      <c r="AG1" s="246" t="s">
        <v>42</v>
      </c>
      <c r="AH1" s="246" t="s">
        <v>41</v>
      </c>
      <c r="AI1" s="246" t="s">
        <v>40</v>
      </c>
      <c r="AJ1" s="246" t="s">
        <v>39</v>
      </c>
      <c r="AK1" s="246" t="s">
        <v>43</v>
      </c>
      <c r="AL1" s="246" t="s">
        <v>46</v>
      </c>
      <c r="AM1" s="246" t="s">
        <v>10</v>
      </c>
      <c r="AN1" s="246" t="s">
        <v>8</v>
      </c>
      <c r="AO1" s="246" t="s">
        <v>9</v>
      </c>
      <c r="AP1" s="246" t="s">
        <v>438</v>
      </c>
      <c r="AQ1" s="246" t="s">
        <v>28</v>
      </c>
      <c r="AR1" s="246" t="s">
        <v>7</v>
      </c>
      <c r="AS1" s="246" t="s">
        <v>24</v>
      </c>
      <c r="AT1" s="246" t="s">
        <v>387</v>
      </c>
      <c r="AU1" s="246" t="s">
        <v>388</v>
      </c>
      <c r="AV1" s="246" t="s">
        <v>433</v>
      </c>
      <c r="AW1" s="246" t="s">
        <v>1</v>
      </c>
      <c r="AX1" s="246" t="s">
        <v>2</v>
      </c>
      <c r="AY1" s="246" t="s">
        <v>3</v>
      </c>
      <c r="AZ1" s="246" t="s">
        <v>37</v>
      </c>
      <c r="BA1" s="246" t="s">
        <v>359</v>
      </c>
      <c r="BB1" s="246" t="s">
        <v>55</v>
      </c>
      <c r="BC1" s="246" t="s">
        <v>56</v>
      </c>
      <c r="BD1" s="246" t="s">
        <v>346</v>
      </c>
      <c r="BE1" s="246" t="s">
        <v>360</v>
      </c>
      <c r="BF1" s="246" t="s">
        <v>361</v>
      </c>
      <c r="BG1" s="246" t="s">
        <v>57</v>
      </c>
      <c r="BH1" s="246" t="s">
        <v>58</v>
      </c>
      <c r="BI1" s="246" t="s">
        <v>59</v>
      </c>
      <c r="BJ1" s="246" t="s">
        <v>349</v>
      </c>
      <c r="BK1" s="246" t="s">
        <v>62</v>
      </c>
      <c r="BL1" s="246" t="s">
        <v>63</v>
      </c>
      <c r="BM1" s="246" t="s">
        <v>348</v>
      </c>
      <c r="BN1" s="246" t="s">
        <v>362</v>
      </c>
      <c r="BO1" s="246" t="s">
        <v>345</v>
      </c>
      <c r="BP1" s="246" t="s">
        <v>365</v>
      </c>
      <c r="BQ1" s="246" t="s">
        <v>366</v>
      </c>
      <c r="BR1" s="246" t="s">
        <v>347</v>
      </c>
      <c r="BS1" s="246" t="s">
        <v>367</v>
      </c>
      <c r="BT1" s="246" t="s">
        <v>428</v>
      </c>
      <c r="BU1" s="246" t="s">
        <v>369</v>
      </c>
      <c r="BV1" s="246" t="s">
        <v>371</v>
      </c>
      <c r="BW1" s="246" t="s">
        <v>373</v>
      </c>
      <c r="BX1" s="246" t="s">
        <v>375</v>
      </c>
      <c r="BY1" s="246" t="s">
        <v>377</v>
      </c>
      <c r="BZ1" s="246" t="s">
        <v>379</v>
      </c>
      <c r="CA1" s="246" t="s">
        <v>350</v>
      </c>
      <c r="CB1" s="246" t="s">
        <v>351</v>
      </c>
      <c r="CC1" s="246" t="s">
        <v>352</v>
      </c>
      <c r="CD1" s="246" t="s">
        <v>381</v>
      </c>
      <c r="CE1" s="246" t="s">
        <v>383</v>
      </c>
      <c r="CF1" s="246" t="s">
        <v>385</v>
      </c>
      <c r="CG1" s="247" t="s">
        <v>355</v>
      </c>
      <c r="CH1" s="246" t="s">
        <v>364</v>
      </c>
      <c r="CI1" s="246" t="s">
        <v>336</v>
      </c>
      <c r="CJ1" s="246" t="s">
        <v>860</v>
      </c>
      <c r="CK1" s="246" t="s">
        <v>338</v>
      </c>
      <c r="CL1" s="246" t="s">
        <v>744</v>
      </c>
      <c r="CM1" s="246" t="s">
        <v>745</v>
      </c>
      <c r="CN1" s="246" t="s">
        <v>337</v>
      </c>
      <c r="CO1" s="246" t="s">
        <v>861</v>
      </c>
      <c r="CP1" s="246" t="s">
        <v>389</v>
      </c>
      <c r="CQ1" s="246" t="s">
        <v>343</v>
      </c>
      <c r="CR1" s="246" t="s">
        <v>340</v>
      </c>
      <c r="CS1" s="246" t="s">
        <v>363</v>
      </c>
      <c r="CT1" s="246" t="s">
        <v>341</v>
      </c>
      <c r="CU1" s="246" t="s">
        <v>339</v>
      </c>
      <c r="CV1" s="246" t="s">
        <v>368</v>
      </c>
      <c r="CW1" s="246" t="s">
        <v>434</v>
      </c>
      <c r="CX1" s="246" t="s">
        <v>370</v>
      </c>
      <c r="CY1" s="246" t="s">
        <v>372</v>
      </c>
      <c r="CZ1" s="246" t="s">
        <v>374</v>
      </c>
      <c r="DA1" s="246" t="s">
        <v>376</v>
      </c>
      <c r="DB1" s="246" t="s">
        <v>378</v>
      </c>
      <c r="DC1" s="246" t="s">
        <v>380</v>
      </c>
      <c r="DD1" s="246" t="s">
        <v>344</v>
      </c>
      <c r="DE1" s="246" t="s">
        <v>353</v>
      </c>
      <c r="DF1" s="246" t="s">
        <v>354</v>
      </c>
      <c r="DG1" s="246" t="s">
        <v>382</v>
      </c>
      <c r="DH1" s="246" t="s">
        <v>384</v>
      </c>
      <c r="DI1" s="246" t="s">
        <v>386</v>
      </c>
      <c r="DJ1" s="246" t="s">
        <v>355</v>
      </c>
      <c r="DK1" s="246" t="s">
        <v>342</v>
      </c>
      <c r="DL1" s="248" t="s">
        <v>12</v>
      </c>
      <c r="DM1" s="248" t="s">
        <v>17</v>
      </c>
      <c r="DN1" s="246" t="s">
        <v>1068</v>
      </c>
      <c r="DO1" s="248" t="s">
        <v>25</v>
      </c>
      <c r="DP1" s="248" t="s">
        <v>26</v>
      </c>
      <c r="DQ1" s="248" t="s">
        <v>29</v>
      </c>
      <c r="DR1" s="248" t="s">
        <v>32</v>
      </c>
      <c r="DS1" s="248" t="s">
        <v>33</v>
      </c>
      <c r="DT1" s="248" t="s">
        <v>35</v>
      </c>
      <c r="DU1" s="248" t="s">
        <v>36</v>
      </c>
      <c r="DV1" s="248" t="s">
        <v>38</v>
      </c>
      <c r="DW1" s="248" t="s">
        <v>44</v>
      </c>
      <c r="DX1" s="248" t="s">
        <v>45</v>
      </c>
      <c r="DY1" s="248" t="s">
        <v>60</v>
      </c>
      <c r="DZ1" s="248" t="s">
        <v>64</v>
      </c>
      <c r="EA1" s="248" t="s">
        <v>1067</v>
      </c>
      <c r="EB1" s="248" t="s">
        <v>356</v>
      </c>
      <c r="EC1" s="248" t="s">
        <v>417</v>
      </c>
      <c r="ED1" s="249"/>
      <c r="EE1" s="249"/>
      <c r="EF1" s="250"/>
    </row>
    <row r="2" spans="1:136" s="229" customFormat="1">
      <c r="A2" s="219" t="s">
        <v>1158</v>
      </c>
      <c r="B2" s="219" t="s">
        <v>868</v>
      </c>
      <c r="C2" s="219">
        <v>111011</v>
      </c>
      <c r="D2" s="13">
        <f>'Run Parameters'!$B$1 + ROW()-1</f>
        <v>643</v>
      </c>
      <c r="E2" s="15" t="s">
        <v>47</v>
      </c>
      <c r="F2" s="13" t="s">
        <v>1036</v>
      </c>
      <c r="G2" s="13" t="str">
        <f>("Access Dtls-" &amp; D2)</f>
        <v>Access Dtls-643</v>
      </c>
      <c r="H2" s="15" t="s">
        <v>275</v>
      </c>
      <c r="I2" s="13" t="str">
        <f>("MR. Sub100_WC1PH_"&amp;D2&amp;"")</f>
        <v>MR. Sub100_WC1PH_643</v>
      </c>
      <c r="J2" s="13"/>
      <c r="K2" s="19" t="s">
        <v>425</v>
      </c>
      <c r="L2" s="13" t="str">
        <f>("Cust. Ref-" &amp; D2)</f>
        <v>Cust. Ref-643</v>
      </c>
      <c r="M2" s="15" t="s">
        <v>48</v>
      </c>
      <c r="N2" s="15" t="s">
        <v>425</v>
      </c>
      <c r="O2" s="13"/>
      <c r="P2" s="13" t="str">
        <f>("SN-" &amp; D2)</f>
        <v>SN-643</v>
      </c>
      <c r="Q2" s="13" t="str">
        <f>("SI-" &amp; D2)</f>
        <v>SI-643</v>
      </c>
      <c r="R2" s="13" t="str">
        <f>("SE-" &amp; D2)</f>
        <v>SE-643</v>
      </c>
      <c r="S2" s="135" t="str">
        <f>("Prev_RA-" &amp; D2)</f>
        <v>Prev_RA-643</v>
      </c>
      <c r="T2" s="135" t="str">
        <f>("Prev_Comms-" &amp; D2)</f>
        <v>Prev_Comms-643</v>
      </c>
      <c r="U2" s="15" t="s">
        <v>75</v>
      </c>
      <c r="V2" s="15" t="s">
        <v>401</v>
      </c>
      <c r="W2" s="15" t="s">
        <v>75</v>
      </c>
      <c r="X2" s="15" t="s">
        <v>396</v>
      </c>
      <c r="Y2" s="13" t="str">
        <f>("Forward Add-" &amp; D2)</f>
        <v>Forward Add-643</v>
      </c>
      <c r="Z2" s="15" t="s">
        <v>401</v>
      </c>
      <c r="AA2" s="136" t="str">
        <f>'Run Parameters'!$B$2</f>
        <v>2018-08-13 08:00</v>
      </c>
      <c r="AB2" s="223" t="str">
        <f>'Run Parameters'!B$3</f>
        <v>2018-08-13 18:00</v>
      </c>
      <c r="AC2" s="26">
        <f>('Run Parameters'!$B$2) - 7</f>
        <v>43318.333333333336</v>
      </c>
      <c r="AD2" s="15" t="s">
        <v>75</v>
      </c>
      <c r="AE2" s="13" t="str">
        <f>("LAST_METER-" &amp; D2)</f>
        <v>LAST_METER-643</v>
      </c>
      <c r="AF2" s="136" t="str">
        <f>'Run Parameters'!$B$2</f>
        <v>2018-08-13 08:00</v>
      </c>
      <c r="AG2" s="13" t="str">
        <f>'Run Parameters'!B$4</f>
        <v>AUTOTEST2</v>
      </c>
      <c r="AH2" s="135" t="str">
        <f>("Site_Contact_" &amp; D2)</f>
        <v>Site_Contact_643</v>
      </c>
      <c r="AI2" s="136" t="str">
        <f>'Run Parameters'!B$2</f>
        <v>2018-08-13 08:00</v>
      </c>
      <c r="AJ2" s="223" t="str">
        <f>'Run Parameters'!B$3</f>
        <v>2018-08-13 18:00</v>
      </c>
      <c r="AK2" s="13" t="s">
        <v>396</v>
      </c>
      <c r="AL2" s="135" t="str">
        <f>"01159" &amp; D2</f>
        <v>01159643</v>
      </c>
      <c r="AM2" s="13" t="str">
        <f>("0115" &amp; D2)</f>
        <v>0115643</v>
      </c>
      <c r="AN2" s="15"/>
      <c r="AO2" s="15"/>
      <c r="AP2" s="13">
        <v>1</v>
      </c>
      <c r="AQ2" s="15" t="s">
        <v>49</v>
      </c>
      <c r="AR2" s="15"/>
      <c r="AS2" s="13"/>
      <c r="AT2" s="15" t="s">
        <v>400</v>
      </c>
      <c r="AU2" s="15"/>
      <c r="AV2" s="13">
        <f>D2</f>
        <v>643</v>
      </c>
      <c r="AW2" s="13" t="s">
        <v>833</v>
      </c>
      <c r="AX2" s="13" t="s">
        <v>420</v>
      </c>
      <c r="AY2" s="13" t="s">
        <v>421</v>
      </c>
      <c r="AZ2" s="15" t="s">
        <v>334</v>
      </c>
      <c r="BA2" s="15" t="s">
        <v>154</v>
      </c>
      <c r="BB2" s="13"/>
      <c r="BC2" s="13"/>
      <c r="BD2" s="15"/>
      <c r="BE2" s="15"/>
      <c r="BF2" s="15"/>
      <c r="BG2" s="13"/>
      <c r="BH2" s="13"/>
      <c r="BI2" s="13"/>
      <c r="BJ2" s="13"/>
      <c r="BK2" s="15"/>
      <c r="BL2" s="15"/>
      <c r="BM2" s="13"/>
      <c r="BN2" s="15"/>
      <c r="BO2" s="13"/>
      <c r="BP2" s="15"/>
      <c r="BQ2" s="15"/>
      <c r="BR2" s="13"/>
      <c r="BS2" s="15"/>
      <c r="BT2" s="15"/>
      <c r="BU2" s="15"/>
      <c r="BV2" s="15"/>
      <c r="BW2" s="15"/>
      <c r="BX2" s="15"/>
      <c r="BY2" s="15"/>
      <c r="BZ2" s="15"/>
      <c r="CA2" s="15"/>
      <c r="CB2" s="15"/>
      <c r="CC2" s="15"/>
      <c r="CD2" s="15"/>
      <c r="CE2" s="15"/>
      <c r="CF2" s="15"/>
      <c r="CG2" s="15"/>
      <c r="CH2" s="15"/>
      <c r="CI2" s="13">
        <v>1</v>
      </c>
      <c r="CJ2" s="13" t="str">
        <f>("GAS_ENQ_NO-" &amp; D2)</f>
        <v>GAS_ENQ_NO-643</v>
      </c>
      <c r="CK2" s="15" t="s">
        <v>165</v>
      </c>
      <c r="CL2" s="15" t="s">
        <v>391</v>
      </c>
      <c r="CM2" s="15" t="s">
        <v>390</v>
      </c>
      <c r="CN2" s="13" t="s">
        <v>1036</v>
      </c>
      <c r="CO2" s="13" t="str">
        <f>("GAS_JOB_ID-" &amp; D2)</f>
        <v>GAS_JOB_ID-643</v>
      </c>
      <c r="CP2" s="15"/>
      <c r="CQ2" s="13" t="str">
        <f>"10000" &amp; D2</f>
        <v>10000643</v>
      </c>
      <c r="CR2" s="13" t="s">
        <v>154</v>
      </c>
      <c r="CS2" s="15" t="s">
        <v>51</v>
      </c>
      <c r="CT2" s="227" t="str">
        <f>"GMETER" &amp; D2</f>
        <v>GMETER643</v>
      </c>
      <c r="CU2" s="13" t="s">
        <v>161</v>
      </c>
      <c r="CV2" s="15" t="s">
        <v>165</v>
      </c>
      <c r="CW2" s="15" t="s">
        <v>414</v>
      </c>
      <c r="CX2" s="15"/>
      <c r="CY2" s="15"/>
      <c r="CZ2" s="15" t="s">
        <v>394</v>
      </c>
      <c r="DA2" s="15" t="s">
        <v>395</v>
      </c>
      <c r="DB2" s="13" t="str">
        <f>("GAS_INST_ID-" &amp; $D2)</f>
        <v>GAS_INST_ID-643</v>
      </c>
      <c r="DC2" s="15" t="s">
        <v>161</v>
      </c>
      <c r="DD2" s="15"/>
      <c r="DE2" s="15" t="s">
        <v>51</v>
      </c>
      <c r="DF2" s="15" t="s">
        <v>264</v>
      </c>
      <c r="DG2" s="15"/>
      <c r="DH2" s="15" t="s">
        <v>397</v>
      </c>
      <c r="DI2" s="15" t="s">
        <v>399</v>
      </c>
      <c r="DJ2" s="15" t="s">
        <v>836</v>
      </c>
      <c r="DK2" s="15" t="s">
        <v>140</v>
      </c>
      <c r="DL2" s="228"/>
      <c r="DM2" s="228"/>
      <c r="DN2" s="13" t="str">
        <f>("DS_Pass-" &amp; $D2)</f>
        <v>DS_Pass-643</v>
      </c>
      <c r="DO2" s="15"/>
      <c r="DP2" s="15"/>
      <c r="DQ2" s="15"/>
      <c r="DR2" s="13"/>
      <c r="DS2" s="13"/>
      <c r="DT2" s="15" t="s">
        <v>52</v>
      </c>
      <c r="DU2" s="15"/>
      <c r="DV2" s="15"/>
      <c r="DW2" s="13"/>
      <c r="DX2" s="15" t="s">
        <v>54</v>
      </c>
      <c r="DY2" s="15" t="s">
        <v>61</v>
      </c>
      <c r="DZ2" s="15" t="s">
        <v>402</v>
      </c>
      <c r="EA2" s="135" t="str">
        <f>CONCATENATE(AV2, $EA$1, AW2, $EA$1, AX2, $EA$1, AY2)</f>
        <v>643CUSTOMER_ADDRESSEXCH1 ROADCUSTOMER_ADDRESSTESTINGHAMCUSTOMER_ADDRESSTESTINGHAMSHIRE</v>
      </c>
      <c r="EB2" s="15" t="s">
        <v>836</v>
      </c>
      <c r="EC2" s="228"/>
      <c r="ED2" s="228"/>
      <c r="EE2" s="228"/>
    </row>
    <row r="3" spans="1:136" s="229" customFormat="1">
      <c r="A3" s="219" t="s">
        <v>1161</v>
      </c>
      <c r="B3" s="219" t="s">
        <v>892</v>
      </c>
      <c r="C3" s="219">
        <v>111011</v>
      </c>
      <c r="D3" s="13">
        <f>'Run Parameters'!$B$1 + ROW()-1</f>
        <v>644</v>
      </c>
      <c r="E3" s="15" t="s">
        <v>47</v>
      </c>
      <c r="F3" s="13" t="s">
        <v>1036</v>
      </c>
      <c r="G3" s="13" t="str">
        <f t="shared" ref="G3:G19" si="0">("Access Dtls-" &amp; D3)</f>
        <v>Access Dtls-644</v>
      </c>
      <c r="H3" s="15" t="s">
        <v>275</v>
      </c>
      <c r="I3" s="13" t="str">
        <f>("MR. Test_2_EXCH1_"&amp;D3&amp;"")</f>
        <v>MR. Test_2_EXCH1_644</v>
      </c>
      <c r="J3" s="13"/>
      <c r="K3" s="19" t="s">
        <v>425</v>
      </c>
      <c r="L3" s="13" t="str">
        <f t="shared" ref="L3:L19" si="1">("Cust. Ref-" &amp; D3)</f>
        <v>Cust. Ref-644</v>
      </c>
      <c r="M3" s="15" t="s">
        <v>48</v>
      </c>
      <c r="N3" s="15" t="s">
        <v>425</v>
      </c>
      <c r="O3" s="13"/>
      <c r="P3" s="13" t="str">
        <f t="shared" ref="P3:P19" si="2">("SN-" &amp; D3)</f>
        <v>SN-644</v>
      </c>
      <c r="Q3" s="13" t="str">
        <f t="shared" ref="Q3:Q19" si="3">("SI-" &amp; D3)</f>
        <v>SI-644</v>
      </c>
      <c r="R3" s="13" t="str">
        <f t="shared" ref="R3:R19" si="4">("SE-" &amp; D3)</f>
        <v>SE-644</v>
      </c>
      <c r="S3" s="135" t="str">
        <f t="shared" ref="S3:S19" si="5">("Prev_RA-" &amp; D3)</f>
        <v>Prev_RA-644</v>
      </c>
      <c r="T3" s="135" t="str">
        <f t="shared" ref="T3:T19" si="6">("Prev_Comms-" &amp; D3)</f>
        <v>Prev_Comms-644</v>
      </c>
      <c r="U3" s="15" t="s">
        <v>75</v>
      </c>
      <c r="V3" s="15" t="s">
        <v>401</v>
      </c>
      <c r="W3" s="15" t="s">
        <v>75</v>
      </c>
      <c r="X3" s="15" t="s">
        <v>1081</v>
      </c>
      <c r="Y3" s="13" t="str">
        <f t="shared" ref="Y3:Y19" si="7">("Forward Add-" &amp; D3)</f>
        <v>Forward Add-644</v>
      </c>
      <c r="Z3" s="15" t="s">
        <v>401</v>
      </c>
      <c r="AA3" s="136" t="str">
        <f>'Run Parameters'!$B$2</f>
        <v>2018-08-13 08:00</v>
      </c>
      <c r="AB3" s="223" t="str">
        <f>'Run Parameters'!B$3</f>
        <v>2018-08-13 18:00</v>
      </c>
      <c r="AC3" s="26">
        <f>('Run Parameters'!$B$2) - 7</f>
        <v>43318.333333333336</v>
      </c>
      <c r="AD3" s="15" t="s">
        <v>75</v>
      </c>
      <c r="AE3" s="13" t="str">
        <f t="shared" ref="AE3:AE19" si="8">("LAST_METER-" &amp; D3)</f>
        <v>LAST_METER-644</v>
      </c>
      <c r="AF3" s="136" t="str">
        <f>'Run Parameters'!$B$2</f>
        <v>2018-08-13 08:00</v>
      </c>
      <c r="AG3" s="13" t="str">
        <f>'Run Parameters'!B$4</f>
        <v>AUTOTEST2</v>
      </c>
      <c r="AH3" s="135" t="str">
        <f t="shared" ref="AH3:AH19" si="9">("Site_Contact_" &amp; D3)</f>
        <v>Site_Contact_644</v>
      </c>
      <c r="AI3" s="136" t="str">
        <f>'Run Parameters'!B$2</f>
        <v>2018-08-13 08:00</v>
      </c>
      <c r="AJ3" s="223" t="str">
        <f>'Run Parameters'!B$3</f>
        <v>2018-08-13 18:00</v>
      </c>
      <c r="AK3" s="13" t="s">
        <v>1081</v>
      </c>
      <c r="AL3" s="135" t="str">
        <f t="shared" ref="AL3:AL19" si="10">"01159" &amp; D3</f>
        <v>01159644</v>
      </c>
      <c r="AM3" s="13" t="str">
        <f t="shared" ref="AM3:AM19" si="11">("0115" &amp; D3)</f>
        <v>0115644</v>
      </c>
      <c r="AN3" s="15"/>
      <c r="AO3" s="15"/>
      <c r="AP3" s="13">
        <v>1</v>
      </c>
      <c r="AQ3" s="15" t="s">
        <v>49</v>
      </c>
      <c r="AR3" s="15"/>
      <c r="AS3" s="13"/>
      <c r="AT3" s="15" t="s">
        <v>400</v>
      </c>
      <c r="AU3" s="15"/>
      <c r="AV3" s="13">
        <f t="shared" ref="AV3:AV19" si="12">D3</f>
        <v>644</v>
      </c>
      <c r="AW3" s="13" t="s">
        <v>833</v>
      </c>
      <c r="AX3" s="13" t="s">
        <v>420</v>
      </c>
      <c r="AY3" s="13" t="s">
        <v>421</v>
      </c>
      <c r="AZ3" s="15" t="s">
        <v>334</v>
      </c>
      <c r="BA3" s="15" t="s">
        <v>154</v>
      </c>
      <c r="BB3" s="13"/>
      <c r="BC3" s="13"/>
      <c r="BD3" s="15"/>
      <c r="BE3" s="15"/>
      <c r="BF3" s="15"/>
      <c r="BG3" s="13"/>
      <c r="BH3" s="13"/>
      <c r="BI3" s="13"/>
      <c r="BJ3" s="13"/>
      <c r="BK3" s="15"/>
      <c r="BL3" s="15"/>
      <c r="BM3" s="13"/>
      <c r="BN3" s="15"/>
      <c r="BO3" s="13"/>
      <c r="BP3" s="15"/>
      <c r="BQ3" s="15"/>
      <c r="BR3" s="13"/>
      <c r="BS3" s="15"/>
      <c r="BT3" s="15"/>
      <c r="BU3" s="15"/>
      <c r="BV3" s="15"/>
      <c r="BW3" s="15"/>
      <c r="BX3" s="15"/>
      <c r="BY3" s="15"/>
      <c r="BZ3" s="15"/>
      <c r="CA3" s="15"/>
      <c r="CB3" s="15"/>
      <c r="CC3" s="15"/>
      <c r="CD3" s="15"/>
      <c r="CE3" s="15"/>
      <c r="CF3" s="15"/>
      <c r="CG3" s="15"/>
      <c r="CH3" s="15"/>
      <c r="CI3" s="13">
        <v>1</v>
      </c>
      <c r="CJ3" s="13" t="str">
        <f t="shared" ref="CJ3:CJ19" si="13">("GAS_ENQ_NO-" &amp; D3)</f>
        <v>GAS_ENQ_NO-644</v>
      </c>
      <c r="CK3" s="15" t="s">
        <v>165</v>
      </c>
      <c r="CL3" s="15" t="s">
        <v>391</v>
      </c>
      <c r="CM3" s="15" t="s">
        <v>390</v>
      </c>
      <c r="CN3" s="13" t="s">
        <v>1036</v>
      </c>
      <c r="CO3" s="13" t="str">
        <f t="shared" ref="CO3:CO19" si="14">("GAS_JOB_ID-" &amp; D3)</f>
        <v>GAS_JOB_ID-644</v>
      </c>
      <c r="CP3" s="15"/>
      <c r="CQ3" s="13" t="str">
        <f t="shared" ref="CQ3:CQ19" si="15">"10000" &amp; D3</f>
        <v>10000644</v>
      </c>
      <c r="CR3" s="13" t="s">
        <v>154</v>
      </c>
      <c r="CS3" s="15" t="s">
        <v>51</v>
      </c>
      <c r="CT3" s="227" t="str">
        <f t="shared" ref="CT3:CT19" si="16">"GMETER" &amp; D3</f>
        <v>GMETER644</v>
      </c>
      <c r="CU3" s="13" t="s">
        <v>161</v>
      </c>
      <c r="CV3" s="15" t="s">
        <v>165</v>
      </c>
      <c r="CW3" s="15" t="s">
        <v>414</v>
      </c>
      <c r="CX3" s="15"/>
      <c r="CY3" s="15"/>
      <c r="CZ3" s="15" t="s">
        <v>394</v>
      </c>
      <c r="DA3" s="15" t="s">
        <v>395</v>
      </c>
      <c r="DB3" s="13" t="str">
        <f t="shared" ref="DB3:DB31" si="17">("GAS_INST_ID-" &amp; $D3)</f>
        <v>GAS_INST_ID-644</v>
      </c>
      <c r="DC3" s="15" t="s">
        <v>161</v>
      </c>
      <c r="DD3" s="15"/>
      <c r="DE3" s="15" t="s">
        <v>51</v>
      </c>
      <c r="DF3" s="15" t="s">
        <v>264</v>
      </c>
      <c r="DG3" s="15"/>
      <c r="DH3" s="15" t="s">
        <v>397</v>
      </c>
      <c r="DI3" s="15" t="s">
        <v>399</v>
      </c>
      <c r="DJ3" s="15" t="s">
        <v>836</v>
      </c>
      <c r="DK3" s="15" t="s">
        <v>140</v>
      </c>
      <c r="DL3" s="228"/>
      <c r="DM3" s="228"/>
      <c r="DN3" s="13" t="str">
        <f t="shared" ref="DN3:DN31" si="18">("DS_Pass-" &amp; $D3)</f>
        <v>DS_Pass-644</v>
      </c>
      <c r="DO3" s="15"/>
      <c r="DP3" s="15"/>
      <c r="DQ3" s="15"/>
      <c r="DR3" s="13"/>
      <c r="DS3" s="13"/>
      <c r="DT3" s="15" t="s">
        <v>52</v>
      </c>
      <c r="DU3" s="15"/>
      <c r="DV3" s="15"/>
      <c r="DW3" s="13"/>
      <c r="DX3" s="15" t="s">
        <v>54</v>
      </c>
      <c r="DY3" s="15" t="s">
        <v>61</v>
      </c>
      <c r="DZ3" s="15" t="s">
        <v>402</v>
      </c>
      <c r="EA3" s="135" t="str">
        <f t="shared" ref="EA3:EA19" si="19">CONCATENATE(AV3, $EA$1, AW3, $EA$1, AX3, $EA$1, AY3)</f>
        <v>644CUSTOMER_ADDRESSEXCH1 ROADCUSTOMER_ADDRESSTESTINGHAMCUSTOMER_ADDRESSTESTINGHAMSHIRE</v>
      </c>
      <c r="EB3" s="15" t="s">
        <v>836</v>
      </c>
      <c r="EC3" s="228"/>
      <c r="ED3" s="228"/>
      <c r="EE3" s="228"/>
    </row>
    <row r="4" spans="1:136" s="229" customFormat="1">
      <c r="A4" s="219" t="s">
        <v>1162</v>
      </c>
      <c r="B4" s="219" t="s">
        <v>868</v>
      </c>
      <c r="C4" s="219">
        <v>111011</v>
      </c>
      <c r="D4" s="13">
        <f>'Run Parameters'!$B$1 + ROW()-1</f>
        <v>645</v>
      </c>
      <c r="E4" s="15" t="s">
        <v>47</v>
      </c>
      <c r="F4" s="13" t="s">
        <v>1036</v>
      </c>
      <c r="G4" s="13" t="str">
        <f t="shared" si="0"/>
        <v>Access Dtls-645</v>
      </c>
      <c r="H4" s="15" t="s">
        <v>275</v>
      </c>
      <c r="I4" s="13" t="str">
        <f>("MR. Test_3_EXCH1_"&amp;D4&amp;"")</f>
        <v>MR. Test_3_EXCH1_645</v>
      </c>
      <c r="J4" s="13"/>
      <c r="K4" s="19" t="s">
        <v>425</v>
      </c>
      <c r="L4" s="13" t="str">
        <f t="shared" si="1"/>
        <v>Cust. Ref-645</v>
      </c>
      <c r="M4" s="15" t="s">
        <v>48</v>
      </c>
      <c r="N4" s="15" t="s">
        <v>425</v>
      </c>
      <c r="O4" s="13"/>
      <c r="P4" s="13" t="str">
        <f t="shared" si="2"/>
        <v>SN-645</v>
      </c>
      <c r="Q4" s="13" t="str">
        <f t="shared" si="3"/>
        <v>SI-645</v>
      </c>
      <c r="R4" s="13" t="str">
        <f t="shared" si="4"/>
        <v>SE-645</v>
      </c>
      <c r="S4" s="135" t="str">
        <f t="shared" si="5"/>
        <v>Prev_RA-645</v>
      </c>
      <c r="T4" s="135" t="str">
        <f t="shared" si="6"/>
        <v>Prev_Comms-645</v>
      </c>
      <c r="U4" s="15" t="s">
        <v>75</v>
      </c>
      <c r="V4" s="15" t="s">
        <v>401</v>
      </c>
      <c r="W4" s="15" t="s">
        <v>75</v>
      </c>
      <c r="X4" s="15" t="s">
        <v>396</v>
      </c>
      <c r="Y4" s="13" t="str">
        <f t="shared" si="7"/>
        <v>Forward Add-645</v>
      </c>
      <c r="Z4" s="15" t="s">
        <v>401</v>
      </c>
      <c r="AA4" s="136" t="str">
        <f>'Run Parameters'!$B$2</f>
        <v>2018-08-13 08:00</v>
      </c>
      <c r="AB4" s="223" t="str">
        <f>'Run Parameters'!B$3</f>
        <v>2018-08-13 18:00</v>
      </c>
      <c r="AC4" s="26">
        <f>('Run Parameters'!$B$2) - 7</f>
        <v>43318.333333333336</v>
      </c>
      <c r="AD4" s="15" t="s">
        <v>75</v>
      </c>
      <c r="AE4" s="13" t="str">
        <f t="shared" si="8"/>
        <v>LAST_METER-645</v>
      </c>
      <c r="AF4" s="136" t="str">
        <f>'Run Parameters'!$B$2</f>
        <v>2018-08-13 08:00</v>
      </c>
      <c r="AG4" s="13" t="str">
        <f>'Run Parameters'!B$4</f>
        <v>AUTOTEST2</v>
      </c>
      <c r="AH4" s="135" t="str">
        <f t="shared" si="9"/>
        <v>Site_Contact_645</v>
      </c>
      <c r="AI4" s="136" t="str">
        <f>'Run Parameters'!B$2</f>
        <v>2018-08-13 08:00</v>
      </c>
      <c r="AJ4" s="223" t="str">
        <f>'Run Parameters'!B$3</f>
        <v>2018-08-13 18:00</v>
      </c>
      <c r="AK4" s="13" t="s">
        <v>396</v>
      </c>
      <c r="AL4" s="135" t="str">
        <f t="shared" si="10"/>
        <v>01159645</v>
      </c>
      <c r="AM4" s="13" t="str">
        <f t="shared" si="11"/>
        <v>0115645</v>
      </c>
      <c r="AN4" s="15"/>
      <c r="AO4" s="15"/>
      <c r="AP4" s="13">
        <v>1</v>
      </c>
      <c r="AQ4" s="15" t="s">
        <v>49</v>
      </c>
      <c r="AR4" s="15"/>
      <c r="AS4" s="13"/>
      <c r="AT4" s="15" t="s">
        <v>400</v>
      </c>
      <c r="AU4" s="15"/>
      <c r="AV4" s="13">
        <f t="shared" si="12"/>
        <v>645</v>
      </c>
      <c r="AW4" s="13" t="s">
        <v>833</v>
      </c>
      <c r="AX4" s="13" t="s">
        <v>420</v>
      </c>
      <c r="AY4" s="13" t="s">
        <v>421</v>
      </c>
      <c r="AZ4" s="15" t="s">
        <v>334</v>
      </c>
      <c r="BA4" s="15" t="s">
        <v>154</v>
      </c>
      <c r="BB4" s="13"/>
      <c r="BC4" s="13"/>
      <c r="BD4" s="15"/>
      <c r="BE4" s="15"/>
      <c r="BF4" s="15"/>
      <c r="BG4" s="13"/>
      <c r="BH4" s="13"/>
      <c r="BI4" s="13"/>
      <c r="BJ4" s="13"/>
      <c r="BK4" s="15"/>
      <c r="BL4" s="15"/>
      <c r="BM4" s="13"/>
      <c r="BN4" s="15"/>
      <c r="BO4" s="13"/>
      <c r="BP4" s="15"/>
      <c r="BQ4" s="15"/>
      <c r="BR4" s="13"/>
      <c r="BS4" s="15"/>
      <c r="BT4" s="15"/>
      <c r="BU4" s="15"/>
      <c r="BV4" s="15"/>
      <c r="BW4" s="15"/>
      <c r="BX4" s="15"/>
      <c r="BY4" s="15"/>
      <c r="BZ4" s="15"/>
      <c r="CA4" s="15"/>
      <c r="CB4" s="15"/>
      <c r="CC4" s="15"/>
      <c r="CD4" s="15"/>
      <c r="CE4" s="15"/>
      <c r="CF4" s="15"/>
      <c r="CG4" s="15"/>
      <c r="CH4" s="15"/>
      <c r="CI4" s="13">
        <v>1</v>
      </c>
      <c r="CJ4" s="13" t="str">
        <f t="shared" si="13"/>
        <v>GAS_ENQ_NO-645</v>
      </c>
      <c r="CK4" s="15" t="s">
        <v>165</v>
      </c>
      <c r="CL4" s="15" t="s">
        <v>391</v>
      </c>
      <c r="CM4" s="15" t="s">
        <v>390</v>
      </c>
      <c r="CN4" s="13" t="s">
        <v>1036</v>
      </c>
      <c r="CO4" s="13" t="str">
        <f t="shared" si="14"/>
        <v>GAS_JOB_ID-645</v>
      </c>
      <c r="CP4" s="15"/>
      <c r="CQ4" s="13" t="str">
        <f t="shared" si="15"/>
        <v>10000645</v>
      </c>
      <c r="CR4" s="13" t="s">
        <v>154</v>
      </c>
      <c r="CS4" s="15" t="s">
        <v>51</v>
      </c>
      <c r="CT4" s="227" t="str">
        <f t="shared" si="16"/>
        <v>GMETER645</v>
      </c>
      <c r="CU4" s="13" t="s">
        <v>161</v>
      </c>
      <c r="CV4" s="15" t="s">
        <v>165</v>
      </c>
      <c r="CW4" s="15" t="s">
        <v>414</v>
      </c>
      <c r="CX4" s="15"/>
      <c r="CY4" s="15"/>
      <c r="CZ4" s="15" t="s">
        <v>394</v>
      </c>
      <c r="DA4" s="15" t="s">
        <v>395</v>
      </c>
      <c r="DB4" s="13" t="str">
        <f t="shared" si="17"/>
        <v>GAS_INST_ID-645</v>
      </c>
      <c r="DC4" s="15" t="s">
        <v>161</v>
      </c>
      <c r="DD4" s="15"/>
      <c r="DE4" s="15" t="s">
        <v>51</v>
      </c>
      <c r="DF4" s="15" t="s">
        <v>264</v>
      </c>
      <c r="DG4" s="15"/>
      <c r="DH4" s="15" t="s">
        <v>397</v>
      </c>
      <c r="DI4" s="15" t="s">
        <v>399</v>
      </c>
      <c r="DJ4" s="15" t="s">
        <v>836</v>
      </c>
      <c r="DK4" s="15" t="s">
        <v>140</v>
      </c>
      <c r="DL4" s="228"/>
      <c r="DM4" s="228"/>
      <c r="DN4" s="13" t="str">
        <f t="shared" si="18"/>
        <v>DS_Pass-645</v>
      </c>
      <c r="DO4" s="15"/>
      <c r="DP4" s="15"/>
      <c r="DQ4" s="15"/>
      <c r="DR4" s="13"/>
      <c r="DS4" s="13"/>
      <c r="DT4" s="15" t="s">
        <v>52</v>
      </c>
      <c r="DU4" s="15"/>
      <c r="DV4" s="15"/>
      <c r="DW4" s="13"/>
      <c r="DX4" s="15" t="s">
        <v>54</v>
      </c>
      <c r="DY4" s="15" t="s">
        <v>61</v>
      </c>
      <c r="DZ4" s="15" t="s">
        <v>402</v>
      </c>
      <c r="EA4" s="135" t="str">
        <f t="shared" si="19"/>
        <v>645CUSTOMER_ADDRESSEXCH1 ROADCUSTOMER_ADDRESSTESTINGHAMCUSTOMER_ADDRESSTESTINGHAMSHIRE</v>
      </c>
      <c r="EB4" s="15" t="s">
        <v>836</v>
      </c>
      <c r="EC4" s="228"/>
      <c r="ED4" s="228"/>
      <c r="EE4" s="228"/>
    </row>
    <row r="5" spans="1:136" s="229" customFormat="1">
      <c r="A5" s="219" t="s">
        <v>1163</v>
      </c>
      <c r="B5" s="219" t="s">
        <v>892</v>
      </c>
      <c r="C5" s="219">
        <v>111011</v>
      </c>
      <c r="D5" s="13">
        <f>'Run Parameters'!$B$1 + ROW()-1</f>
        <v>646</v>
      </c>
      <c r="E5" s="15" t="s">
        <v>47</v>
      </c>
      <c r="F5" s="13" t="s">
        <v>1036</v>
      </c>
      <c r="G5" s="13" t="str">
        <f t="shared" si="0"/>
        <v>Access Dtls-646</v>
      </c>
      <c r="H5" s="15" t="s">
        <v>275</v>
      </c>
      <c r="I5" s="13" t="str">
        <f>("MR. Test_4_EXCH1_"&amp;D5&amp;"")</f>
        <v>MR. Test_4_EXCH1_646</v>
      </c>
      <c r="J5" s="13"/>
      <c r="K5" s="19" t="s">
        <v>425</v>
      </c>
      <c r="L5" s="13" t="str">
        <f t="shared" si="1"/>
        <v>Cust. Ref-646</v>
      </c>
      <c r="M5" s="15" t="s">
        <v>48</v>
      </c>
      <c r="N5" s="15" t="s">
        <v>425</v>
      </c>
      <c r="O5" s="13"/>
      <c r="P5" s="13" t="str">
        <f t="shared" si="2"/>
        <v>SN-646</v>
      </c>
      <c r="Q5" s="13" t="str">
        <f t="shared" si="3"/>
        <v>SI-646</v>
      </c>
      <c r="R5" s="13" t="str">
        <f t="shared" si="4"/>
        <v>SE-646</v>
      </c>
      <c r="S5" s="135" t="str">
        <f t="shared" si="5"/>
        <v>Prev_RA-646</v>
      </c>
      <c r="T5" s="135" t="str">
        <f t="shared" si="6"/>
        <v>Prev_Comms-646</v>
      </c>
      <c r="U5" s="15" t="s">
        <v>75</v>
      </c>
      <c r="V5" s="15" t="s">
        <v>401</v>
      </c>
      <c r="W5" s="15" t="s">
        <v>75</v>
      </c>
      <c r="X5" s="15" t="s">
        <v>396</v>
      </c>
      <c r="Y5" s="13" t="str">
        <f t="shared" si="7"/>
        <v>Forward Add-646</v>
      </c>
      <c r="Z5" s="15" t="s">
        <v>401</v>
      </c>
      <c r="AA5" s="136" t="str">
        <f>'Run Parameters'!$B$2</f>
        <v>2018-08-13 08:00</v>
      </c>
      <c r="AB5" s="223" t="str">
        <f>'Run Parameters'!B$3</f>
        <v>2018-08-13 18:00</v>
      </c>
      <c r="AC5" s="26">
        <f>('Run Parameters'!$B$2) - 7</f>
        <v>43318.333333333336</v>
      </c>
      <c r="AD5" s="15" t="s">
        <v>75</v>
      </c>
      <c r="AE5" s="13" t="str">
        <f t="shared" si="8"/>
        <v>LAST_METER-646</v>
      </c>
      <c r="AF5" s="136" t="str">
        <f>'Run Parameters'!$B$2</f>
        <v>2018-08-13 08:00</v>
      </c>
      <c r="AG5" s="13" t="str">
        <f>'Run Parameters'!B$4</f>
        <v>AUTOTEST2</v>
      </c>
      <c r="AH5" s="135" t="str">
        <f t="shared" si="9"/>
        <v>Site_Contact_646</v>
      </c>
      <c r="AI5" s="136" t="str">
        <f>'Run Parameters'!B$2</f>
        <v>2018-08-13 08:00</v>
      </c>
      <c r="AJ5" s="223" t="str">
        <f>'Run Parameters'!B$3</f>
        <v>2018-08-13 18:00</v>
      </c>
      <c r="AK5" s="13" t="s">
        <v>396</v>
      </c>
      <c r="AL5" s="135" t="str">
        <f t="shared" si="10"/>
        <v>01159646</v>
      </c>
      <c r="AM5" s="13" t="str">
        <f t="shared" si="11"/>
        <v>0115646</v>
      </c>
      <c r="AN5" s="15"/>
      <c r="AO5" s="15"/>
      <c r="AP5" s="13">
        <v>1</v>
      </c>
      <c r="AQ5" s="15" t="s">
        <v>49</v>
      </c>
      <c r="AR5" s="15"/>
      <c r="AS5" s="13"/>
      <c r="AT5" s="15" t="s">
        <v>400</v>
      </c>
      <c r="AU5" s="15"/>
      <c r="AV5" s="13">
        <f t="shared" si="12"/>
        <v>646</v>
      </c>
      <c r="AW5" s="13" t="s">
        <v>833</v>
      </c>
      <c r="AX5" s="13" t="s">
        <v>420</v>
      </c>
      <c r="AY5" s="13" t="s">
        <v>421</v>
      </c>
      <c r="AZ5" s="15" t="s">
        <v>334</v>
      </c>
      <c r="BA5" s="15" t="s">
        <v>154</v>
      </c>
      <c r="BB5" s="13"/>
      <c r="BC5" s="13"/>
      <c r="BD5" s="15"/>
      <c r="BE5" s="15"/>
      <c r="BF5" s="15"/>
      <c r="BG5" s="13"/>
      <c r="BH5" s="13"/>
      <c r="BI5" s="13"/>
      <c r="BJ5" s="13"/>
      <c r="BK5" s="15"/>
      <c r="BL5" s="15"/>
      <c r="BM5" s="13"/>
      <c r="BN5" s="15"/>
      <c r="BO5" s="13"/>
      <c r="BP5" s="15"/>
      <c r="BQ5" s="15"/>
      <c r="BR5" s="13"/>
      <c r="BS5" s="15"/>
      <c r="BT5" s="15"/>
      <c r="BU5" s="15"/>
      <c r="BV5" s="15"/>
      <c r="BW5" s="15"/>
      <c r="BX5" s="15"/>
      <c r="BY5" s="15"/>
      <c r="BZ5" s="15"/>
      <c r="CA5" s="15"/>
      <c r="CB5" s="15"/>
      <c r="CC5" s="15"/>
      <c r="CD5" s="15"/>
      <c r="CE5" s="15"/>
      <c r="CF5" s="15"/>
      <c r="CG5" s="15"/>
      <c r="CH5" s="15"/>
      <c r="CI5" s="13">
        <v>1</v>
      </c>
      <c r="CJ5" s="13" t="str">
        <f t="shared" si="13"/>
        <v>GAS_ENQ_NO-646</v>
      </c>
      <c r="CK5" s="15" t="s">
        <v>165</v>
      </c>
      <c r="CL5" s="15" t="s">
        <v>391</v>
      </c>
      <c r="CM5" s="15" t="s">
        <v>390</v>
      </c>
      <c r="CN5" s="13" t="s">
        <v>1036</v>
      </c>
      <c r="CO5" s="13" t="str">
        <f t="shared" si="14"/>
        <v>GAS_JOB_ID-646</v>
      </c>
      <c r="CP5" s="15"/>
      <c r="CQ5" s="13" t="str">
        <f t="shared" si="15"/>
        <v>10000646</v>
      </c>
      <c r="CR5" s="13" t="s">
        <v>154</v>
      </c>
      <c r="CS5" s="15" t="s">
        <v>51</v>
      </c>
      <c r="CT5" s="227" t="str">
        <f t="shared" si="16"/>
        <v>GMETER646</v>
      </c>
      <c r="CU5" s="13" t="s">
        <v>161</v>
      </c>
      <c r="CV5" s="15" t="s">
        <v>165</v>
      </c>
      <c r="CW5" s="15" t="s">
        <v>414</v>
      </c>
      <c r="CX5" s="15"/>
      <c r="CY5" s="15"/>
      <c r="CZ5" s="15" t="s">
        <v>394</v>
      </c>
      <c r="DA5" s="15" t="s">
        <v>395</v>
      </c>
      <c r="DB5" s="13" t="str">
        <f t="shared" si="17"/>
        <v>GAS_INST_ID-646</v>
      </c>
      <c r="DC5" s="15" t="s">
        <v>161</v>
      </c>
      <c r="DD5" s="15"/>
      <c r="DE5" s="15" t="s">
        <v>51</v>
      </c>
      <c r="DF5" s="15" t="s">
        <v>264</v>
      </c>
      <c r="DG5" s="15"/>
      <c r="DH5" s="15" t="s">
        <v>397</v>
      </c>
      <c r="DI5" s="15" t="s">
        <v>399</v>
      </c>
      <c r="DJ5" s="15" t="s">
        <v>836</v>
      </c>
      <c r="DK5" s="15" t="s">
        <v>140</v>
      </c>
      <c r="DL5" s="228"/>
      <c r="DM5" s="228"/>
      <c r="DN5" s="13" t="str">
        <f t="shared" si="18"/>
        <v>DS_Pass-646</v>
      </c>
      <c r="DO5" s="15"/>
      <c r="DP5" s="15"/>
      <c r="DQ5" s="15"/>
      <c r="DR5" s="13"/>
      <c r="DS5" s="13"/>
      <c r="DT5" s="15" t="s">
        <v>52</v>
      </c>
      <c r="DU5" s="15"/>
      <c r="DV5" s="15"/>
      <c r="DW5" s="13"/>
      <c r="DX5" s="15" t="s">
        <v>54</v>
      </c>
      <c r="DY5" s="15" t="s">
        <v>61</v>
      </c>
      <c r="DZ5" s="15" t="s">
        <v>402</v>
      </c>
      <c r="EA5" s="135" t="str">
        <f t="shared" si="19"/>
        <v>646CUSTOMER_ADDRESSEXCH1 ROADCUSTOMER_ADDRESSTESTINGHAMCUSTOMER_ADDRESSTESTINGHAMSHIRE</v>
      </c>
      <c r="EB5" s="15" t="s">
        <v>836</v>
      </c>
      <c r="EC5" s="228"/>
      <c r="ED5" s="228"/>
      <c r="EE5" s="228"/>
    </row>
    <row r="6" spans="1:136" s="229" customFormat="1">
      <c r="A6" s="219" t="s">
        <v>1164</v>
      </c>
      <c r="B6" s="219" t="s">
        <v>868</v>
      </c>
      <c r="C6" s="219">
        <v>111011</v>
      </c>
      <c r="D6" s="13">
        <f>'Run Parameters'!$B$1 + ROW()-1</f>
        <v>647</v>
      </c>
      <c r="E6" s="15" t="s">
        <v>47</v>
      </c>
      <c r="F6" s="13" t="s">
        <v>1036</v>
      </c>
      <c r="G6" s="13" t="str">
        <f t="shared" si="0"/>
        <v>Access Dtls-647</v>
      </c>
      <c r="H6" s="15" t="s">
        <v>275</v>
      </c>
      <c r="I6" s="13" t="str">
        <f>("MR. Test_5_EXCH1_"&amp;D6&amp;"")</f>
        <v>MR. Test_5_EXCH1_647</v>
      </c>
      <c r="J6" s="13"/>
      <c r="K6" s="19" t="s">
        <v>425</v>
      </c>
      <c r="L6" s="13" t="str">
        <f t="shared" si="1"/>
        <v>Cust. Ref-647</v>
      </c>
      <c r="M6" s="15" t="s">
        <v>48</v>
      </c>
      <c r="N6" s="15" t="s">
        <v>425</v>
      </c>
      <c r="O6" s="13"/>
      <c r="P6" s="13" t="str">
        <f t="shared" si="2"/>
        <v>SN-647</v>
      </c>
      <c r="Q6" s="13" t="str">
        <f t="shared" si="3"/>
        <v>SI-647</v>
      </c>
      <c r="R6" s="13" t="str">
        <f t="shared" si="4"/>
        <v>SE-647</v>
      </c>
      <c r="S6" s="135" t="str">
        <f t="shared" si="5"/>
        <v>Prev_RA-647</v>
      </c>
      <c r="T6" s="135" t="str">
        <f t="shared" si="6"/>
        <v>Prev_Comms-647</v>
      </c>
      <c r="U6" s="15" t="s">
        <v>75</v>
      </c>
      <c r="V6" s="15" t="s">
        <v>401</v>
      </c>
      <c r="W6" s="15" t="s">
        <v>75</v>
      </c>
      <c r="X6" s="15" t="s">
        <v>396</v>
      </c>
      <c r="Y6" s="13" t="str">
        <f t="shared" si="7"/>
        <v>Forward Add-647</v>
      </c>
      <c r="Z6" s="15" t="s">
        <v>401</v>
      </c>
      <c r="AA6" s="136" t="str">
        <f>'Run Parameters'!$B$2</f>
        <v>2018-08-13 08:00</v>
      </c>
      <c r="AB6" s="223" t="str">
        <f>'Run Parameters'!B$3</f>
        <v>2018-08-13 18:00</v>
      </c>
      <c r="AC6" s="26">
        <f>('Run Parameters'!$B$2) - 7</f>
        <v>43318.333333333336</v>
      </c>
      <c r="AD6" s="15" t="s">
        <v>75</v>
      </c>
      <c r="AE6" s="13" t="str">
        <f t="shared" si="8"/>
        <v>LAST_METER-647</v>
      </c>
      <c r="AF6" s="136" t="str">
        <f>'Run Parameters'!$B$2</f>
        <v>2018-08-13 08:00</v>
      </c>
      <c r="AG6" s="13" t="str">
        <f>'Run Parameters'!B$4</f>
        <v>AUTOTEST2</v>
      </c>
      <c r="AH6" s="135" t="str">
        <f t="shared" si="9"/>
        <v>Site_Contact_647</v>
      </c>
      <c r="AI6" s="136" t="str">
        <f>'Run Parameters'!B$2</f>
        <v>2018-08-13 08:00</v>
      </c>
      <c r="AJ6" s="223" t="str">
        <f>'Run Parameters'!B$3</f>
        <v>2018-08-13 18:00</v>
      </c>
      <c r="AK6" s="13" t="s">
        <v>396</v>
      </c>
      <c r="AL6" s="135" t="str">
        <f t="shared" si="10"/>
        <v>01159647</v>
      </c>
      <c r="AM6" s="13" t="str">
        <f t="shared" si="11"/>
        <v>0115647</v>
      </c>
      <c r="AN6" s="15"/>
      <c r="AO6" s="15"/>
      <c r="AP6" s="13">
        <v>1</v>
      </c>
      <c r="AQ6" s="15" t="s">
        <v>49</v>
      </c>
      <c r="AR6" s="15"/>
      <c r="AS6" s="13"/>
      <c r="AT6" s="15" t="s">
        <v>400</v>
      </c>
      <c r="AU6" s="15"/>
      <c r="AV6" s="13">
        <f t="shared" si="12"/>
        <v>647</v>
      </c>
      <c r="AW6" s="13" t="s">
        <v>833</v>
      </c>
      <c r="AX6" s="13" t="s">
        <v>420</v>
      </c>
      <c r="AY6" s="13" t="s">
        <v>421</v>
      </c>
      <c r="AZ6" s="15" t="s">
        <v>334</v>
      </c>
      <c r="BA6" s="15" t="s">
        <v>154</v>
      </c>
      <c r="BB6" s="13"/>
      <c r="BC6" s="13"/>
      <c r="BD6" s="15"/>
      <c r="BE6" s="15"/>
      <c r="BF6" s="15"/>
      <c r="BG6" s="13"/>
      <c r="BH6" s="13"/>
      <c r="BI6" s="13"/>
      <c r="BJ6" s="13"/>
      <c r="BK6" s="15"/>
      <c r="BL6" s="15"/>
      <c r="BM6" s="13"/>
      <c r="BN6" s="15"/>
      <c r="BO6" s="13"/>
      <c r="BP6" s="15"/>
      <c r="BQ6" s="15"/>
      <c r="BR6" s="13"/>
      <c r="BS6" s="15"/>
      <c r="BT6" s="15"/>
      <c r="BU6" s="15"/>
      <c r="BV6" s="15"/>
      <c r="BW6" s="15"/>
      <c r="BX6" s="15"/>
      <c r="BY6" s="15"/>
      <c r="BZ6" s="15"/>
      <c r="CA6" s="15"/>
      <c r="CB6" s="15"/>
      <c r="CC6" s="15"/>
      <c r="CD6" s="15"/>
      <c r="CE6" s="15"/>
      <c r="CF6" s="15"/>
      <c r="CG6" s="15"/>
      <c r="CH6" s="15"/>
      <c r="CI6" s="13">
        <v>1</v>
      </c>
      <c r="CJ6" s="13" t="str">
        <f t="shared" si="13"/>
        <v>GAS_ENQ_NO-647</v>
      </c>
      <c r="CK6" s="15" t="s">
        <v>165</v>
      </c>
      <c r="CL6" s="15" t="s">
        <v>391</v>
      </c>
      <c r="CM6" s="15" t="s">
        <v>390</v>
      </c>
      <c r="CN6" s="13" t="s">
        <v>1036</v>
      </c>
      <c r="CO6" s="13" t="str">
        <f t="shared" si="14"/>
        <v>GAS_JOB_ID-647</v>
      </c>
      <c r="CP6" s="15"/>
      <c r="CQ6" s="13" t="str">
        <f t="shared" si="15"/>
        <v>10000647</v>
      </c>
      <c r="CR6" s="13" t="s">
        <v>154</v>
      </c>
      <c r="CS6" s="15" t="s">
        <v>51</v>
      </c>
      <c r="CT6" s="227" t="str">
        <f t="shared" si="16"/>
        <v>GMETER647</v>
      </c>
      <c r="CU6" s="13" t="s">
        <v>161</v>
      </c>
      <c r="CV6" s="15" t="s">
        <v>165</v>
      </c>
      <c r="CW6" s="15" t="s">
        <v>414</v>
      </c>
      <c r="CX6" s="15"/>
      <c r="CY6" s="15"/>
      <c r="CZ6" s="15" t="s">
        <v>394</v>
      </c>
      <c r="DA6" s="15" t="s">
        <v>395</v>
      </c>
      <c r="DB6" s="13" t="str">
        <f t="shared" si="17"/>
        <v>GAS_INST_ID-647</v>
      </c>
      <c r="DC6" s="15" t="s">
        <v>161</v>
      </c>
      <c r="DD6" s="15"/>
      <c r="DE6" s="15" t="s">
        <v>51</v>
      </c>
      <c r="DF6" s="15" t="s">
        <v>264</v>
      </c>
      <c r="DG6" s="15"/>
      <c r="DH6" s="15" t="s">
        <v>397</v>
      </c>
      <c r="DI6" s="15" t="s">
        <v>399</v>
      </c>
      <c r="DJ6" s="15" t="s">
        <v>836</v>
      </c>
      <c r="DK6" s="15" t="s">
        <v>140</v>
      </c>
      <c r="DL6" s="228"/>
      <c r="DM6" s="228"/>
      <c r="DN6" s="13" t="str">
        <f t="shared" si="18"/>
        <v>DS_Pass-647</v>
      </c>
      <c r="DO6" s="15"/>
      <c r="DP6" s="15"/>
      <c r="DQ6" s="15"/>
      <c r="DR6" s="13"/>
      <c r="DS6" s="13"/>
      <c r="DT6" s="15" t="s">
        <v>52</v>
      </c>
      <c r="DU6" s="15"/>
      <c r="DV6" s="15"/>
      <c r="DW6" s="13"/>
      <c r="DX6" s="15" t="s">
        <v>54</v>
      </c>
      <c r="DY6" s="15" t="s">
        <v>61</v>
      </c>
      <c r="DZ6" s="15" t="s">
        <v>402</v>
      </c>
      <c r="EA6" s="135" t="str">
        <f t="shared" si="19"/>
        <v>647CUSTOMER_ADDRESSEXCH1 ROADCUSTOMER_ADDRESSTESTINGHAMCUSTOMER_ADDRESSTESTINGHAMSHIRE</v>
      </c>
      <c r="EB6" s="15" t="s">
        <v>836</v>
      </c>
      <c r="EC6" s="228"/>
      <c r="ED6" s="228"/>
      <c r="EE6" s="228"/>
    </row>
    <row r="7" spans="1:136" s="229" customFormat="1">
      <c r="A7" s="219" t="s">
        <v>1165</v>
      </c>
      <c r="B7" s="219" t="s">
        <v>892</v>
      </c>
      <c r="C7" s="219">
        <v>111011</v>
      </c>
      <c r="D7" s="13">
        <f>'Run Parameters'!$B$1 + ROW()-1</f>
        <v>648</v>
      </c>
      <c r="E7" s="15" t="s">
        <v>47</v>
      </c>
      <c r="F7" s="13" t="s">
        <v>1036</v>
      </c>
      <c r="G7" s="13" t="str">
        <f t="shared" si="0"/>
        <v>Access Dtls-648</v>
      </c>
      <c r="H7" s="15" t="s">
        <v>275</v>
      </c>
      <c r="I7" s="13" t="str">
        <f>("MR. Test_6_EXCH1_"&amp;D7&amp;"")</f>
        <v>MR. Test_6_EXCH1_648</v>
      </c>
      <c r="J7" s="13"/>
      <c r="K7" s="19" t="s">
        <v>425</v>
      </c>
      <c r="L7" s="13" t="str">
        <f t="shared" si="1"/>
        <v>Cust. Ref-648</v>
      </c>
      <c r="M7" s="15" t="s">
        <v>48</v>
      </c>
      <c r="N7" s="15" t="s">
        <v>425</v>
      </c>
      <c r="O7" s="13"/>
      <c r="P7" s="13" t="str">
        <f t="shared" si="2"/>
        <v>SN-648</v>
      </c>
      <c r="Q7" s="13" t="str">
        <f t="shared" si="3"/>
        <v>SI-648</v>
      </c>
      <c r="R7" s="13" t="str">
        <f t="shared" si="4"/>
        <v>SE-648</v>
      </c>
      <c r="S7" s="135" t="str">
        <f t="shared" si="5"/>
        <v>Prev_RA-648</v>
      </c>
      <c r="T7" s="135" t="str">
        <f t="shared" si="6"/>
        <v>Prev_Comms-648</v>
      </c>
      <c r="U7" s="15" t="s">
        <v>75</v>
      </c>
      <c r="V7" s="15" t="s">
        <v>401</v>
      </c>
      <c r="W7" s="15" t="s">
        <v>75</v>
      </c>
      <c r="X7" s="15" t="s">
        <v>1081</v>
      </c>
      <c r="Y7" s="13" t="str">
        <f t="shared" si="7"/>
        <v>Forward Add-648</v>
      </c>
      <c r="Z7" s="15" t="s">
        <v>401</v>
      </c>
      <c r="AA7" s="136" t="str">
        <f>'Run Parameters'!$B$2</f>
        <v>2018-08-13 08:00</v>
      </c>
      <c r="AB7" s="223" t="str">
        <f>'Run Parameters'!B$3</f>
        <v>2018-08-13 18:00</v>
      </c>
      <c r="AC7" s="26">
        <f>('Run Parameters'!$B$2) - 7</f>
        <v>43318.333333333336</v>
      </c>
      <c r="AD7" s="15" t="s">
        <v>75</v>
      </c>
      <c r="AE7" s="13" t="str">
        <f t="shared" si="8"/>
        <v>LAST_METER-648</v>
      </c>
      <c r="AF7" s="136" t="str">
        <f>'Run Parameters'!$B$2</f>
        <v>2018-08-13 08:00</v>
      </c>
      <c r="AG7" s="13" t="str">
        <f>'Run Parameters'!B$4</f>
        <v>AUTOTEST2</v>
      </c>
      <c r="AH7" s="135" t="str">
        <f t="shared" si="9"/>
        <v>Site_Contact_648</v>
      </c>
      <c r="AI7" s="136" t="str">
        <f>'Run Parameters'!B$2</f>
        <v>2018-08-13 08:00</v>
      </c>
      <c r="AJ7" s="223" t="str">
        <f>'Run Parameters'!B$3</f>
        <v>2018-08-13 18:00</v>
      </c>
      <c r="AK7" s="13" t="s">
        <v>1081</v>
      </c>
      <c r="AL7" s="135" t="str">
        <f t="shared" si="10"/>
        <v>01159648</v>
      </c>
      <c r="AM7" s="13" t="str">
        <f t="shared" si="11"/>
        <v>0115648</v>
      </c>
      <c r="AN7" s="15"/>
      <c r="AO7" s="15"/>
      <c r="AP7" s="13">
        <v>1</v>
      </c>
      <c r="AQ7" s="15" t="s">
        <v>49</v>
      </c>
      <c r="AR7" s="15"/>
      <c r="AS7" s="13"/>
      <c r="AT7" s="15" t="s">
        <v>400</v>
      </c>
      <c r="AU7" s="15"/>
      <c r="AV7" s="13">
        <f t="shared" si="12"/>
        <v>648</v>
      </c>
      <c r="AW7" s="13" t="s">
        <v>833</v>
      </c>
      <c r="AX7" s="13" t="s">
        <v>420</v>
      </c>
      <c r="AY7" s="13" t="s">
        <v>421</v>
      </c>
      <c r="AZ7" s="15" t="s">
        <v>334</v>
      </c>
      <c r="BA7" s="15" t="s">
        <v>154</v>
      </c>
      <c r="BB7" s="13"/>
      <c r="BC7" s="13"/>
      <c r="BD7" s="15"/>
      <c r="BE7" s="15"/>
      <c r="BF7" s="15"/>
      <c r="BG7" s="13"/>
      <c r="BH7" s="13"/>
      <c r="BI7" s="13"/>
      <c r="BJ7" s="13"/>
      <c r="BK7" s="15"/>
      <c r="BL7" s="15"/>
      <c r="BM7" s="13"/>
      <c r="BN7" s="15"/>
      <c r="BO7" s="13"/>
      <c r="BP7" s="15"/>
      <c r="BQ7" s="15"/>
      <c r="BR7" s="13"/>
      <c r="BS7" s="15"/>
      <c r="BT7" s="15"/>
      <c r="BU7" s="15"/>
      <c r="BV7" s="15"/>
      <c r="BW7" s="15"/>
      <c r="BX7" s="15"/>
      <c r="BY7" s="15"/>
      <c r="BZ7" s="15"/>
      <c r="CA7" s="15"/>
      <c r="CB7" s="15"/>
      <c r="CC7" s="15"/>
      <c r="CD7" s="15"/>
      <c r="CE7" s="15"/>
      <c r="CF7" s="15"/>
      <c r="CG7" s="15"/>
      <c r="CH7" s="15"/>
      <c r="CI7" s="13">
        <v>1</v>
      </c>
      <c r="CJ7" s="13" t="str">
        <f t="shared" si="13"/>
        <v>GAS_ENQ_NO-648</v>
      </c>
      <c r="CK7" s="15" t="s">
        <v>165</v>
      </c>
      <c r="CL7" s="15" t="s">
        <v>391</v>
      </c>
      <c r="CM7" s="15" t="s">
        <v>390</v>
      </c>
      <c r="CN7" s="13" t="s">
        <v>1036</v>
      </c>
      <c r="CO7" s="13" t="str">
        <f t="shared" si="14"/>
        <v>GAS_JOB_ID-648</v>
      </c>
      <c r="CP7" s="15"/>
      <c r="CQ7" s="13" t="str">
        <f t="shared" si="15"/>
        <v>10000648</v>
      </c>
      <c r="CR7" s="13" t="s">
        <v>154</v>
      </c>
      <c r="CS7" s="15" t="s">
        <v>51</v>
      </c>
      <c r="CT7" s="227" t="str">
        <f t="shared" si="16"/>
        <v>GMETER648</v>
      </c>
      <c r="CU7" s="13" t="s">
        <v>161</v>
      </c>
      <c r="CV7" s="15" t="s">
        <v>165</v>
      </c>
      <c r="CW7" s="15" t="s">
        <v>414</v>
      </c>
      <c r="CX7" s="15"/>
      <c r="CY7" s="15"/>
      <c r="CZ7" s="15" t="s">
        <v>394</v>
      </c>
      <c r="DA7" s="15" t="s">
        <v>395</v>
      </c>
      <c r="DB7" s="13" t="str">
        <f t="shared" si="17"/>
        <v>GAS_INST_ID-648</v>
      </c>
      <c r="DC7" s="15" t="s">
        <v>161</v>
      </c>
      <c r="DD7" s="15"/>
      <c r="DE7" s="15" t="s">
        <v>51</v>
      </c>
      <c r="DF7" s="15" t="s">
        <v>264</v>
      </c>
      <c r="DG7" s="15"/>
      <c r="DH7" s="15" t="s">
        <v>397</v>
      </c>
      <c r="DI7" s="15" t="s">
        <v>399</v>
      </c>
      <c r="DJ7" s="15" t="s">
        <v>836</v>
      </c>
      <c r="DK7" s="15" t="s">
        <v>140</v>
      </c>
      <c r="DL7" s="228"/>
      <c r="DM7" s="228"/>
      <c r="DN7" s="13" t="str">
        <f t="shared" si="18"/>
        <v>DS_Pass-648</v>
      </c>
      <c r="DO7" s="15"/>
      <c r="DP7" s="15"/>
      <c r="DQ7" s="15"/>
      <c r="DR7" s="13"/>
      <c r="DS7" s="13"/>
      <c r="DT7" s="15" t="s">
        <v>52</v>
      </c>
      <c r="DU7" s="15"/>
      <c r="DV7" s="15"/>
      <c r="DW7" s="13"/>
      <c r="DX7" s="15" t="s">
        <v>54</v>
      </c>
      <c r="DY7" s="15" t="s">
        <v>61</v>
      </c>
      <c r="DZ7" s="15" t="s">
        <v>402</v>
      </c>
      <c r="EA7" s="135" t="str">
        <f t="shared" si="19"/>
        <v>648CUSTOMER_ADDRESSEXCH1 ROADCUSTOMER_ADDRESSTESTINGHAMCUSTOMER_ADDRESSTESTINGHAMSHIRE</v>
      </c>
      <c r="EB7" s="15" t="s">
        <v>836</v>
      </c>
      <c r="EC7" s="228"/>
      <c r="ED7" s="228"/>
      <c r="EE7" s="228"/>
    </row>
    <row r="8" spans="1:136" s="229" customFormat="1">
      <c r="A8" s="219" t="s">
        <v>1166</v>
      </c>
      <c r="B8" s="219" t="s">
        <v>868</v>
      </c>
      <c r="C8" s="219">
        <v>111011</v>
      </c>
      <c r="D8" s="13">
        <f>'Run Parameters'!$B$1 + ROW()-1</f>
        <v>649</v>
      </c>
      <c r="E8" s="15" t="s">
        <v>47</v>
      </c>
      <c r="F8" s="13" t="s">
        <v>1036</v>
      </c>
      <c r="G8" s="13" t="str">
        <f t="shared" si="0"/>
        <v>Access Dtls-649</v>
      </c>
      <c r="H8" s="15" t="s">
        <v>275</v>
      </c>
      <c r="I8" s="13" t="str">
        <f>("MR. Test_7_EXCH1_"&amp;D8&amp;"")</f>
        <v>MR. Test_7_EXCH1_649</v>
      </c>
      <c r="J8" s="13"/>
      <c r="K8" s="19" t="s">
        <v>425</v>
      </c>
      <c r="L8" s="13" t="str">
        <f t="shared" si="1"/>
        <v>Cust. Ref-649</v>
      </c>
      <c r="M8" s="15" t="s">
        <v>48</v>
      </c>
      <c r="N8" s="15" t="s">
        <v>425</v>
      </c>
      <c r="O8" s="13"/>
      <c r="P8" s="13" t="str">
        <f t="shared" si="2"/>
        <v>SN-649</v>
      </c>
      <c r="Q8" s="13" t="str">
        <f t="shared" si="3"/>
        <v>SI-649</v>
      </c>
      <c r="R8" s="13" t="str">
        <f t="shared" si="4"/>
        <v>SE-649</v>
      </c>
      <c r="S8" s="135" t="str">
        <f t="shared" si="5"/>
        <v>Prev_RA-649</v>
      </c>
      <c r="T8" s="135" t="str">
        <f t="shared" si="6"/>
        <v>Prev_Comms-649</v>
      </c>
      <c r="U8" s="15" t="s">
        <v>75</v>
      </c>
      <c r="V8" s="15" t="s">
        <v>401</v>
      </c>
      <c r="W8" s="15" t="s">
        <v>75</v>
      </c>
      <c r="X8" s="15" t="s">
        <v>396</v>
      </c>
      <c r="Y8" s="13" t="str">
        <f t="shared" si="7"/>
        <v>Forward Add-649</v>
      </c>
      <c r="Z8" s="15" t="s">
        <v>401</v>
      </c>
      <c r="AA8" s="136" t="str">
        <f>'Run Parameters'!$B$2</f>
        <v>2018-08-13 08:00</v>
      </c>
      <c r="AB8" s="223" t="str">
        <f>'Run Parameters'!B$3</f>
        <v>2018-08-13 18:00</v>
      </c>
      <c r="AC8" s="26">
        <f>('Run Parameters'!$B$2) - 7</f>
        <v>43318.333333333336</v>
      </c>
      <c r="AD8" s="15" t="s">
        <v>75</v>
      </c>
      <c r="AE8" s="13" t="str">
        <f t="shared" si="8"/>
        <v>LAST_METER-649</v>
      </c>
      <c r="AF8" s="136" t="str">
        <f>'Run Parameters'!$B$2</f>
        <v>2018-08-13 08:00</v>
      </c>
      <c r="AG8" s="13" t="str">
        <f>'Run Parameters'!B$4</f>
        <v>AUTOTEST2</v>
      </c>
      <c r="AH8" s="135" t="str">
        <f t="shared" si="9"/>
        <v>Site_Contact_649</v>
      </c>
      <c r="AI8" s="136" t="str">
        <f>'Run Parameters'!B$2</f>
        <v>2018-08-13 08:00</v>
      </c>
      <c r="AJ8" s="223" t="str">
        <f>'Run Parameters'!B$3</f>
        <v>2018-08-13 18:00</v>
      </c>
      <c r="AK8" s="13" t="s">
        <v>396</v>
      </c>
      <c r="AL8" s="135" t="str">
        <f t="shared" si="10"/>
        <v>01159649</v>
      </c>
      <c r="AM8" s="13" t="str">
        <f t="shared" si="11"/>
        <v>0115649</v>
      </c>
      <c r="AN8" s="15"/>
      <c r="AO8" s="15"/>
      <c r="AP8" s="13">
        <v>1</v>
      </c>
      <c r="AQ8" s="15" t="s">
        <v>49</v>
      </c>
      <c r="AR8" s="15"/>
      <c r="AS8" s="13"/>
      <c r="AT8" s="15" t="s">
        <v>400</v>
      </c>
      <c r="AU8" s="15"/>
      <c r="AV8" s="13">
        <f t="shared" si="12"/>
        <v>649</v>
      </c>
      <c r="AW8" s="13" t="s">
        <v>833</v>
      </c>
      <c r="AX8" s="13" t="s">
        <v>420</v>
      </c>
      <c r="AY8" s="13" t="s">
        <v>421</v>
      </c>
      <c r="AZ8" s="15" t="s">
        <v>334</v>
      </c>
      <c r="BA8" s="15" t="s">
        <v>154</v>
      </c>
      <c r="BB8" s="13"/>
      <c r="BC8" s="13"/>
      <c r="BD8" s="15"/>
      <c r="BE8" s="15"/>
      <c r="BF8" s="15"/>
      <c r="BG8" s="13"/>
      <c r="BH8" s="13"/>
      <c r="BI8" s="13"/>
      <c r="BJ8" s="13"/>
      <c r="BK8" s="15"/>
      <c r="BL8" s="15"/>
      <c r="BM8" s="13"/>
      <c r="BN8" s="15"/>
      <c r="BO8" s="13"/>
      <c r="BP8" s="15"/>
      <c r="BQ8" s="15"/>
      <c r="BR8" s="13"/>
      <c r="BS8" s="15"/>
      <c r="BT8" s="15"/>
      <c r="BU8" s="15"/>
      <c r="BV8" s="15"/>
      <c r="BW8" s="15"/>
      <c r="BX8" s="15"/>
      <c r="BY8" s="15"/>
      <c r="BZ8" s="15"/>
      <c r="CA8" s="15"/>
      <c r="CB8" s="15"/>
      <c r="CC8" s="15"/>
      <c r="CD8" s="15"/>
      <c r="CE8" s="15"/>
      <c r="CF8" s="15"/>
      <c r="CG8" s="15"/>
      <c r="CH8" s="15"/>
      <c r="CI8" s="13">
        <v>1</v>
      </c>
      <c r="CJ8" s="13" t="str">
        <f t="shared" si="13"/>
        <v>GAS_ENQ_NO-649</v>
      </c>
      <c r="CK8" s="15" t="s">
        <v>165</v>
      </c>
      <c r="CL8" s="15" t="s">
        <v>391</v>
      </c>
      <c r="CM8" s="15" t="s">
        <v>390</v>
      </c>
      <c r="CN8" s="13" t="s">
        <v>1036</v>
      </c>
      <c r="CO8" s="13" t="str">
        <f t="shared" si="14"/>
        <v>GAS_JOB_ID-649</v>
      </c>
      <c r="CP8" s="15"/>
      <c r="CQ8" s="13" t="str">
        <f t="shared" si="15"/>
        <v>10000649</v>
      </c>
      <c r="CR8" s="13" t="s">
        <v>154</v>
      </c>
      <c r="CS8" s="15" t="s">
        <v>51</v>
      </c>
      <c r="CT8" s="227" t="str">
        <f t="shared" si="16"/>
        <v>GMETER649</v>
      </c>
      <c r="CU8" s="13" t="s">
        <v>161</v>
      </c>
      <c r="CV8" s="15" t="s">
        <v>165</v>
      </c>
      <c r="CW8" s="15" t="s">
        <v>414</v>
      </c>
      <c r="CX8" s="15"/>
      <c r="CY8" s="15"/>
      <c r="CZ8" s="15" t="s">
        <v>394</v>
      </c>
      <c r="DA8" s="15" t="s">
        <v>395</v>
      </c>
      <c r="DB8" s="13" t="str">
        <f t="shared" si="17"/>
        <v>GAS_INST_ID-649</v>
      </c>
      <c r="DC8" s="15" t="s">
        <v>161</v>
      </c>
      <c r="DD8" s="15"/>
      <c r="DE8" s="15" t="s">
        <v>51</v>
      </c>
      <c r="DF8" s="15" t="s">
        <v>264</v>
      </c>
      <c r="DG8" s="15"/>
      <c r="DH8" s="15" t="s">
        <v>397</v>
      </c>
      <c r="DI8" s="15" t="s">
        <v>399</v>
      </c>
      <c r="DJ8" s="15" t="s">
        <v>836</v>
      </c>
      <c r="DK8" s="15" t="s">
        <v>140</v>
      </c>
      <c r="DL8" s="228"/>
      <c r="DM8" s="228"/>
      <c r="DN8" s="13" t="str">
        <f t="shared" si="18"/>
        <v>DS_Pass-649</v>
      </c>
      <c r="DO8" s="15"/>
      <c r="DP8" s="15"/>
      <c r="DQ8" s="15"/>
      <c r="DR8" s="13"/>
      <c r="DS8" s="13"/>
      <c r="DT8" s="15" t="s">
        <v>52</v>
      </c>
      <c r="DU8" s="15"/>
      <c r="DV8" s="15"/>
      <c r="DW8" s="13"/>
      <c r="DX8" s="15" t="s">
        <v>54</v>
      </c>
      <c r="DY8" s="15" t="s">
        <v>61</v>
      </c>
      <c r="DZ8" s="15" t="s">
        <v>402</v>
      </c>
      <c r="EA8" s="135" t="str">
        <f t="shared" si="19"/>
        <v>649CUSTOMER_ADDRESSEXCH1 ROADCUSTOMER_ADDRESSTESTINGHAMCUSTOMER_ADDRESSTESTINGHAMSHIRE</v>
      </c>
      <c r="EB8" s="15" t="s">
        <v>836</v>
      </c>
      <c r="EC8" s="228"/>
      <c r="ED8" s="228"/>
      <c r="EE8" s="228"/>
    </row>
    <row r="9" spans="1:136" s="229" customFormat="1">
      <c r="A9" s="219" t="s">
        <v>1167</v>
      </c>
      <c r="B9" s="219" t="s">
        <v>892</v>
      </c>
      <c r="C9" s="219">
        <v>111011</v>
      </c>
      <c r="D9" s="13">
        <f>'Run Parameters'!$B$1 + ROW()-1</f>
        <v>650</v>
      </c>
      <c r="E9" s="15" t="s">
        <v>47</v>
      </c>
      <c r="F9" s="13" t="s">
        <v>1036</v>
      </c>
      <c r="G9" s="13" t="str">
        <f t="shared" si="0"/>
        <v>Access Dtls-650</v>
      </c>
      <c r="H9" s="15" t="s">
        <v>275</v>
      </c>
      <c r="I9" s="13" t="str">
        <f>("MR. Test_8_EXCH1_"&amp;D9&amp;"")</f>
        <v>MR. Test_8_EXCH1_650</v>
      </c>
      <c r="J9" s="13"/>
      <c r="K9" s="19" t="s">
        <v>425</v>
      </c>
      <c r="L9" s="13" t="str">
        <f t="shared" si="1"/>
        <v>Cust. Ref-650</v>
      </c>
      <c r="M9" s="15" t="s">
        <v>48</v>
      </c>
      <c r="N9" s="15" t="s">
        <v>425</v>
      </c>
      <c r="O9" s="13"/>
      <c r="P9" s="13" t="str">
        <f t="shared" si="2"/>
        <v>SN-650</v>
      </c>
      <c r="Q9" s="13" t="str">
        <f t="shared" si="3"/>
        <v>SI-650</v>
      </c>
      <c r="R9" s="13" t="str">
        <f t="shared" si="4"/>
        <v>SE-650</v>
      </c>
      <c r="S9" s="135" t="str">
        <f t="shared" si="5"/>
        <v>Prev_RA-650</v>
      </c>
      <c r="T9" s="135" t="str">
        <f t="shared" si="6"/>
        <v>Prev_Comms-650</v>
      </c>
      <c r="U9" s="15" t="s">
        <v>75</v>
      </c>
      <c r="V9" s="15" t="s">
        <v>401</v>
      </c>
      <c r="W9" s="15" t="s">
        <v>75</v>
      </c>
      <c r="X9" s="15" t="s">
        <v>396</v>
      </c>
      <c r="Y9" s="13" t="str">
        <f t="shared" si="7"/>
        <v>Forward Add-650</v>
      </c>
      <c r="Z9" s="15" t="s">
        <v>401</v>
      </c>
      <c r="AA9" s="136" t="str">
        <f>'Run Parameters'!$B$2</f>
        <v>2018-08-13 08:00</v>
      </c>
      <c r="AB9" s="223" t="str">
        <f>'Run Parameters'!B$3</f>
        <v>2018-08-13 18:00</v>
      </c>
      <c r="AC9" s="26">
        <f>('Run Parameters'!$B$2) - 7</f>
        <v>43318.333333333336</v>
      </c>
      <c r="AD9" s="15" t="s">
        <v>75</v>
      </c>
      <c r="AE9" s="13" t="str">
        <f t="shared" si="8"/>
        <v>LAST_METER-650</v>
      </c>
      <c r="AF9" s="136" t="str">
        <f>'Run Parameters'!$B$2</f>
        <v>2018-08-13 08:00</v>
      </c>
      <c r="AG9" s="13" t="str">
        <f>'Run Parameters'!B$4</f>
        <v>AUTOTEST2</v>
      </c>
      <c r="AH9" s="135" t="str">
        <f t="shared" si="9"/>
        <v>Site_Contact_650</v>
      </c>
      <c r="AI9" s="136" t="str">
        <f>'Run Parameters'!B$2</f>
        <v>2018-08-13 08:00</v>
      </c>
      <c r="AJ9" s="223" t="str">
        <f>'Run Parameters'!B$3</f>
        <v>2018-08-13 18:00</v>
      </c>
      <c r="AK9" s="13" t="s">
        <v>396</v>
      </c>
      <c r="AL9" s="135" t="str">
        <f t="shared" si="10"/>
        <v>01159650</v>
      </c>
      <c r="AM9" s="13" t="str">
        <f t="shared" si="11"/>
        <v>0115650</v>
      </c>
      <c r="AN9" s="15"/>
      <c r="AO9" s="15"/>
      <c r="AP9" s="13">
        <v>1</v>
      </c>
      <c r="AQ9" s="15" t="s">
        <v>49</v>
      </c>
      <c r="AR9" s="15"/>
      <c r="AS9" s="13"/>
      <c r="AT9" s="15" t="s">
        <v>400</v>
      </c>
      <c r="AU9" s="15"/>
      <c r="AV9" s="13">
        <f t="shared" si="12"/>
        <v>650</v>
      </c>
      <c r="AW9" s="13" t="s">
        <v>833</v>
      </c>
      <c r="AX9" s="13" t="s">
        <v>420</v>
      </c>
      <c r="AY9" s="13" t="s">
        <v>421</v>
      </c>
      <c r="AZ9" s="15" t="s">
        <v>334</v>
      </c>
      <c r="BA9" s="15" t="s">
        <v>154</v>
      </c>
      <c r="BB9" s="13"/>
      <c r="BC9" s="13"/>
      <c r="BD9" s="15"/>
      <c r="BE9" s="15"/>
      <c r="BF9" s="15"/>
      <c r="BG9" s="13"/>
      <c r="BH9" s="13"/>
      <c r="BI9" s="13"/>
      <c r="BJ9" s="13"/>
      <c r="BK9" s="15"/>
      <c r="BL9" s="15"/>
      <c r="BM9" s="13"/>
      <c r="BN9" s="15"/>
      <c r="BO9" s="13"/>
      <c r="BP9" s="15"/>
      <c r="BQ9" s="15"/>
      <c r="BR9" s="13"/>
      <c r="BS9" s="15"/>
      <c r="BT9" s="15"/>
      <c r="BU9" s="15"/>
      <c r="BV9" s="15"/>
      <c r="BW9" s="15"/>
      <c r="BX9" s="15"/>
      <c r="BY9" s="15"/>
      <c r="BZ9" s="15"/>
      <c r="CA9" s="15"/>
      <c r="CB9" s="15"/>
      <c r="CC9" s="15"/>
      <c r="CD9" s="15"/>
      <c r="CE9" s="15"/>
      <c r="CF9" s="15"/>
      <c r="CG9" s="15"/>
      <c r="CH9" s="15"/>
      <c r="CI9" s="13">
        <v>1</v>
      </c>
      <c r="CJ9" s="13" t="str">
        <f t="shared" si="13"/>
        <v>GAS_ENQ_NO-650</v>
      </c>
      <c r="CK9" s="15" t="s">
        <v>165</v>
      </c>
      <c r="CL9" s="15" t="s">
        <v>391</v>
      </c>
      <c r="CM9" s="15" t="s">
        <v>390</v>
      </c>
      <c r="CN9" s="13" t="s">
        <v>1036</v>
      </c>
      <c r="CO9" s="13" t="str">
        <f t="shared" si="14"/>
        <v>GAS_JOB_ID-650</v>
      </c>
      <c r="CP9" s="15"/>
      <c r="CQ9" s="13" t="str">
        <f t="shared" si="15"/>
        <v>10000650</v>
      </c>
      <c r="CR9" s="13" t="s">
        <v>154</v>
      </c>
      <c r="CS9" s="15" t="s">
        <v>51</v>
      </c>
      <c r="CT9" s="227" t="str">
        <f t="shared" si="16"/>
        <v>GMETER650</v>
      </c>
      <c r="CU9" s="13" t="s">
        <v>161</v>
      </c>
      <c r="CV9" s="15" t="s">
        <v>165</v>
      </c>
      <c r="CW9" s="15" t="s">
        <v>414</v>
      </c>
      <c r="CX9" s="15"/>
      <c r="CY9" s="15"/>
      <c r="CZ9" s="15" t="s">
        <v>394</v>
      </c>
      <c r="DA9" s="15" t="s">
        <v>395</v>
      </c>
      <c r="DB9" s="13" t="str">
        <f t="shared" si="17"/>
        <v>GAS_INST_ID-650</v>
      </c>
      <c r="DC9" s="15" t="s">
        <v>161</v>
      </c>
      <c r="DD9" s="15"/>
      <c r="DE9" s="15" t="s">
        <v>51</v>
      </c>
      <c r="DF9" s="15" t="s">
        <v>264</v>
      </c>
      <c r="DG9" s="15"/>
      <c r="DH9" s="15" t="s">
        <v>397</v>
      </c>
      <c r="DI9" s="15" t="s">
        <v>399</v>
      </c>
      <c r="DJ9" s="15" t="s">
        <v>836</v>
      </c>
      <c r="DK9" s="15" t="s">
        <v>140</v>
      </c>
      <c r="DL9" s="228"/>
      <c r="DM9" s="228"/>
      <c r="DN9" s="13" t="str">
        <f t="shared" si="18"/>
        <v>DS_Pass-650</v>
      </c>
      <c r="DO9" s="15"/>
      <c r="DP9" s="15"/>
      <c r="DQ9" s="15"/>
      <c r="DR9" s="13"/>
      <c r="DS9" s="13"/>
      <c r="DT9" s="15" t="s">
        <v>52</v>
      </c>
      <c r="DU9" s="15"/>
      <c r="DV9" s="15"/>
      <c r="DW9" s="13"/>
      <c r="DX9" s="15" t="s">
        <v>54</v>
      </c>
      <c r="DY9" s="15" t="s">
        <v>61</v>
      </c>
      <c r="DZ9" s="15" t="s">
        <v>402</v>
      </c>
      <c r="EA9" s="135" t="str">
        <f t="shared" si="19"/>
        <v>650CUSTOMER_ADDRESSEXCH1 ROADCUSTOMER_ADDRESSTESTINGHAMCUSTOMER_ADDRESSTESTINGHAMSHIRE</v>
      </c>
      <c r="EB9" s="15" t="s">
        <v>836</v>
      </c>
      <c r="EC9" s="228"/>
      <c r="ED9" s="228"/>
      <c r="EE9" s="228"/>
    </row>
    <row r="10" spans="1:136" s="229" customFormat="1">
      <c r="A10" s="219" t="s">
        <v>1037</v>
      </c>
      <c r="B10" s="219" t="s">
        <v>892</v>
      </c>
      <c r="C10" s="219" t="s">
        <v>865</v>
      </c>
      <c r="D10" s="13">
        <f>'Run Parameters'!$B$1 + ROW()-1</f>
        <v>651</v>
      </c>
      <c r="E10" s="15" t="s">
        <v>47</v>
      </c>
      <c r="F10" s="13" t="s">
        <v>1036</v>
      </c>
      <c r="G10" s="13" t="str">
        <f t="shared" si="0"/>
        <v>Access Dtls-651</v>
      </c>
      <c r="H10" s="15" t="s">
        <v>275</v>
      </c>
      <c r="I10" s="13" t="str">
        <f>("MR. Test_9_EXCH1_"&amp;D10&amp;"")</f>
        <v>MR. Test_9_EXCH1_651</v>
      </c>
      <c r="J10" s="13"/>
      <c r="K10" s="19" t="s">
        <v>425</v>
      </c>
      <c r="L10" s="13" t="str">
        <f t="shared" si="1"/>
        <v>Cust. Ref-651</v>
      </c>
      <c r="M10" s="15" t="s">
        <v>48</v>
      </c>
      <c r="N10" s="15" t="s">
        <v>425</v>
      </c>
      <c r="O10" s="13"/>
      <c r="P10" s="13" t="str">
        <f t="shared" si="2"/>
        <v>SN-651</v>
      </c>
      <c r="Q10" s="13" t="str">
        <f t="shared" si="3"/>
        <v>SI-651</v>
      </c>
      <c r="R10" s="13" t="str">
        <f t="shared" si="4"/>
        <v>SE-651</v>
      </c>
      <c r="S10" s="135" t="str">
        <f t="shared" si="5"/>
        <v>Prev_RA-651</v>
      </c>
      <c r="T10" s="135" t="str">
        <f t="shared" si="6"/>
        <v>Prev_Comms-651</v>
      </c>
      <c r="U10" s="15" t="s">
        <v>75</v>
      </c>
      <c r="V10" s="15" t="s">
        <v>401</v>
      </c>
      <c r="W10" s="15" t="s">
        <v>75</v>
      </c>
      <c r="X10" s="15" t="s">
        <v>396</v>
      </c>
      <c r="Y10" s="13" t="str">
        <f t="shared" si="7"/>
        <v>Forward Add-651</v>
      </c>
      <c r="Z10" s="15" t="s">
        <v>401</v>
      </c>
      <c r="AA10" s="136" t="str">
        <f>'Run Parameters'!$B$2</f>
        <v>2018-08-13 08:00</v>
      </c>
      <c r="AB10" s="223" t="str">
        <f>'Run Parameters'!B$3</f>
        <v>2018-08-13 18:00</v>
      </c>
      <c r="AC10" s="26">
        <f>('Run Parameters'!$B$2) - 7</f>
        <v>43318.333333333336</v>
      </c>
      <c r="AD10" s="15" t="s">
        <v>75</v>
      </c>
      <c r="AE10" s="13" t="str">
        <f t="shared" si="8"/>
        <v>LAST_METER-651</v>
      </c>
      <c r="AF10" s="136" t="str">
        <f>'Run Parameters'!$B$2</f>
        <v>2018-08-13 08:00</v>
      </c>
      <c r="AG10" s="13" t="str">
        <f>'Run Parameters'!B$4</f>
        <v>AUTOTEST2</v>
      </c>
      <c r="AH10" s="135" t="str">
        <f t="shared" si="9"/>
        <v>Site_Contact_651</v>
      </c>
      <c r="AI10" s="136" t="str">
        <f>'Run Parameters'!B$2</f>
        <v>2018-08-13 08:00</v>
      </c>
      <c r="AJ10" s="223" t="str">
        <f>'Run Parameters'!B$3</f>
        <v>2018-08-13 18:00</v>
      </c>
      <c r="AK10" s="13" t="s">
        <v>396</v>
      </c>
      <c r="AL10" s="135" t="str">
        <f t="shared" si="10"/>
        <v>01159651</v>
      </c>
      <c r="AM10" s="13" t="str">
        <f t="shared" si="11"/>
        <v>0115651</v>
      </c>
      <c r="AN10" s="15"/>
      <c r="AO10" s="15"/>
      <c r="AP10" s="13">
        <v>1</v>
      </c>
      <c r="AQ10" s="15" t="s">
        <v>49</v>
      </c>
      <c r="AR10" s="15"/>
      <c r="AS10" s="13"/>
      <c r="AT10" s="15" t="s">
        <v>400</v>
      </c>
      <c r="AU10" s="15"/>
      <c r="AV10" s="13">
        <f t="shared" si="12"/>
        <v>651</v>
      </c>
      <c r="AW10" s="13" t="s">
        <v>833</v>
      </c>
      <c r="AX10" s="13" t="s">
        <v>420</v>
      </c>
      <c r="AY10" s="13" t="s">
        <v>421</v>
      </c>
      <c r="AZ10" s="15" t="s">
        <v>334</v>
      </c>
      <c r="BA10" s="15" t="s">
        <v>154</v>
      </c>
      <c r="BB10" s="13"/>
      <c r="BC10" s="13"/>
      <c r="BD10" s="15"/>
      <c r="BE10" s="15"/>
      <c r="BF10" s="15"/>
      <c r="BG10" s="13"/>
      <c r="BH10" s="13"/>
      <c r="BI10" s="13"/>
      <c r="BJ10" s="13"/>
      <c r="BK10" s="15"/>
      <c r="BL10" s="15"/>
      <c r="BM10" s="13"/>
      <c r="BN10" s="15"/>
      <c r="BO10" s="13"/>
      <c r="BP10" s="15"/>
      <c r="BQ10" s="15"/>
      <c r="BR10" s="13"/>
      <c r="BS10" s="15"/>
      <c r="BT10" s="15"/>
      <c r="BU10" s="15"/>
      <c r="BV10" s="15"/>
      <c r="BW10" s="15"/>
      <c r="BX10" s="15"/>
      <c r="BY10" s="15"/>
      <c r="BZ10" s="15"/>
      <c r="CA10" s="15"/>
      <c r="CB10" s="15"/>
      <c r="CC10" s="15"/>
      <c r="CD10" s="15"/>
      <c r="CE10" s="15"/>
      <c r="CF10" s="15"/>
      <c r="CG10" s="15"/>
      <c r="CH10" s="15"/>
      <c r="CI10" s="13">
        <v>1</v>
      </c>
      <c r="CJ10" s="13" t="str">
        <f t="shared" si="13"/>
        <v>GAS_ENQ_NO-651</v>
      </c>
      <c r="CK10" s="15" t="s">
        <v>165</v>
      </c>
      <c r="CL10" s="15" t="s">
        <v>391</v>
      </c>
      <c r="CM10" s="15" t="s">
        <v>390</v>
      </c>
      <c r="CN10" s="13" t="s">
        <v>1036</v>
      </c>
      <c r="CO10" s="13" t="str">
        <f t="shared" si="14"/>
        <v>GAS_JOB_ID-651</v>
      </c>
      <c r="CP10" s="15"/>
      <c r="CQ10" s="13" t="str">
        <f t="shared" si="15"/>
        <v>10000651</v>
      </c>
      <c r="CR10" s="13" t="s">
        <v>154</v>
      </c>
      <c r="CS10" s="15" t="s">
        <v>51</v>
      </c>
      <c r="CT10" s="227" t="str">
        <f t="shared" si="16"/>
        <v>GMETER651</v>
      </c>
      <c r="CU10" s="13" t="s">
        <v>161</v>
      </c>
      <c r="CV10" s="15" t="s">
        <v>165</v>
      </c>
      <c r="CW10" s="15" t="s">
        <v>414</v>
      </c>
      <c r="CX10" s="15"/>
      <c r="CY10" s="15"/>
      <c r="CZ10" s="15" t="s">
        <v>394</v>
      </c>
      <c r="DA10" s="15" t="s">
        <v>395</v>
      </c>
      <c r="DB10" s="13" t="str">
        <f t="shared" si="17"/>
        <v>GAS_INST_ID-651</v>
      </c>
      <c r="DC10" s="15" t="s">
        <v>161</v>
      </c>
      <c r="DD10" s="15"/>
      <c r="DE10" s="15" t="s">
        <v>51</v>
      </c>
      <c r="DF10" s="15" t="s">
        <v>264</v>
      </c>
      <c r="DG10" s="15"/>
      <c r="DH10" s="15" t="s">
        <v>397</v>
      </c>
      <c r="DI10" s="15" t="s">
        <v>399</v>
      </c>
      <c r="DJ10" s="15" t="s">
        <v>836</v>
      </c>
      <c r="DK10" s="15" t="s">
        <v>140</v>
      </c>
      <c r="DL10" s="228"/>
      <c r="DM10" s="228"/>
      <c r="DN10" s="13" t="str">
        <f t="shared" si="18"/>
        <v>DS_Pass-651</v>
      </c>
      <c r="DO10" s="15"/>
      <c r="DP10" s="15"/>
      <c r="DQ10" s="15"/>
      <c r="DR10" s="13"/>
      <c r="DS10" s="13"/>
      <c r="DT10" s="15" t="s">
        <v>52</v>
      </c>
      <c r="DU10" s="15"/>
      <c r="DV10" s="15"/>
      <c r="DW10" s="13"/>
      <c r="DX10" s="15" t="s">
        <v>54</v>
      </c>
      <c r="DY10" s="15" t="s">
        <v>61</v>
      </c>
      <c r="DZ10" s="15" t="s">
        <v>402</v>
      </c>
      <c r="EA10" s="135" t="str">
        <f t="shared" si="19"/>
        <v>651CUSTOMER_ADDRESSEXCH1 ROADCUSTOMER_ADDRESSTESTINGHAMCUSTOMER_ADDRESSTESTINGHAMSHIRE</v>
      </c>
      <c r="EB10" s="15" t="s">
        <v>836</v>
      </c>
      <c r="EC10" s="228"/>
      <c r="ED10" s="228"/>
      <c r="EE10" s="228"/>
    </row>
    <row r="11" spans="1:136" s="229" customFormat="1">
      <c r="A11" s="219" t="s">
        <v>1038</v>
      </c>
      <c r="B11" s="219" t="s">
        <v>868</v>
      </c>
      <c r="C11" s="219" t="s">
        <v>865</v>
      </c>
      <c r="D11" s="13">
        <f>'Run Parameters'!$B$1 + ROW()-1</f>
        <v>652</v>
      </c>
      <c r="E11" s="15" t="s">
        <v>47</v>
      </c>
      <c r="F11" s="13" t="s">
        <v>1036</v>
      </c>
      <c r="G11" s="13" t="str">
        <f t="shared" si="0"/>
        <v>Access Dtls-652</v>
      </c>
      <c r="H11" s="15" t="s">
        <v>275</v>
      </c>
      <c r="I11" s="13" t="str">
        <f>("MR. Test_10_EXCH1_"&amp;D11&amp;"")</f>
        <v>MR. Test_10_EXCH1_652</v>
      </c>
      <c r="J11" s="13"/>
      <c r="K11" s="19" t="s">
        <v>425</v>
      </c>
      <c r="L11" s="13" t="str">
        <f t="shared" si="1"/>
        <v>Cust. Ref-652</v>
      </c>
      <c r="M11" s="15" t="s">
        <v>48</v>
      </c>
      <c r="N11" s="15" t="s">
        <v>425</v>
      </c>
      <c r="O11" s="13"/>
      <c r="P11" s="13" t="str">
        <f t="shared" si="2"/>
        <v>SN-652</v>
      </c>
      <c r="Q11" s="13" t="str">
        <f t="shared" si="3"/>
        <v>SI-652</v>
      </c>
      <c r="R11" s="13" t="str">
        <f t="shared" si="4"/>
        <v>SE-652</v>
      </c>
      <c r="S11" s="135" t="str">
        <f t="shared" si="5"/>
        <v>Prev_RA-652</v>
      </c>
      <c r="T11" s="135" t="str">
        <f t="shared" si="6"/>
        <v>Prev_Comms-652</v>
      </c>
      <c r="U11" s="15" t="s">
        <v>75</v>
      </c>
      <c r="V11" s="15" t="s">
        <v>401</v>
      </c>
      <c r="W11" s="15" t="s">
        <v>75</v>
      </c>
      <c r="X11" s="15" t="s">
        <v>396</v>
      </c>
      <c r="Y11" s="13" t="str">
        <f t="shared" si="7"/>
        <v>Forward Add-652</v>
      </c>
      <c r="Z11" s="15" t="s">
        <v>401</v>
      </c>
      <c r="AA11" s="136" t="str">
        <f>'Run Parameters'!$B$2</f>
        <v>2018-08-13 08:00</v>
      </c>
      <c r="AB11" s="223" t="str">
        <f>'Run Parameters'!B$3</f>
        <v>2018-08-13 18:00</v>
      </c>
      <c r="AC11" s="26">
        <f>('Run Parameters'!$B$2) - 7</f>
        <v>43318.333333333336</v>
      </c>
      <c r="AD11" s="15" t="s">
        <v>75</v>
      </c>
      <c r="AE11" s="13" t="str">
        <f t="shared" si="8"/>
        <v>LAST_METER-652</v>
      </c>
      <c r="AF11" s="136" t="str">
        <f>'Run Parameters'!$B$2</f>
        <v>2018-08-13 08:00</v>
      </c>
      <c r="AG11" s="13" t="str">
        <f>'Run Parameters'!B$4</f>
        <v>AUTOTEST2</v>
      </c>
      <c r="AH11" s="135" t="str">
        <f t="shared" si="9"/>
        <v>Site_Contact_652</v>
      </c>
      <c r="AI11" s="136" t="str">
        <f>'Run Parameters'!B$2</f>
        <v>2018-08-13 08:00</v>
      </c>
      <c r="AJ11" s="223" t="str">
        <f>'Run Parameters'!B$3</f>
        <v>2018-08-13 18:00</v>
      </c>
      <c r="AK11" s="13" t="s">
        <v>396</v>
      </c>
      <c r="AL11" s="135" t="str">
        <f t="shared" si="10"/>
        <v>01159652</v>
      </c>
      <c r="AM11" s="13" t="str">
        <f t="shared" si="11"/>
        <v>0115652</v>
      </c>
      <c r="AN11" s="15"/>
      <c r="AO11" s="15"/>
      <c r="AP11" s="13">
        <v>1</v>
      </c>
      <c r="AQ11" s="15" t="s">
        <v>49</v>
      </c>
      <c r="AR11" s="15"/>
      <c r="AS11" s="13"/>
      <c r="AT11" s="15" t="s">
        <v>400</v>
      </c>
      <c r="AU11" s="15"/>
      <c r="AV11" s="13">
        <f t="shared" si="12"/>
        <v>652</v>
      </c>
      <c r="AW11" s="13" t="s">
        <v>833</v>
      </c>
      <c r="AX11" s="13" t="s">
        <v>420</v>
      </c>
      <c r="AY11" s="13" t="s">
        <v>421</v>
      </c>
      <c r="AZ11" s="15" t="s">
        <v>334</v>
      </c>
      <c r="BA11" s="15" t="s">
        <v>154</v>
      </c>
      <c r="BB11" s="13"/>
      <c r="BC11" s="13"/>
      <c r="BD11" s="15"/>
      <c r="BE11" s="15"/>
      <c r="BF11" s="15"/>
      <c r="BG11" s="13"/>
      <c r="BH11" s="13"/>
      <c r="BI11" s="13"/>
      <c r="BJ11" s="13"/>
      <c r="BK11" s="15"/>
      <c r="BL11" s="15"/>
      <c r="BM11" s="13"/>
      <c r="BN11" s="15"/>
      <c r="BO11" s="13"/>
      <c r="BP11" s="15"/>
      <c r="BQ11" s="15"/>
      <c r="BR11" s="13"/>
      <c r="BS11" s="15"/>
      <c r="BT11" s="15"/>
      <c r="BU11" s="15"/>
      <c r="BV11" s="15"/>
      <c r="BW11" s="15"/>
      <c r="BX11" s="15"/>
      <c r="BY11" s="15"/>
      <c r="BZ11" s="15"/>
      <c r="CA11" s="15"/>
      <c r="CB11" s="15"/>
      <c r="CC11" s="15"/>
      <c r="CD11" s="15"/>
      <c r="CE11" s="15"/>
      <c r="CF11" s="15"/>
      <c r="CG11" s="15"/>
      <c r="CH11" s="15"/>
      <c r="CI11" s="13">
        <v>1</v>
      </c>
      <c r="CJ11" s="13" t="str">
        <f t="shared" si="13"/>
        <v>GAS_ENQ_NO-652</v>
      </c>
      <c r="CK11" s="15" t="s">
        <v>165</v>
      </c>
      <c r="CL11" s="15" t="s">
        <v>391</v>
      </c>
      <c r="CM11" s="15" t="s">
        <v>390</v>
      </c>
      <c r="CN11" s="13" t="s">
        <v>1036</v>
      </c>
      <c r="CO11" s="13" t="str">
        <f t="shared" si="14"/>
        <v>GAS_JOB_ID-652</v>
      </c>
      <c r="CP11" s="15"/>
      <c r="CQ11" s="13" t="str">
        <f t="shared" si="15"/>
        <v>10000652</v>
      </c>
      <c r="CR11" s="13" t="s">
        <v>154</v>
      </c>
      <c r="CS11" s="15" t="s">
        <v>51</v>
      </c>
      <c r="CT11" s="227" t="str">
        <f t="shared" si="16"/>
        <v>GMETER652</v>
      </c>
      <c r="CU11" s="13" t="s">
        <v>161</v>
      </c>
      <c r="CV11" s="15" t="s">
        <v>165</v>
      </c>
      <c r="CW11" s="15" t="s">
        <v>414</v>
      </c>
      <c r="CX11" s="15"/>
      <c r="CY11" s="15"/>
      <c r="CZ11" s="15" t="s">
        <v>394</v>
      </c>
      <c r="DA11" s="15" t="s">
        <v>395</v>
      </c>
      <c r="DB11" s="13" t="str">
        <f t="shared" si="17"/>
        <v>GAS_INST_ID-652</v>
      </c>
      <c r="DC11" s="15" t="s">
        <v>161</v>
      </c>
      <c r="DD11" s="15"/>
      <c r="DE11" s="15" t="s">
        <v>51</v>
      </c>
      <c r="DF11" s="15" t="s">
        <v>264</v>
      </c>
      <c r="DG11" s="15"/>
      <c r="DH11" s="15" t="s">
        <v>397</v>
      </c>
      <c r="DI11" s="15" t="s">
        <v>399</v>
      </c>
      <c r="DJ11" s="15" t="s">
        <v>836</v>
      </c>
      <c r="DK11" s="15" t="s">
        <v>140</v>
      </c>
      <c r="DL11" s="228"/>
      <c r="DM11" s="228"/>
      <c r="DN11" s="13" t="str">
        <f t="shared" si="18"/>
        <v>DS_Pass-652</v>
      </c>
      <c r="DO11" s="15"/>
      <c r="DP11" s="15"/>
      <c r="DQ11" s="15"/>
      <c r="DR11" s="13"/>
      <c r="DS11" s="13"/>
      <c r="DT11" s="15" t="s">
        <v>52</v>
      </c>
      <c r="DU11" s="15"/>
      <c r="DV11" s="15"/>
      <c r="DW11" s="13"/>
      <c r="DX11" s="15" t="s">
        <v>54</v>
      </c>
      <c r="DY11" s="15" t="s">
        <v>61</v>
      </c>
      <c r="DZ11" s="15" t="s">
        <v>402</v>
      </c>
      <c r="EA11" s="135" t="str">
        <f t="shared" si="19"/>
        <v>652CUSTOMER_ADDRESSEXCH1 ROADCUSTOMER_ADDRESSTESTINGHAMCUSTOMER_ADDRESSTESTINGHAMSHIRE</v>
      </c>
      <c r="EB11" s="15" t="s">
        <v>836</v>
      </c>
      <c r="EC11" s="228"/>
      <c r="ED11" s="228"/>
      <c r="EE11" s="228"/>
    </row>
    <row r="12" spans="1:136" s="229" customFormat="1">
      <c r="A12" s="219" t="s">
        <v>1039</v>
      </c>
      <c r="B12" s="219" t="s">
        <v>892</v>
      </c>
      <c r="C12" s="219" t="s">
        <v>865</v>
      </c>
      <c r="D12" s="13">
        <f>'Run Parameters'!$B$1 + ROW()-1</f>
        <v>653</v>
      </c>
      <c r="E12" s="15" t="s">
        <v>47</v>
      </c>
      <c r="F12" s="13" t="s">
        <v>1036</v>
      </c>
      <c r="G12" s="13" t="str">
        <f t="shared" si="0"/>
        <v>Access Dtls-653</v>
      </c>
      <c r="H12" s="15" t="s">
        <v>275</v>
      </c>
      <c r="I12" s="13" t="str">
        <f>("MR. Test_11_EXCH1_"&amp;D12&amp;"")</f>
        <v>MR. Test_11_EXCH1_653</v>
      </c>
      <c r="J12" s="13"/>
      <c r="K12" s="19" t="s">
        <v>425</v>
      </c>
      <c r="L12" s="13" t="str">
        <f t="shared" si="1"/>
        <v>Cust. Ref-653</v>
      </c>
      <c r="M12" s="15" t="s">
        <v>48</v>
      </c>
      <c r="N12" s="15" t="s">
        <v>425</v>
      </c>
      <c r="O12" s="13"/>
      <c r="P12" s="13" t="str">
        <f t="shared" si="2"/>
        <v>SN-653</v>
      </c>
      <c r="Q12" s="13" t="str">
        <f t="shared" si="3"/>
        <v>SI-653</v>
      </c>
      <c r="R12" s="13" t="str">
        <f t="shared" si="4"/>
        <v>SE-653</v>
      </c>
      <c r="S12" s="135" t="str">
        <f t="shared" si="5"/>
        <v>Prev_RA-653</v>
      </c>
      <c r="T12" s="135" t="str">
        <f t="shared" si="6"/>
        <v>Prev_Comms-653</v>
      </c>
      <c r="U12" s="15" t="s">
        <v>75</v>
      </c>
      <c r="V12" s="15" t="s">
        <v>401</v>
      </c>
      <c r="W12" s="15" t="s">
        <v>75</v>
      </c>
      <c r="X12" s="15" t="s">
        <v>396</v>
      </c>
      <c r="Y12" s="13" t="str">
        <f t="shared" si="7"/>
        <v>Forward Add-653</v>
      </c>
      <c r="Z12" s="15" t="s">
        <v>401</v>
      </c>
      <c r="AA12" s="136" t="str">
        <f>'Run Parameters'!$B$2</f>
        <v>2018-08-13 08:00</v>
      </c>
      <c r="AB12" s="223" t="str">
        <f>'Run Parameters'!B$3</f>
        <v>2018-08-13 18:00</v>
      </c>
      <c r="AC12" s="26">
        <f>('Run Parameters'!$B$2) - 7</f>
        <v>43318.333333333336</v>
      </c>
      <c r="AD12" s="15" t="s">
        <v>75</v>
      </c>
      <c r="AE12" s="13" t="str">
        <f t="shared" si="8"/>
        <v>LAST_METER-653</v>
      </c>
      <c r="AF12" s="136" t="str">
        <f>'Run Parameters'!$B$2</f>
        <v>2018-08-13 08:00</v>
      </c>
      <c r="AG12" s="13" t="str">
        <f>'Run Parameters'!B$4</f>
        <v>AUTOTEST2</v>
      </c>
      <c r="AH12" s="135" t="str">
        <f t="shared" si="9"/>
        <v>Site_Contact_653</v>
      </c>
      <c r="AI12" s="136" t="str">
        <f>'Run Parameters'!B$2</f>
        <v>2018-08-13 08:00</v>
      </c>
      <c r="AJ12" s="223" t="str">
        <f>'Run Parameters'!B$3</f>
        <v>2018-08-13 18:00</v>
      </c>
      <c r="AK12" s="13" t="s">
        <v>396</v>
      </c>
      <c r="AL12" s="135" t="str">
        <f t="shared" si="10"/>
        <v>01159653</v>
      </c>
      <c r="AM12" s="13" t="str">
        <f t="shared" si="11"/>
        <v>0115653</v>
      </c>
      <c r="AN12" s="15"/>
      <c r="AO12" s="15"/>
      <c r="AP12" s="13">
        <v>1</v>
      </c>
      <c r="AQ12" s="15" t="s">
        <v>49</v>
      </c>
      <c r="AR12" s="15"/>
      <c r="AS12" s="13"/>
      <c r="AT12" s="15" t="s">
        <v>400</v>
      </c>
      <c r="AU12" s="15"/>
      <c r="AV12" s="13">
        <f t="shared" si="12"/>
        <v>653</v>
      </c>
      <c r="AW12" s="13" t="s">
        <v>833</v>
      </c>
      <c r="AX12" s="13" t="s">
        <v>420</v>
      </c>
      <c r="AY12" s="13" t="s">
        <v>421</v>
      </c>
      <c r="AZ12" s="15" t="s">
        <v>334</v>
      </c>
      <c r="BA12" s="15" t="s">
        <v>154</v>
      </c>
      <c r="BB12" s="13"/>
      <c r="BC12" s="13"/>
      <c r="BD12" s="15"/>
      <c r="BE12" s="15"/>
      <c r="BF12" s="15"/>
      <c r="BG12" s="13"/>
      <c r="BH12" s="13"/>
      <c r="BI12" s="13"/>
      <c r="BJ12" s="13"/>
      <c r="BK12" s="15"/>
      <c r="BL12" s="15"/>
      <c r="BM12" s="13"/>
      <c r="BN12" s="15"/>
      <c r="BO12" s="13"/>
      <c r="BP12" s="15"/>
      <c r="BQ12" s="15"/>
      <c r="BR12" s="13"/>
      <c r="BS12" s="15"/>
      <c r="BT12" s="15"/>
      <c r="BU12" s="15"/>
      <c r="BV12" s="15"/>
      <c r="BW12" s="15"/>
      <c r="BX12" s="15"/>
      <c r="BY12" s="15"/>
      <c r="BZ12" s="15"/>
      <c r="CA12" s="15"/>
      <c r="CB12" s="15"/>
      <c r="CC12" s="15"/>
      <c r="CD12" s="15"/>
      <c r="CE12" s="15"/>
      <c r="CF12" s="15"/>
      <c r="CG12" s="15"/>
      <c r="CH12" s="15"/>
      <c r="CI12" s="13">
        <v>1</v>
      </c>
      <c r="CJ12" s="13" t="str">
        <f t="shared" si="13"/>
        <v>GAS_ENQ_NO-653</v>
      </c>
      <c r="CK12" s="15" t="s">
        <v>165</v>
      </c>
      <c r="CL12" s="15" t="s">
        <v>391</v>
      </c>
      <c r="CM12" s="15" t="s">
        <v>390</v>
      </c>
      <c r="CN12" s="13" t="s">
        <v>1036</v>
      </c>
      <c r="CO12" s="13" t="str">
        <f t="shared" si="14"/>
        <v>GAS_JOB_ID-653</v>
      </c>
      <c r="CP12" s="15"/>
      <c r="CQ12" s="13" t="str">
        <f t="shared" si="15"/>
        <v>10000653</v>
      </c>
      <c r="CR12" s="13" t="s">
        <v>154</v>
      </c>
      <c r="CS12" s="15" t="s">
        <v>51</v>
      </c>
      <c r="CT12" s="227" t="str">
        <f t="shared" si="16"/>
        <v>GMETER653</v>
      </c>
      <c r="CU12" s="13" t="s">
        <v>161</v>
      </c>
      <c r="CV12" s="15" t="s">
        <v>165</v>
      </c>
      <c r="CW12" s="15" t="s">
        <v>414</v>
      </c>
      <c r="CX12" s="15"/>
      <c r="CY12" s="15"/>
      <c r="CZ12" s="15" t="s">
        <v>394</v>
      </c>
      <c r="DA12" s="15" t="s">
        <v>395</v>
      </c>
      <c r="DB12" s="13" t="str">
        <f t="shared" si="17"/>
        <v>GAS_INST_ID-653</v>
      </c>
      <c r="DC12" s="15" t="s">
        <v>161</v>
      </c>
      <c r="DD12" s="15"/>
      <c r="DE12" s="15" t="s">
        <v>51</v>
      </c>
      <c r="DF12" s="15" t="s">
        <v>264</v>
      </c>
      <c r="DG12" s="15"/>
      <c r="DH12" s="15" t="s">
        <v>397</v>
      </c>
      <c r="DI12" s="15" t="s">
        <v>399</v>
      </c>
      <c r="DJ12" s="15" t="s">
        <v>836</v>
      </c>
      <c r="DK12" s="15" t="s">
        <v>140</v>
      </c>
      <c r="DL12" s="228"/>
      <c r="DM12" s="228"/>
      <c r="DN12" s="13" t="str">
        <f t="shared" si="18"/>
        <v>DS_Pass-653</v>
      </c>
      <c r="DO12" s="15"/>
      <c r="DP12" s="15"/>
      <c r="DQ12" s="15"/>
      <c r="DR12" s="13"/>
      <c r="DS12" s="13"/>
      <c r="DT12" s="15" t="s">
        <v>52</v>
      </c>
      <c r="DU12" s="15"/>
      <c r="DV12" s="15"/>
      <c r="DW12" s="13"/>
      <c r="DX12" s="15" t="s">
        <v>54</v>
      </c>
      <c r="DY12" s="15" t="s">
        <v>61</v>
      </c>
      <c r="DZ12" s="15" t="s">
        <v>402</v>
      </c>
      <c r="EA12" s="135" t="str">
        <f t="shared" si="19"/>
        <v>653CUSTOMER_ADDRESSEXCH1 ROADCUSTOMER_ADDRESSTESTINGHAMCUSTOMER_ADDRESSTESTINGHAMSHIRE</v>
      </c>
      <c r="EB12" s="15" t="s">
        <v>836</v>
      </c>
      <c r="EC12" s="228"/>
      <c r="ED12" s="228"/>
      <c r="EE12" s="228"/>
    </row>
    <row r="13" spans="1:136" s="229" customFormat="1">
      <c r="A13" s="219" t="s">
        <v>1040</v>
      </c>
      <c r="B13" s="219" t="s">
        <v>868</v>
      </c>
      <c r="C13" s="219" t="s">
        <v>865</v>
      </c>
      <c r="D13" s="13">
        <f>'Run Parameters'!$B$1 + ROW()-1</f>
        <v>654</v>
      </c>
      <c r="E13" s="15" t="s">
        <v>47</v>
      </c>
      <c r="F13" s="13" t="s">
        <v>1036</v>
      </c>
      <c r="G13" s="13" t="str">
        <f t="shared" si="0"/>
        <v>Access Dtls-654</v>
      </c>
      <c r="H13" s="15" t="s">
        <v>275</v>
      </c>
      <c r="I13" s="13" t="str">
        <f>("MR. Test_12_EXCH1_"&amp;D13&amp;"")</f>
        <v>MR. Test_12_EXCH1_654</v>
      </c>
      <c r="J13" s="13"/>
      <c r="K13" s="19" t="s">
        <v>425</v>
      </c>
      <c r="L13" s="13" t="str">
        <f t="shared" si="1"/>
        <v>Cust. Ref-654</v>
      </c>
      <c r="M13" s="15" t="s">
        <v>48</v>
      </c>
      <c r="N13" s="15" t="s">
        <v>425</v>
      </c>
      <c r="O13" s="13"/>
      <c r="P13" s="13" t="str">
        <f t="shared" si="2"/>
        <v>SN-654</v>
      </c>
      <c r="Q13" s="13" t="str">
        <f t="shared" si="3"/>
        <v>SI-654</v>
      </c>
      <c r="R13" s="13" t="str">
        <f t="shared" si="4"/>
        <v>SE-654</v>
      </c>
      <c r="S13" s="135" t="str">
        <f t="shared" si="5"/>
        <v>Prev_RA-654</v>
      </c>
      <c r="T13" s="135" t="str">
        <f t="shared" si="6"/>
        <v>Prev_Comms-654</v>
      </c>
      <c r="U13" s="15" t="s">
        <v>75</v>
      </c>
      <c r="V13" s="15" t="s">
        <v>401</v>
      </c>
      <c r="W13" s="15" t="s">
        <v>75</v>
      </c>
      <c r="X13" s="15" t="s">
        <v>396</v>
      </c>
      <c r="Y13" s="13" t="str">
        <f t="shared" si="7"/>
        <v>Forward Add-654</v>
      </c>
      <c r="Z13" s="15" t="s">
        <v>401</v>
      </c>
      <c r="AA13" s="136" t="str">
        <f>'Run Parameters'!$B$2</f>
        <v>2018-08-13 08:00</v>
      </c>
      <c r="AB13" s="223" t="str">
        <f>'Run Parameters'!B$3</f>
        <v>2018-08-13 18:00</v>
      </c>
      <c r="AC13" s="26">
        <f>('Run Parameters'!$B$2) - 7</f>
        <v>43318.333333333336</v>
      </c>
      <c r="AD13" s="15" t="s">
        <v>75</v>
      </c>
      <c r="AE13" s="13" t="str">
        <f t="shared" si="8"/>
        <v>LAST_METER-654</v>
      </c>
      <c r="AF13" s="136" t="str">
        <f>'Run Parameters'!$B$2</f>
        <v>2018-08-13 08:00</v>
      </c>
      <c r="AG13" s="13" t="str">
        <f>'Run Parameters'!B$4</f>
        <v>AUTOTEST2</v>
      </c>
      <c r="AH13" s="135" t="str">
        <f t="shared" si="9"/>
        <v>Site_Contact_654</v>
      </c>
      <c r="AI13" s="136" t="str">
        <f>'Run Parameters'!B$2</f>
        <v>2018-08-13 08:00</v>
      </c>
      <c r="AJ13" s="223" t="str">
        <f>'Run Parameters'!B$3</f>
        <v>2018-08-13 18:00</v>
      </c>
      <c r="AK13" s="13" t="s">
        <v>396</v>
      </c>
      <c r="AL13" s="135" t="str">
        <f t="shared" si="10"/>
        <v>01159654</v>
      </c>
      <c r="AM13" s="13" t="str">
        <f t="shared" si="11"/>
        <v>0115654</v>
      </c>
      <c r="AN13" s="15"/>
      <c r="AO13" s="15"/>
      <c r="AP13" s="13">
        <v>1</v>
      </c>
      <c r="AQ13" s="15" t="s">
        <v>49</v>
      </c>
      <c r="AR13" s="15"/>
      <c r="AS13" s="13"/>
      <c r="AT13" s="15" t="s">
        <v>400</v>
      </c>
      <c r="AU13" s="15"/>
      <c r="AV13" s="13">
        <f t="shared" si="12"/>
        <v>654</v>
      </c>
      <c r="AW13" s="13" t="s">
        <v>833</v>
      </c>
      <c r="AX13" s="13" t="s">
        <v>420</v>
      </c>
      <c r="AY13" s="13" t="s">
        <v>421</v>
      </c>
      <c r="AZ13" s="15" t="s">
        <v>334</v>
      </c>
      <c r="BA13" s="15" t="s">
        <v>154</v>
      </c>
      <c r="BB13" s="13"/>
      <c r="BC13" s="13"/>
      <c r="BD13" s="15"/>
      <c r="BE13" s="15"/>
      <c r="BF13" s="15"/>
      <c r="BG13" s="13"/>
      <c r="BH13" s="13"/>
      <c r="BI13" s="13"/>
      <c r="BJ13" s="13"/>
      <c r="BK13" s="15"/>
      <c r="BL13" s="15"/>
      <c r="BM13" s="13"/>
      <c r="BN13" s="15"/>
      <c r="BO13" s="13"/>
      <c r="BP13" s="15"/>
      <c r="BQ13" s="15"/>
      <c r="BR13" s="13"/>
      <c r="BS13" s="15"/>
      <c r="BT13" s="15"/>
      <c r="BU13" s="15"/>
      <c r="BV13" s="15"/>
      <c r="BW13" s="15"/>
      <c r="BX13" s="15"/>
      <c r="BY13" s="15"/>
      <c r="BZ13" s="15"/>
      <c r="CA13" s="15"/>
      <c r="CB13" s="15"/>
      <c r="CC13" s="15"/>
      <c r="CD13" s="15"/>
      <c r="CE13" s="15"/>
      <c r="CF13" s="15"/>
      <c r="CG13" s="15"/>
      <c r="CH13" s="15"/>
      <c r="CI13" s="13">
        <v>1</v>
      </c>
      <c r="CJ13" s="13" t="str">
        <f t="shared" si="13"/>
        <v>GAS_ENQ_NO-654</v>
      </c>
      <c r="CK13" s="15" t="s">
        <v>165</v>
      </c>
      <c r="CL13" s="15" t="s">
        <v>391</v>
      </c>
      <c r="CM13" s="15" t="s">
        <v>390</v>
      </c>
      <c r="CN13" s="13" t="s">
        <v>1036</v>
      </c>
      <c r="CO13" s="13" t="str">
        <f t="shared" si="14"/>
        <v>GAS_JOB_ID-654</v>
      </c>
      <c r="CP13" s="15"/>
      <c r="CQ13" s="13" t="str">
        <f t="shared" si="15"/>
        <v>10000654</v>
      </c>
      <c r="CR13" s="13" t="s">
        <v>154</v>
      </c>
      <c r="CS13" s="15" t="s">
        <v>51</v>
      </c>
      <c r="CT13" s="227" t="str">
        <f t="shared" si="16"/>
        <v>GMETER654</v>
      </c>
      <c r="CU13" s="13" t="s">
        <v>161</v>
      </c>
      <c r="CV13" s="15" t="s">
        <v>165</v>
      </c>
      <c r="CW13" s="15" t="s">
        <v>414</v>
      </c>
      <c r="CX13" s="15"/>
      <c r="CY13" s="15"/>
      <c r="CZ13" s="15" t="s">
        <v>394</v>
      </c>
      <c r="DA13" s="15" t="s">
        <v>395</v>
      </c>
      <c r="DB13" s="13" t="str">
        <f t="shared" si="17"/>
        <v>GAS_INST_ID-654</v>
      </c>
      <c r="DC13" s="15" t="s">
        <v>161</v>
      </c>
      <c r="DD13" s="15"/>
      <c r="DE13" s="15" t="s">
        <v>51</v>
      </c>
      <c r="DF13" s="15" t="s">
        <v>264</v>
      </c>
      <c r="DG13" s="15"/>
      <c r="DH13" s="15" t="s">
        <v>397</v>
      </c>
      <c r="DI13" s="15" t="s">
        <v>399</v>
      </c>
      <c r="DJ13" s="15" t="s">
        <v>836</v>
      </c>
      <c r="DK13" s="15" t="s">
        <v>140</v>
      </c>
      <c r="DL13" s="228"/>
      <c r="DM13" s="228"/>
      <c r="DN13" s="13" t="str">
        <f t="shared" si="18"/>
        <v>DS_Pass-654</v>
      </c>
      <c r="DO13" s="15"/>
      <c r="DP13" s="15"/>
      <c r="DQ13" s="15"/>
      <c r="DR13" s="13"/>
      <c r="DS13" s="13"/>
      <c r="DT13" s="15" t="s">
        <v>52</v>
      </c>
      <c r="DU13" s="15"/>
      <c r="DV13" s="15"/>
      <c r="DW13" s="13"/>
      <c r="DX13" s="15" t="s">
        <v>54</v>
      </c>
      <c r="DY13" s="15" t="s">
        <v>61</v>
      </c>
      <c r="DZ13" s="15" t="s">
        <v>402</v>
      </c>
      <c r="EA13" s="135" t="str">
        <f t="shared" si="19"/>
        <v>654CUSTOMER_ADDRESSEXCH1 ROADCUSTOMER_ADDRESSTESTINGHAMCUSTOMER_ADDRESSTESTINGHAMSHIRE</v>
      </c>
      <c r="EB13" s="15" t="s">
        <v>836</v>
      </c>
      <c r="EC13" s="228"/>
      <c r="ED13" s="228"/>
      <c r="EE13" s="228"/>
    </row>
    <row r="14" spans="1:136" s="229" customFormat="1">
      <c r="A14" s="219" t="s">
        <v>1041</v>
      </c>
      <c r="B14" s="219" t="s">
        <v>892</v>
      </c>
      <c r="C14" s="219" t="s">
        <v>865</v>
      </c>
      <c r="D14" s="13">
        <f>'Run Parameters'!$B$1 + ROW()-1</f>
        <v>655</v>
      </c>
      <c r="E14" s="15" t="s">
        <v>47</v>
      </c>
      <c r="F14" s="13" t="s">
        <v>1036</v>
      </c>
      <c r="G14" s="13" t="str">
        <f t="shared" si="0"/>
        <v>Access Dtls-655</v>
      </c>
      <c r="H14" s="15" t="s">
        <v>275</v>
      </c>
      <c r="I14" s="13" t="str">
        <f>("MR. Test_13_EXCH1_"&amp;D14&amp;"")</f>
        <v>MR. Test_13_EXCH1_655</v>
      </c>
      <c r="J14" s="13"/>
      <c r="K14" s="19" t="s">
        <v>425</v>
      </c>
      <c r="L14" s="13" t="str">
        <f t="shared" si="1"/>
        <v>Cust. Ref-655</v>
      </c>
      <c r="M14" s="15" t="s">
        <v>48</v>
      </c>
      <c r="N14" s="15" t="s">
        <v>425</v>
      </c>
      <c r="O14" s="13"/>
      <c r="P14" s="13" t="str">
        <f t="shared" si="2"/>
        <v>SN-655</v>
      </c>
      <c r="Q14" s="13" t="str">
        <f t="shared" si="3"/>
        <v>SI-655</v>
      </c>
      <c r="R14" s="13" t="str">
        <f t="shared" si="4"/>
        <v>SE-655</v>
      </c>
      <c r="S14" s="135" t="str">
        <f t="shared" si="5"/>
        <v>Prev_RA-655</v>
      </c>
      <c r="T14" s="135" t="str">
        <f t="shared" si="6"/>
        <v>Prev_Comms-655</v>
      </c>
      <c r="U14" s="15" t="s">
        <v>75</v>
      </c>
      <c r="V14" s="15" t="s">
        <v>401</v>
      </c>
      <c r="W14" s="15" t="s">
        <v>75</v>
      </c>
      <c r="X14" s="15" t="s">
        <v>396</v>
      </c>
      <c r="Y14" s="13" t="str">
        <f t="shared" si="7"/>
        <v>Forward Add-655</v>
      </c>
      <c r="Z14" s="15" t="s">
        <v>401</v>
      </c>
      <c r="AA14" s="136" t="str">
        <f>'Run Parameters'!$B$2</f>
        <v>2018-08-13 08:00</v>
      </c>
      <c r="AB14" s="223" t="str">
        <f>'Run Parameters'!B$3</f>
        <v>2018-08-13 18:00</v>
      </c>
      <c r="AC14" s="26">
        <f>('Run Parameters'!$B$2) - 7</f>
        <v>43318.333333333336</v>
      </c>
      <c r="AD14" s="15" t="s">
        <v>75</v>
      </c>
      <c r="AE14" s="13" t="str">
        <f t="shared" si="8"/>
        <v>LAST_METER-655</v>
      </c>
      <c r="AF14" s="136" t="str">
        <f>'Run Parameters'!$B$2</f>
        <v>2018-08-13 08:00</v>
      </c>
      <c r="AG14" s="13" t="str">
        <f>'Run Parameters'!B$4</f>
        <v>AUTOTEST2</v>
      </c>
      <c r="AH14" s="135" t="str">
        <f t="shared" si="9"/>
        <v>Site_Contact_655</v>
      </c>
      <c r="AI14" s="136" t="str">
        <f>'Run Parameters'!B$2</f>
        <v>2018-08-13 08:00</v>
      </c>
      <c r="AJ14" s="223" t="str">
        <f>'Run Parameters'!B$3</f>
        <v>2018-08-13 18:00</v>
      </c>
      <c r="AK14" s="13" t="s">
        <v>396</v>
      </c>
      <c r="AL14" s="135" t="str">
        <f t="shared" si="10"/>
        <v>01159655</v>
      </c>
      <c r="AM14" s="13" t="str">
        <f t="shared" si="11"/>
        <v>0115655</v>
      </c>
      <c r="AN14" s="15"/>
      <c r="AO14" s="15"/>
      <c r="AP14" s="13">
        <v>1</v>
      </c>
      <c r="AQ14" s="15" t="s">
        <v>49</v>
      </c>
      <c r="AR14" s="15"/>
      <c r="AS14" s="13"/>
      <c r="AT14" s="15" t="s">
        <v>400</v>
      </c>
      <c r="AU14" s="15"/>
      <c r="AV14" s="13">
        <f t="shared" si="12"/>
        <v>655</v>
      </c>
      <c r="AW14" s="13" t="s">
        <v>833</v>
      </c>
      <c r="AX14" s="13" t="s">
        <v>420</v>
      </c>
      <c r="AY14" s="13" t="s">
        <v>421</v>
      </c>
      <c r="AZ14" s="15" t="s">
        <v>334</v>
      </c>
      <c r="BA14" s="15" t="s">
        <v>154</v>
      </c>
      <c r="BB14" s="13"/>
      <c r="BC14" s="13"/>
      <c r="BD14" s="15"/>
      <c r="BE14" s="15"/>
      <c r="BF14" s="15"/>
      <c r="BG14" s="13"/>
      <c r="BH14" s="13"/>
      <c r="BI14" s="13"/>
      <c r="BJ14" s="13"/>
      <c r="BK14" s="15"/>
      <c r="BL14" s="15"/>
      <c r="BM14" s="13"/>
      <c r="BN14" s="15"/>
      <c r="BO14" s="13"/>
      <c r="BP14" s="15"/>
      <c r="BQ14" s="15"/>
      <c r="BR14" s="13"/>
      <c r="BS14" s="15"/>
      <c r="BT14" s="15"/>
      <c r="BU14" s="15"/>
      <c r="BV14" s="15"/>
      <c r="BW14" s="15"/>
      <c r="BX14" s="15"/>
      <c r="BY14" s="15"/>
      <c r="BZ14" s="15"/>
      <c r="CA14" s="15"/>
      <c r="CB14" s="15"/>
      <c r="CC14" s="15"/>
      <c r="CD14" s="15"/>
      <c r="CE14" s="15"/>
      <c r="CF14" s="15"/>
      <c r="CG14" s="15"/>
      <c r="CH14" s="15"/>
      <c r="CI14" s="13">
        <v>1</v>
      </c>
      <c r="CJ14" s="13" t="str">
        <f t="shared" si="13"/>
        <v>GAS_ENQ_NO-655</v>
      </c>
      <c r="CK14" s="15" t="s">
        <v>165</v>
      </c>
      <c r="CL14" s="15" t="s">
        <v>391</v>
      </c>
      <c r="CM14" s="15" t="s">
        <v>390</v>
      </c>
      <c r="CN14" s="13" t="s">
        <v>1036</v>
      </c>
      <c r="CO14" s="13" t="str">
        <f t="shared" si="14"/>
        <v>GAS_JOB_ID-655</v>
      </c>
      <c r="CP14" s="15"/>
      <c r="CQ14" s="13" t="str">
        <f t="shared" si="15"/>
        <v>10000655</v>
      </c>
      <c r="CR14" s="13" t="s">
        <v>154</v>
      </c>
      <c r="CS14" s="15" t="s">
        <v>51</v>
      </c>
      <c r="CT14" s="227" t="str">
        <f t="shared" si="16"/>
        <v>GMETER655</v>
      </c>
      <c r="CU14" s="13" t="s">
        <v>161</v>
      </c>
      <c r="CV14" s="15" t="s">
        <v>165</v>
      </c>
      <c r="CW14" s="15" t="s">
        <v>414</v>
      </c>
      <c r="CX14" s="15"/>
      <c r="CY14" s="15"/>
      <c r="CZ14" s="15" t="s">
        <v>394</v>
      </c>
      <c r="DA14" s="15" t="s">
        <v>395</v>
      </c>
      <c r="DB14" s="13" t="str">
        <f t="shared" si="17"/>
        <v>GAS_INST_ID-655</v>
      </c>
      <c r="DC14" s="15" t="s">
        <v>161</v>
      </c>
      <c r="DD14" s="15"/>
      <c r="DE14" s="15" t="s">
        <v>51</v>
      </c>
      <c r="DF14" s="15" t="s">
        <v>264</v>
      </c>
      <c r="DG14" s="15"/>
      <c r="DH14" s="15" t="s">
        <v>397</v>
      </c>
      <c r="DI14" s="15" t="s">
        <v>399</v>
      </c>
      <c r="DJ14" s="15" t="s">
        <v>836</v>
      </c>
      <c r="DK14" s="15" t="s">
        <v>140</v>
      </c>
      <c r="DL14" s="228"/>
      <c r="DM14" s="228"/>
      <c r="DN14" s="13" t="str">
        <f t="shared" si="18"/>
        <v>DS_Pass-655</v>
      </c>
      <c r="DO14" s="15"/>
      <c r="DP14" s="15"/>
      <c r="DQ14" s="15"/>
      <c r="DR14" s="13"/>
      <c r="DS14" s="13"/>
      <c r="DT14" s="15" t="s">
        <v>52</v>
      </c>
      <c r="DU14" s="15"/>
      <c r="DV14" s="15"/>
      <c r="DW14" s="13"/>
      <c r="DX14" s="15" t="s">
        <v>54</v>
      </c>
      <c r="DY14" s="15" t="s">
        <v>61</v>
      </c>
      <c r="DZ14" s="15" t="s">
        <v>402</v>
      </c>
      <c r="EA14" s="135" t="str">
        <f t="shared" si="19"/>
        <v>655CUSTOMER_ADDRESSEXCH1 ROADCUSTOMER_ADDRESSTESTINGHAMCUSTOMER_ADDRESSTESTINGHAMSHIRE</v>
      </c>
      <c r="EB14" s="15" t="s">
        <v>836</v>
      </c>
      <c r="EC14" s="228"/>
      <c r="ED14" s="228"/>
      <c r="EE14" s="228"/>
    </row>
    <row r="15" spans="1:136" s="229" customFormat="1">
      <c r="A15" s="219" t="s">
        <v>1042</v>
      </c>
      <c r="B15" s="219" t="s">
        <v>868</v>
      </c>
      <c r="C15" s="219" t="s">
        <v>865</v>
      </c>
      <c r="D15" s="13">
        <f>'Run Parameters'!$B$1 + ROW()-1</f>
        <v>656</v>
      </c>
      <c r="E15" s="15" t="s">
        <v>47</v>
      </c>
      <c r="F15" s="13" t="s">
        <v>1036</v>
      </c>
      <c r="G15" s="13" t="str">
        <f t="shared" si="0"/>
        <v>Access Dtls-656</v>
      </c>
      <c r="H15" s="15" t="s">
        <v>275</v>
      </c>
      <c r="I15" s="13" t="str">
        <f>("MR. Test_14_EXCH1_"&amp;D15&amp;"")</f>
        <v>MR. Test_14_EXCH1_656</v>
      </c>
      <c r="J15" s="13"/>
      <c r="K15" s="19" t="s">
        <v>425</v>
      </c>
      <c r="L15" s="13" t="str">
        <f t="shared" si="1"/>
        <v>Cust. Ref-656</v>
      </c>
      <c r="M15" s="15" t="s">
        <v>48</v>
      </c>
      <c r="N15" s="15" t="s">
        <v>425</v>
      </c>
      <c r="O15" s="13"/>
      <c r="P15" s="13" t="str">
        <f t="shared" si="2"/>
        <v>SN-656</v>
      </c>
      <c r="Q15" s="13" t="str">
        <f t="shared" si="3"/>
        <v>SI-656</v>
      </c>
      <c r="R15" s="13" t="str">
        <f t="shared" si="4"/>
        <v>SE-656</v>
      </c>
      <c r="S15" s="135" t="str">
        <f t="shared" si="5"/>
        <v>Prev_RA-656</v>
      </c>
      <c r="T15" s="135" t="str">
        <f t="shared" si="6"/>
        <v>Prev_Comms-656</v>
      </c>
      <c r="U15" s="15" t="s">
        <v>75</v>
      </c>
      <c r="V15" s="15" t="s">
        <v>401</v>
      </c>
      <c r="W15" s="15" t="s">
        <v>75</v>
      </c>
      <c r="X15" s="15" t="s">
        <v>396</v>
      </c>
      <c r="Y15" s="13" t="str">
        <f t="shared" si="7"/>
        <v>Forward Add-656</v>
      </c>
      <c r="Z15" s="15" t="s">
        <v>401</v>
      </c>
      <c r="AA15" s="136" t="str">
        <f>'Run Parameters'!$B$2</f>
        <v>2018-08-13 08:00</v>
      </c>
      <c r="AB15" s="223" t="str">
        <f>'Run Parameters'!B$3</f>
        <v>2018-08-13 18:00</v>
      </c>
      <c r="AC15" s="26">
        <f>('Run Parameters'!$B$2) - 7</f>
        <v>43318.333333333336</v>
      </c>
      <c r="AD15" s="15" t="s">
        <v>75</v>
      </c>
      <c r="AE15" s="13" t="str">
        <f t="shared" si="8"/>
        <v>LAST_METER-656</v>
      </c>
      <c r="AF15" s="136" t="str">
        <f>'Run Parameters'!$B$2</f>
        <v>2018-08-13 08:00</v>
      </c>
      <c r="AG15" s="13" t="str">
        <f>'Run Parameters'!B$4</f>
        <v>AUTOTEST2</v>
      </c>
      <c r="AH15" s="135" t="str">
        <f t="shared" si="9"/>
        <v>Site_Contact_656</v>
      </c>
      <c r="AI15" s="136" t="str">
        <f>'Run Parameters'!B$2</f>
        <v>2018-08-13 08:00</v>
      </c>
      <c r="AJ15" s="223" t="str">
        <f>'Run Parameters'!B$3</f>
        <v>2018-08-13 18:00</v>
      </c>
      <c r="AK15" s="13" t="s">
        <v>396</v>
      </c>
      <c r="AL15" s="135" t="str">
        <f t="shared" si="10"/>
        <v>01159656</v>
      </c>
      <c r="AM15" s="13" t="str">
        <f t="shared" si="11"/>
        <v>0115656</v>
      </c>
      <c r="AN15" s="15"/>
      <c r="AO15" s="15"/>
      <c r="AP15" s="13">
        <v>1</v>
      </c>
      <c r="AQ15" s="15" t="s">
        <v>49</v>
      </c>
      <c r="AR15" s="15"/>
      <c r="AS15" s="13"/>
      <c r="AT15" s="15" t="s">
        <v>400</v>
      </c>
      <c r="AU15" s="15"/>
      <c r="AV15" s="13">
        <f t="shared" si="12"/>
        <v>656</v>
      </c>
      <c r="AW15" s="13" t="s">
        <v>833</v>
      </c>
      <c r="AX15" s="13" t="s">
        <v>420</v>
      </c>
      <c r="AY15" s="13" t="s">
        <v>421</v>
      </c>
      <c r="AZ15" s="15" t="s">
        <v>334</v>
      </c>
      <c r="BA15" s="15" t="s">
        <v>154</v>
      </c>
      <c r="BB15" s="13"/>
      <c r="BC15" s="13"/>
      <c r="BD15" s="15"/>
      <c r="BE15" s="15"/>
      <c r="BF15" s="15"/>
      <c r="BG15" s="13"/>
      <c r="BH15" s="13"/>
      <c r="BI15" s="13"/>
      <c r="BJ15" s="13"/>
      <c r="BK15" s="15"/>
      <c r="BL15" s="15"/>
      <c r="BM15" s="13"/>
      <c r="BN15" s="15"/>
      <c r="BO15" s="13"/>
      <c r="BP15" s="15"/>
      <c r="BQ15" s="15"/>
      <c r="BR15" s="13"/>
      <c r="BS15" s="15"/>
      <c r="BT15" s="15"/>
      <c r="BU15" s="15"/>
      <c r="BV15" s="15"/>
      <c r="BW15" s="15"/>
      <c r="BX15" s="15"/>
      <c r="BY15" s="15"/>
      <c r="BZ15" s="15"/>
      <c r="CA15" s="15"/>
      <c r="CB15" s="15"/>
      <c r="CC15" s="15"/>
      <c r="CD15" s="15"/>
      <c r="CE15" s="15"/>
      <c r="CF15" s="15"/>
      <c r="CG15" s="15"/>
      <c r="CH15" s="15"/>
      <c r="CI15" s="13">
        <v>1</v>
      </c>
      <c r="CJ15" s="13" t="str">
        <f t="shared" si="13"/>
        <v>GAS_ENQ_NO-656</v>
      </c>
      <c r="CK15" s="15" t="s">
        <v>165</v>
      </c>
      <c r="CL15" s="15" t="s">
        <v>391</v>
      </c>
      <c r="CM15" s="15" t="s">
        <v>390</v>
      </c>
      <c r="CN15" s="13" t="s">
        <v>1036</v>
      </c>
      <c r="CO15" s="13" t="str">
        <f t="shared" si="14"/>
        <v>GAS_JOB_ID-656</v>
      </c>
      <c r="CP15" s="15"/>
      <c r="CQ15" s="13" t="str">
        <f t="shared" si="15"/>
        <v>10000656</v>
      </c>
      <c r="CR15" s="13" t="s">
        <v>154</v>
      </c>
      <c r="CS15" s="15" t="s">
        <v>51</v>
      </c>
      <c r="CT15" s="227" t="str">
        <f t="shared" si="16"/>
        <v>GMETER656</v>
      </c>
      <c r="CU15" s="13" t="s">
        <v>161</v>
      </c>
      <c r="CV15" s="15" t="s">
        <v>165</v>
      </c>
      <c r="CW15" s="15" t="s">
        <v>414</v>
      </c>
      <c r="CX15" s="15"/>
      <c r="CY15" s="15"/>
      <c r="CZ15" s="15" t="s">
        <v>394</v>
      </c>
      <c r="DA15" s="15" t="s">
        <v>395</v>
      </c>
      <c r="DB15" s="13" t="str">
        <f t="shared" si="17"/>
        <v>GAS_INST_ID-656</v>
      </c>
      <c r="DC15" s="15" t="s">
        <v>161</v>
      </c>
      <c r="DD15" s="15"/>
      <c r="DE15" s="15" t="s">
        <v>51</v>
      </c>
      <c r="DF15" s="15" t="s">
        <v>264</v>
      </c>
      <c r="DG15" s="15"/>
      <c r="DH15" s="15" t="s">
        <v>397</v>
      </c>
      <c r="DI15" s="15" t="s">
        <v>399</v>
      </c>
      <c r="DJ15" s="15" t="s">
        <v>836</v>
      </c>
      <c r="DK15" s="15" t="s">
        <v>140</v>
      </c>
      <c r="DL15" s="228"/>
      <c r="DM15" s="228"/>
      <c r="DN15" s="13" t="str">
        <f t="shared" si="18"/>
        <v>DS_Pass-656</v>
      </c>
      <c r="DO15" s="15"/>
      <c r="DP15" s="15"/>
      <c r="DQ15" s="15"/>
      <c r="DR15" s="13"/>
      <c r="DS15" s="13"/>
      <c r="DT15" s="15" t="s">
        <v>52</v>
      </c>
      <c r="DU15" s="15"/>
      <c r="DV15" s="15"/>
      <c r="DW15" s="13"/>
      <c r="DX15" s="15" t="s">
        <v>54</v>
      </c>
      <c r="DY15" s="15" t="s">
        <v>61</v>
      </c>
      <c r="DZ15" s="15" t="s">
        <v>402</v>
      </c>
      <c r="EA15" s="135" t="str">
        <f t="shared" si="19"/>
        <v>656CUSTOMER_ADDRESSEXCH1 ROADCUSTOMER_ADDRESSTESTINGHAMCUSTOMER_ADDRESSTESTINGHAMSHIRE</v>
      </c>
      <c r="EB15" s="15" t="s">
        <v>836</v>
      </c>
      <c r="EC15" s="228"/>
      <c r="ED15" s="228"/>
      <c r="EE15" s="228"/>
    </row>
    <row r="16" spans="1:136" s="229" customFormat="1">
      <c r="A16" s="219" t="s">
        <v>1043</v>
      </c>
      <c r="B16" s="219" t="s">
        <v>892</v>
      </c>
      <c r="C16" s="219" t="s">
        <v>865</v>
      </c>
      <c r="D16" s="13">
        <f>'Run Parameters'!$B$1 + ROW()-1</f>
        <v>657</v>
      </c>
      <c r="E16" s="15" t="s">
        <v>47</v>
      </c>
      <c r="F16" s="13" t="s">
        <v>1036</v>
      </c>
      <c r="G16" s="13" t="str">
        <f t="shared" si="0"/>
        <v>Access Dtls-657</v>
      </c>
      <c r="H16" s="15" t="s">
        <v>275</v>
      </c>
      <c r="I16" s="13" t="str">
        <f>("MR. Test_15_EXCH1_"&amp;D16&amp;"")</f>
        <v>MR. Test_15_EXCH1_657</v>
      </c>
      <c r="J16" s="13"/>
      <c r="K16" s="19" t="s">
        <v>425</v>
      </c>
      <c r="L16" s="13" t="str">
        <f t="shared" si="1"/>
        <v>Cust. Ref-657</v>
      </c>
      <c r="M16" s="15" t="s">
        <v>48</v>
      </c>
      <c r="N16" s="15" t="s">
        <v>425</v>
      </c>
      <c r="O16" s="13"/>
      <c r="P16" s="13" t="str">
        <f t="shared" si="2"/>
        <v>SN-657</v>
      </c>
      <c r="Q16" s="13" t="str">
        <f t="shared" si="3"/>
        <v>SI-657</v>
      </c>
      <c r="R16" s="13" t="str">
        <f t="shared" si="4"/>
        <v>SE-657</v>
      </c>
      <c r="S16" s="135" t="str">
        <f t="shared" si="5"/>
        <v>Prev_RA-657</v>
      </c>
      <c r="T16" s="135" t="str">
        <f t="shared" si="6"/>
        <v>Prev_Comms-657</v>
      </c>
      <c r="U16" s="15" t="s">
        <v>75</v>
      </c>
      <c r="V16" s="15" t="s">
        <v>401</v>
      </c>
      <c r="W16" s="15" t="s">
        <v>75</v>
      </c>
      <c r="X16" s="15" t="s">
        <v>396</v>
      </c>
      <c r="Y16" s="13" t="str">
        <f t="shared" si="7"/>
        <v>Forward Add-657</v>
      </c>
      <c r="Z16" s="15" t="s">
        <v>401</v>
      </c>
      <c r="AA16" s="136" t="str">
        <f>'Run Parameters'!$B$2</f>
        <v>2018-08-13 08:00</v>
      </c>
      <c r="AB16" s="223" t="str">
        <f>'Run Parameters'!B$3</f>
        <v>2018-08-13 18:00</v>
      </c>
      <c r="AC16" s="26">
        <f>('Run Parameters'!$B$2) - 7</f>
        <v>43318.333333333336</v>
      </c>
      <c r="AD16" s="15" t="s">
        <v>75</v>
      </c>
      <c r="AE16" s="13" t="str">
        <f t="shared" si="8"/>
        <v>LAST_METER-657</v>
      </c>
      <c r="AF16" s="136" t="str">
        <f>'Run Parameters'!$B$2</f>
        <v>2018-08-13 08:00</v>
      </c>
      <c r="AG16" s="13" t="str">
        <f>'Run Parameters'!B$4</f>
        <v>AUTOTEST2</v>
      </c>
      <c r="AH16" s="135" t="str">
        <f t="shared" si="9"/>
        <v>Site_Contact_657</v>
      </c>
      <c r="AI16" s="136" t="str">
        <f>'Run Parameters'!B$2</f>
        <v>2018-08-13 08:00</v>
      </c>
      <c r="AJ16" s="223" t="str">
        <f>'Run Parameters'!B$3</f>
        <v>2018-08-13 18:00</v>
      </c>
      <c r="AK16" s="13" t="s">
        <v>396</v>
      </c>
      <c r="AL16" s="135" t="str">
        <f t="shared" si="10"/>
        <v>01159657</v>
      </c>
      <c r="AM16" s="13" t="str">
        <f t="shared" si="11"/>
        <v>0115657</v>
      </c>
      <c r="AN16" s="15"/>
      <c r="AO16" s="15"/>
      <c r="AP16" s="13">
        <v>1</v>
      </c>
      <c r="AQ16" s="15" t="s">
        <v>49</v>
      </c>
      <c r="AR16" s="15"/>
      <c r="AS16" s="13"/>
      <c r="AT16" s="15" t="s">
        <v>400</v>
      </c>
      <c r="AU16" s="15"/>
      <c r="AV16" s="13">
        <f t="shared" si="12"/>
        <v>657</v>
      </c>
      <c r="AW16" s="13" t="s">
        <v>833</v>
      </c>
      <c r="AX16" s="13" t="s">
        <v>420</v>
      </c>
      <c r="AY16" s="13" t="s">
        <v>421</v>
      </c>
      <c r="AZ16" s="15" t="s">
        <v>334</v>
      </c>
      <c r="BA16" s="15" t="s">
        <v>154</v>
      </c>
      <c r="BB16" s="13"/>
      <c r="BC16" s="13"/>
      <c r="BD16" s="15"/>
      <c r="BE16" s="15"/>
      <c r="BF16" s="15"/>
      <c r="BG16" s="13"/>
      <c r="BH16" s="13"/>
      <c r="BI16" s="13"/>
      <c r="BJ16" s="13"/>
      <c r="BK16" s="15"/>
      <c r="BL16" s="15"/>
      <c r="BM16" s="13"/>
      <c r="BN16" s="15"/>
      <c r="BO16" s="13"/>
      <c r="BP16" s="15"/>
      <c r="BQ16" s="15"/>
      <c r="BR16" s="13"/>
      <c r="BS16" s="15"/>
      <c r="BT16" s="15"/>
      <c r="BU16" s="15"/>
      <c r="BV16" s="15"/>
      <c r="BW16" s="15"/>
      <c r="BX16" s="15"/>
      <c r="BY16" s="15"/>
      <c r="BZ16" s="15"/>
      <c r="CA16" s="15"/>
      <c r="CB16" s="15"/>
      <c r="CC16" s="15"/>
      <c r="CD16" s="15"/>
      <c r="CE16" s="15"/>
      <c r="CF16" s="15"/>
      <c r="CG16" s="15"/>
      <c r="CH16" s="15"/>
      <c r="CI16" s="13">
        <v>1</v>
      </c>
      <c r="CJ16" s="13" t="str">
        <f t="shared" si="13"/>
        <v>GAS_ENQ_NO-657</v>
      </c>
      <c r="CK16" s="15" t="s">
        <v>165</v>
      </c>
      <c r="CL16" s="15" t="s">
        <v>391</v>
      </c>
      <c r="CM16" s="15" t="s">
        <v>390</v>
      </c>
      <c r="CN16" s="13" t="s">
        <v>1036</v>
      </c>
      <c r="CO16" s="13" t="str">
        <f t="shared" si="14"/>
        <v>GAS_JOB_ID-657</v>
      </c>
      <c r="CP16" s="15"/>
      <c r="CQ16" s="13" t="str">
        <f t="shared" si="15"/>
        <v>10000657</v>
      </c>
      <c r="CR16" s="13" t="s">
        <v>154</v>
      </c>
      <c r="CS16" s="15" t="s">
        <v>51</v>
      </c>
      <c r="CT16" s="227" t="str">
        <f t="shared" si="16"/>
        <v>GMETER657</v>
      </c>
      <c r="CU16" s="13" t="s">
        <v>161</v>
      </c>
      <c r="CV16" s="15" t="s">
        <v>165</v>
      </c>
      <c r="CW16" s="15" t="s">
        <v>414</v>
      </c>
      <c r="CX16" s="15"/>
      <c r="CY16" s="15"/>
      <c r="CZ16" s="15" t="s">
        <v>394</v>
      </c>
      <c r="DA16" s="15" t="s">
        <v>395</v>
      </c>
      <c r="DB16" s="13" t="str">
        <f t="shared" si="17"/>
        <v>GAS_INST_ID-657</v>
      </c>
      <c r="DC16" s="15" t="s">
        <v>161</v>
      </c>
      <c r="DD16" s="15"/>
      <c r="DE16" s="15" t="s">
        <v>51</v>
      </c>
      <c r="DF16" s="15" t="s">
        <v>264</v>
      </c>
      <c r="DG16" s="15"/>
      <c r="DH16" s="15" t="s">
        <v>397</v>
      </c>
      <c r="DI16" s="15" t="s">
        <v>399</v>
      </c>
      <c r="DJ16" s="15" t="s">
        <v>836</v>
      </c>
      <c r="DK16" s="15" t="s">
        <v>140</v>
      </c>
      <c r="DL16" s="228"/>
      <c r="DM16" s="228"/>
      <c r="DN16" s="13" t="str">
        <f t="shared" si="18"/>
        <v>DS_Pass-657</v>
      </c>
      <c r="DO16" s="15"/>
      <c r="DP16" s="15"/>
      <c r="DQ16" s="15"/>
      <c r="DR16" s="13"/>
      <c r="DS16" s="13"/>
      <c r="DT16" s="15" t="s">
        <v>52</v>
      </c>
      <c r="DU16" s="15"/>
      <c r="DV16" s="15"/>
      <c r="DW16" s="13"/>
      <c r="DX16" s="15" t="s">
        <v>54</v>
      </c>
      <c r="DY16" s="15" t="s">
        <v>61</v>
      </c>
      <c r="DZ16" s="15" t="s">
        <v>402</v>
      </c>
      <c r="EA16" s="135" t="str">
        <f t="shared" si="19"/>
        <v>657CUSTOMER_ADDRESSEXCH1 ROADCUSTOMER_ADDRESSTESTINGHAMCUSTOMER_ADDRESSTESTINGHAMSHIRE</v>
      </c>
      <c r="EB16" s="15" t="s">
        <v>836</v>
      </c>
      <c r="EC16" s="228"/>
      <c r="ED16" s="228"/>
      <c r="EE16" s="228"/>
    </row>
    <row r="17" spans="1:136" s="229" customFormat="1">
      <c r="A17" s="219" t="s">
        <v>1044</v>
      </c>
      <c r="B17" s="219" t="s">
        <v>868</v>
      </c>
      <c r="C17" s="219" t="s">
        <v>865</v>
      </c>
      <c r="D17" s="13">
        <f>'Run Parameters'!$B$1 + ROW()-1</f>
        <v>658</v>
      </c>
      <c r="E17" s="15" t="s">
        <v>47</v>
      </c>
      <c r="F17" s="13" t="s">
        <v>1036</v>
      </c>
      <c r="G17" s="13" t="str">
        <f t="shared" si="0"/>
        <v>Access Dtls-658</v>
      </c>
      <c r="H17" s="15" t="s">
        <v>275</v>
      </c>
      <c r="I17" s="13" t="str">
        <f>("MR. Test_16_EXCH1_"&amp;D17&amp;"")</f>
        <v>MR. Test_16_EXCH1_658</v>
      </c>
      <c r="J17" s="13"/>
      <c r="K17" s="19" t="s">
        <v>425</v>
      </c>
      <c r="L17" s="13" t="str">
        <f t="shared" si="1"/>
        <v>Cust. Ref-658</v>
      </c>
      <c r="M17" s="15" t="s">
        <v>48</v>
      </c>
      <c r="N17" s="15" t="s">
        <v>425</v>
      </c>
      <c r="O17" s="13"/>
      <c r="P17" s="13" t="str">
        <f t="shared" si="2"/>
        <v>SN-658</v>
      </c>
      <c r="Q17" s="13" t="str">
        <f t="shared" si="3"/>
        <v>SI-658</v>
      </c>
      <c r="R17" s="13" t="str">
        <f t="shared" si="4"/>
        <v>SE-658</v>
      </c>
      <c r="S17" s="135" t="str">
        <f t="shared" si="5"/>
        <v>Prev_RA-658</v>
      </c>
      <c r="T17" s="135" t="str">
        <f t="shared" si="6"/>
        <v>Prev_Comms-658</v>
      </c>
      <c r="U17" s="15" t="s">
        <v>75</v>
      </c>
      <c r="V17" s="15" t="s">
        <v>401</v>
      </c>
      <c r="W17" s="15" t="s">
        <v>75</v>
      </c>
      <c r="X17" s="15" t="s">
        <v>396</v>
      </c>
      <c r="Y17" s="13" t="str">
        <f t="shared" si="7"/>
        <v>Forward Add-658</v>
      </c>
      <c r="Z17" s="15" t="s">
        <v>401</v>
      </c>
      <c r="AA17" s="136" t="str">
        <f>'Run Parameters'!$B$2</f>
        <v>2018-08-13 08:00</v>
      </c>
      <c r="AB17" s="223" t="str">
        <f>'Run Parameters'!B$3</f>
        <v>2018-08-13 18:00</v>
      </c>
      <c r="AC17" s="26">
        <f>('Run Parameters'!$B$2) - 7</f>
        <v>43318.333333333336</v>
      </c>
      <c r="AD17" s="15" t="s">
        <v>75</v>
      </c>
      <c r="AE17" s="13" t="str">
        <f t="shared" si="8"/>
        <v>LAST_METER-658</v>
      </c>
      <c r="AF17" s="136" t="str">
        <f>'Run Parameters'!$B$2</f>
        <v>2018-08-13 08:00</v>
      </c>
      <c r="AG17" s="13" t="str">
        <f>'Run Parameters'!B$4</f>
        <v>AUTOTEST2</v>
      </c>
      <c r="AH17" s="135" t="str">
        <f t="shared" si="9"/>
        <v>Site_Contact_658</v>
      </c>
      <c r="AI17" s="136" t="str">
        <f>'Run Parameters'!B$2</f>
        <v>2018-08-13 08:00</v>
      </c>
      <c r="AJ17" s="223" t="str">
        <f>'Run Parameters'!B$3</f>
        <v>2018-08-13 18:00</v>
      </c>
      <c r="AK17" s="13" t="s">
        <v>396</v>
      </c>
      <c r="AL17" s="135" t="str">
        <f t="shared" si="10"/>
        <v>01159658</v>
      </c>
      <c r="AM17" s="13" t="str">
        <f t="shared" si="11"/>
        <v>0115658</v>
      </c>
      <c r="AN17" s="15"/>
      <c r="AO17" s="15"/>
      <c r="AP17" s="13">
        <v>1</v>
      </c>
      <c r="AQ17" s="15" t="s">
        <v>49</v>
      </c>
      <c r="AR17" s="15"/>
      <c r="AS17" s="13"/>
      <c r="AT17" s="15" t="s">
        <v>400</v>
      </c>
      <c r="AU17" s="15"/>
      <c r="AV17" s="13">
        <f t="shared" si="12"/>
        <v>658</v>
      </c>
      <c r="AW17" s="13" t="s">
        <v>833</v>
      </c>
      <c r="AX17" s="13" t="s">
        <v>420</v>
      </c>
      <c r="AY17" s="13" t="s">
        <v>421</v>
      </c>
      <c r="AZ17" s="15" t="s">
        <v>334</v>
      </c>
      <c r="BA17" s="15" t="s">
        <v>154</v>
      </c>
      <c r="BB17" s="13"/>
      <c r="BC17" s="13"/>
      <c r="BD17" s="15"/>
      <c r="BE17" s="15"/>
      <c r="BF17" s="15"/>
      <c r="BG17" s="13"/>
      <c r="BH17" s="13"/>
      <c r="BI17" s="13"/>
      <c r="BJ17" s="13"/>
      <c r="BK17" s="15"/>
      <c r="BL17" s="15"/>
      <c r="BM17" s="13"/>
      <c r="BN17" s="15"/>
      <c r="BO17" s="13"/>
      <c r="BP17" s="15"/>
      <c r="BQ17" s="15"/>
      <c r="BR17" s="13"/>
      <c r="BS17" s="15"/>
      <c r="BT17" s="15"/>
      <c r="BU17" s="15"/>
      <c r="BV17" s="15"/>
      <c r="BW17" s="15"/>
      <c r="BX17" s="15"/>
      <c r="BY17" s="15"/>
      <c r="BZ17" s="15"/>
      <c r="CA17" s="15"/>
      <c r="CB17" s="15"/>
      <c r="CC17" s="15"/>
      <c r="CD17" s="15"/>
      <c r="CE17" s="15"/>
      <c r="CF17" s="15"/>
      <c r="CG17" s="15"/>
      <c r="CH17" s="15"/>
      <c r="CI17" s="13">
        <v>1</v>
      </c>
      <c r="CJ17" s="13" t="str">
        <f t="shared" si="13"/>
        <v>GAS_ENQ_NO-658</v>
      </c>
      <c r="CK17" s="15" t="s">
        <v>165</v>
      </c>
      <c r="CL17" s="15" t="s">
        <v>391</v>
      </c>
      <c r="CM17" s="15" t="s">
        <v>390</v>
      </c>
      <c r="CN17" s="13" t="s">
        <v>1036</v>
      </c>
      <c r="CO17" s="13" t="str">
        <f t="shared" si="14"/>
        <v>GAS_JOB_ID-658</v>
      </c>
      <c r="CP17" s="15"/>
      <c r="CQ17" s="13" t="str">
        <f t="shared" si="15"/>
        <v>10000658</v>
      </c>
      <c r="CR17" s="13" t="s">
        <v>154</v>
      </c>
      <c r="CS17" s="15" t="s">
        <v>51</v>
      </c>
      <c r="CT17" s="227" t="str">
        <f t="shared" si="16"/>
        <v>GMETER658</v>
      </c>
      <c r="CU17" s="13" t="s">
        <v>161</v>
      </c>
      <c r="CV17" s="15" t="s">
        <v>165</v>
      </c>
      <c r="CW17" s="15" t="s">
        <v>414</v>
      </c>
      <c r="CX17" s="15"/>
      <c r="CY17" s="15"/>
      <c r="CZ17" s="15" t="s">
        <v>394</v>
      </c>
      <c r="DA17" s="15" t="s">
        <v>395</v>
      </c>
      <c r="DB17" s="13" t="str">
        <f t="shared" si="17"/>
        <v>GAS_INST_ID-658</v>
      </c>
      <c r="DC17" s="15" t="s">
        <v>161</v>
      </c>
      <c r="DD17" s="15"/>
      <c r="DE17" s="15" t="s">
        <v>51</v>
      </c>
      <c r="DF17" s="15" t="s">
        <v>264</v>
      </c>
      <c r="DG17" s="15"/>
      <c r="DH17" s="15" t="s">
        <v>397</v>
      </c>
      <c r="DI17" s="15" t="s">
        <v>399</v>
      </c>
      <c r="DJ17" s="15" t="s">
        <v>836</v>
      </c>
      <c r="DK17" s="15" t="s">
        <v>140</v>
      </c>
      <c r="DL17" s="228"/>
      <c r="DM17" s="228"/>
      <c r="DN17" s="13" t="str">
        <f t="shared" si="18"/>
        <v>DS_Pass-658</v>
      </c>
      <c r="DO17" s="15"/>
      <c r="DP17" s="15"/>
      <c r="DQ17" s="15"/>
      <c r="DR17" s="13"/>
      <c r="DS17" s="13"/>
      <c r="DT17" s="15" t="s">
        <v>52</v>
      </c>
      <c r="DU17" s="15"/>
      <c r="DV17" s="15"/>
      <c r="DW17" s="13"/>
      <c r="DX17" s="15" t="s">
        <v>54</v>
      </c>
      <c r="DY17" s="15" t="s">
        <v>61</v>
      </c>
      <c r="DZ17" s="15" t="s">
        <v>402</v>
      </c>
      <c r="EA17" s="135" t="str">
        <f t="shared" si="19"/>
        <v>658CUSTOMER_ADDRESSEXCH1 ROADCUSTOMER_ADDRESSTESTINGHAMCUSTOMER_ADDRESSTESTINGHAMSHIRE</v>
      </c>
      <c r="EB17" s="15" t="s">
        <v>836</v>
      </c>
      <c r="EC17" s="228"/>
      <c r="ED17" s="228"/>
      <c r="EE17" s="228"/>
    </row>
    <row r="18" spans="1:136" s="229" customFormat="1">
      <c r="A18" s="219" t="s">
        <v>1045</v>
      </c>
      <c r="B18" s="219" t="s">
        <v>892</v>
      </c>
      <c r="C18" s="219" t="s">
        <v>865</v>
      </c>
      <c r="D18" s="13">
        <f>'Run Parameters'!$B$1 + ROW()-1</f>
        <v>659</v>
      </c>
      <c r="E18" s="15" t="s">
        <v>47</v>
      </c>
      <c r="F18" s="13" t="s">
        <v>1036</v>
      </c>
      <c r="G18" s="13" t="str">
        <f t="shared" si="0"/>
        <v>Access Dtls-659</v>
      </c>
      <c r="H18" s="15" t="s">
        <v>275</v>
      </c>
      <c r="I18" s="13" t="str">
        <f>("MR. Test_17_EXCH1_"&amp;D18&amp;"")</f>
        <v>MR. Test_17_EXCH1_659</v>
      </c>
      <c r="J18" s="13"/>
      <c r="K18" s="19" t="s">
        <v>425</v>
      </c>
      <c r="L18" s="13" t="str">
        <f t="shared" si="1"/>
        <v>Cust. Ref-659</v>
      </c>
      <c r="M18" s="15" t="s">
        <v>48</v>
      </c>
      <c r="N18" s="15" t="s">
        <v>425</v>
      </c>
      <c r="O18" s="13"/>
      <c r="P18" s="13" t="str">
        <f t="shared" si="2"/>
        <v>SN-659</v>
      </c>
      <c r="Q18" s="13" t="str">
        <f t="shared" si="3"/>
        <v>SI-659</v>
      </c>
      <c r="R18" s="13" t="str">
        <f t="shared" si="4"/>
        <v>SE-659</v>
      </c>
      <c r="S18" s="135" t="str">
        <f t="shared" si="5"/>
        <v>Prev_RA-659</v>
      </c>
      <c r="T18" s="135" t="str">
        <f t="shared" si="6"/>
        <v>Prev_Comms-659</v>
      </c>
      <c r="U18" s="15" t="s">
        <v>75</v>
      </c>
      <c r="V18" s="15" t="s">
        <v>401</v>
      </c>
      <c r="W18" s="15" t="s">
        <v>75</v>
      </c>
      <c r="X18" s="15" t="s">
        <v>396</v>
      </c>
      <c r="Y18" s="13" t="str">
        <f t="shared" si="7"/>
        <v>Forward Add-659</v>
      </c>
      <c r="Z18" s="15" t="s">
        <v>401</v>
      </c>
      <c r="AA18" s="136" t="str">
        <f>'Run Parameters'!$B$2</f>
        <v>2018-08-13 08:00</v>
      </c>
      <c r="AB18" s="223" t="str">
        <f>'Run Parameters'!B$3</f>
        <v>2018-08-13 18:00</v>
      </c>
      <c r="AC18" s="26">
        <f>('Run Parameters'!$B$2) - 7</f>
        <v>43318.333333333336</v>
      </c>
      <c r="AD18" s="15" t="s">
        <v>75</v>
      </c>
      <c r="AE18" s="13" t="str">
        <f t="shared" si="8"/>
        <v>LAST_METER-659</v>
      </c>
      <c r="AF18" s="136" t="str">
        <f>'Run Parameters'!$B$2</f>
        <v>2018-08-13 08:00</v>
      </c>
      <c r="AG18" s="13" t="str">
        <f>'Run Parameters'!B$4</f>
        <v>AUTOTEST2</v>
      </c>
      <c r="AH18" s="135" t="str">
        <f t="shared" si="9"/>
        <v>Site_Contact_659</v>
      </c>
      <c r="AI18" s="136" t="str">
        <f>'Run Parameters'!B$2</f>
        <v>2018-08-13 08:00</v>
      </c>
      <c r="AJ18" s="223" t="str">
        <f>'Run Parameters'!B$3</f>
        <v>2018-08-13 18:00</v>
      </c>
      <c r="AK18" s="13" t="s">
        <v>396</v>
      </c>
      <c r="AL18" s="135" t="str">
        <f t="shared" si="10"/>
        <v>01159659</v>
      </c>
      <c r="AM18" s="13" t="str">
        <f t="shared" si="11"/>
        <v>0115659</v>
      </c>
      <c r="AN18" s="15"/>
      <c r="AO18" s="15"/>
      <c r="AP18" s="13">
        <v>1</v>
      </c>
      <c r="AQ18" s="15" t="s">
        <v>49</v>
      </c>
      <c r="AR18" s="15"/>
      <c r="AS18" s="13"/>
      <c r="AT18" s="15" t="s">
        <v>400</v>
      </c>
      <c r="AU18" s="15"/>
      <c r="AV18" s="13">
        <f t="shared" si="12"/>
        <v>659</v>
      </c>
      <c r="AW18" s="13" t="s">
        <v>833</v>
      </c>
      <c r="AX18" s="13" t="s">
        <v>420</v>
      </c>
      <c r="AY18" s="13" t="s">
        <v>421</v>
      </c>
      <c r="AZ18" s="15" t="s">
        <v>334</v>
      </c>
      <c r="BA18" s="15" t="s">
        <v>154</v>
      </c>
      <c r="BB18" s="13"/>
      <c r="BC18" s="13"/>
      <c r="BD18" s="15"/>
      <c r="BE18" s="15"/>
      <c r="BF18" s="15"/>
      <c r="BG18" s="13"/>
      <c r="BH18" s="13"/>
      <c r="BI18" s="13"/>
      <c r="BJ18" s="13"/>
      <c r="BK18" s="15"/>
      <c r="BL18" s="15"/>
      <c r="BM18" s="13"/>
      <c r="BN18" s="15"/>
      <c r="BO18" s="13"/>
      <c r="BP18" s="15"/>
      <c r="BQ18" s="15"/>
      <c r="BR18" s="13"/>
      <c r="BS18" s="15"/>
      <c r="BT18" s="15"/>
      <c r="BU18" s="15"/>
      <c r="BV18" s="15"/>
      <c r="BW18" s="15"/>
      <c r="BX18" s="15"/>
      <c r="BY18" s="15"/>
      <c r="BZ18" s="15"/>
      <c r="CA18" s="15"/>
      <c r="CB18" s="15"/>
      <c r="CC18" s="15"/>
      <c r="CD18" s="15"/>
      <c r="CE18" s="15"/>
      <c r="CF18" s="15"/>
      <c r="CG18" s="15"/>
      <c r="CH18" s="15"/>
      <c r="CI18" s="13">
        <v>1</v>
      </c>
      <c r="CJ18" s="13" t="str">
        <f t="shared" si="13"/>
        <v>GAS_ENQ_NO-659</v>
      </c>
      <c r="CK18" s="15" t="s">
        <v>165</v>
      </c>
      <c r="CL18" s="15" t="s">
        <v>391</v>
      </c>
      <c r="CM18" s="15" t="s">
        <v>390</v>
      </c>
      <c r="CN18" s="13" t="s">
        <v>1036</v>
      </c>
      <c r="CO18" s="13" t="str">
        <f t="shared" si="14"/>
        <v>GAS_JOB_ID-659</v>
      </c>
      <c r="CP18" s="15"/>
      <c r="CQ18" s="13" t="str">
        <f t="shared" si="15"/>
        <v>10000659</v>
      </c>
      <c r="CR18" s="13" t="s">
        <v>154</v>
      </c>
      <c r="CS18" s="15" t="s">
        <v>51</v>
      </c>
      <c r="CT18" s="227" t="str">
        <f t="shared" si="16"/>
        <v>GMETER659</v>
      </c>
      <c r="CU18" s="13" t="s">
        <v>161</v>
      </c>
      <c r="CV18" s="15" t="s">
        <v>165</v>
      </c>
      <c r="CW18" s="15" t="s">
        <v>414</v>
      </c>
      <c r="CX18" s="15"/>
      <c r="CY18" s="15"/>
      <c r="CZ18" s="15" t="s">
        <v>394</v>
      </c>
      <c r="DA18" s="15" t="s">
        <v>395</v>
      </c>
      <c r="DB18" s="13" t="str">
        <f t="shared" si="17"/>
        <v>GAS_INST_ID-659</v>
      </c>
      <c r="DC18" s="15" t="s">
        <v>161</v>
      </c>
      <c r="DD18" s="15"/>
      <c r="DE18" s="15" t="s">
        <v>51</v>
      </c>
      <c r="DF18" s="15" t="s">
        <v>264</v>
      </c>
      <c r="DG18" s="15"/>
      <c r="DH18" s="15" t="s">
        <v>397</v>
      </c>
      <c r="DI18" s="15" t="s">
        <v>399</v>
      </c>
      <c r="DJ18" s="15" t="s">
        <v>836</v>
      </c>
      <c r="DK18" s="15" t="s">
        <v>140</v>
      </c>
      <c r="DL18" s="228"/>
      <c r="DM18" s="228"/>
      <c r="DN18" s="13" t="str">
        <f t="shared" si="18"/>
        <v>DS_Pass-659</v>
      </c>
      <c r="DO18" s="15"/>
      <c r="DP18" s="15"/>
      <c r="DQ18" s="15"/>
      <c r="DR18" s="13"/>
      <c r="DS18" s="13"/>
      <c r="DT18" s="15" t="s">
        <v>52</v>
      </c>
      <c r="DU18" s="15"/>
      <c r="DV18" s="15"/>
      <c r="DW18" s="13"/>
      <c r="DX18" s="15" t="s">
        <v>54</v>
      </c>
      <c r="DY18" s="15" t="s">
        <v>61</v>
      </c>
      <c r="DZ18" s="15" t="s">
        <v>402</v>
      </c>
      <c r="EA18" s="135" t="str">
        <f t="shared" si="19"/>
        <v>659CUSTOMER_ADDRESSEXCH1 ROADCUSTOMER_ADDRESSTESTINGHAMCUSTOMER_ADDRESSTESTINGHAMSHIRE</v>
      </c>
      <c r="EB18" s="15" t="s">
        <v>836</v>
      </c>
      <c r="EC18" s="228"/>
      <c r="ED18" s="228"/>
      <c r="EE18" s="228"/>
    </row>
    <row r="19" spans="1:136" s="229" customFormat="1">
      <c r="A19" s="219" t="s">
        <v>1046</v>
      </c>
      <c r="B19" s="219" t="s">
        <v>868</v>
      </c>
      <c r="C19" s="219" t="s">
        <v>865</v>
      </c>
      <c r="D19" s="13">
        <f>'Run Parameters'!$B$1 + ROW()-1</f>
        <v>660</v>
      </c>
      <c r="E19" s="15" t="s">
        <v>47</v>
      </c>
      <c r="F19" s="13" t="s">
        <v>1036</v>
      </c>
      <c r="G19" s="13" t="str">
        <f t="shared" si="0"/>
        <v>Access Dtls-660</v>
      </c>
      <c r="H19" s="15" t="s">
        <v>275</v>
      </c>
      <c r="I19" s="13" t="str">
        <f>("MR. Test_18_EXCH1_"&amp;D19&amp;"")</f>
        <v>MR. Test_18_EXCH1_660</v>
      </c>
      <c r="J19" s="13"/>
      <c r="K19" s="19" t="s">
        <v>425</v>
      </c>
      <c r="L19" s="13" t="str">
        <f t="shared" si="1"/>
        <v>Cust. Ref-660</v>
      </c>
      <c r="M19" s="15" t="s">
        <v>48</v>
      </c>
      <c r="N19" s="15" t="s">
        <v>425</v>
      </c>
      <c r="O19" s="13"/>
      <c r="P19" s="13" t="str">
        <f t="shared" si="2"/>
        <v>SN-660</v>
      </c>
      <c r="Q19" s="13" t="str">
        <f t="shared" si="3"/>
        <v>SI-660</v>
      </c>
      <c r="R19" s="13" t="str">
        <f t="shared" si="4"/>
        <v>SE-660</v>
      </c>
      <c r="S19" s="135" t="str">
        <f t="shared" si="5"/>
        <v>Prev_RA-660</v>
      </c>
      <c r="T19" s="135" t="str">
        <f t="shared" si="6"/>
        <v>Prev_Comms-660</v>
      </c>
      <c r="U19" s="15" t="s">
        <v>75</v>
      </c>
      <c r="V19" s="15" t="s">
        <v>401</v>
      </c>
      <c r="W19" s="15" t="s">
        <v>75</v>
      </c>
      <c r="X19" s="15" t="s">
        <v>396</v>
      </c>
      <c r="Y19" s="13" t="str">
        <f t="shared" si="7"/>
        <v>Forward Add-660</v>
      </c>
      <c r="Z19" s="15" t="s">
        <v>401</v>
      </c>
      <c r="AA19" s="136" t="str">
        <f>'Run Parameters'!$B$2</f>
        <v>2018-08-13 08:00</v>
      </c>
      <c r="AB19" s="223" t="str">
        <f>'Run Parameters'!B$3</f>
        <v>2018-08-13 18:00</v>
      </c>
      <c r="AC19" s="26">
        <f>('Run Parameters'!$B$2) - 7</f>
        <v>43318.333333333336</v>
      </c>
      <c r="AD19" s="15" t="s">
        <v>75</v>
      </c>
      <c r="AE19" s="13" t="str">
        <f t="shared" si="8"/>
        <v>LAST_METER-660</v>
      </c>
      <c r="AF19" s="136" t="str">
        <f>'Run Parameters'!$B$2</f>
        <v>2018-08-13 08:00</v>
      </c>
      <c r="AG19" s="13" t="str">
        <f>'Run Parameters'!B$4</f>
        <v>AUTOTEST2</v>
      </c>
      <c r="AH19" s="135" t="str">
        <f t="shared" si="9"/>
        <v>Site_Contact_660</v>
      </c>
      <c r="AI19" s="136" t="str">
        <f>'Run Parameters'!B$2</f>
        <v>2018-08-13 08:00</v>
      </c>
      <c r="AJ19" s="223" t="str">
        <f>'Run Parameters'!B$3</f>
        <v>2018-08-13 18:00</v>
      </c>
      <c r="AK19" s="13" t="s">
        <v>396</v>
      </c>
      <c r="AL19" s="135" t="str">
        <f t="shared" si="10"/>
        <v>01159660</v>
      </c>
      <c r="AM19" s="13" t="str">
        <f t="shared" si="11"/>
        <v>0115660</v>
      </c>
      <c r="AN19" s="15"/>
      <c r="AO19" s="15"/>
      <c r="AP19" s="13">
        <v>1</v>
      </c>
      <c r="AQ19" s="15" t="s">
        <v>49</v>
      </c>
      <c r="AR19" s="15"/>
      <c r="AS19" s="13"/>
      <c r="AT19" s="15" t="s">
        <v>400</v>
      </c>
      <c r="AU19" s="15"/>
      <c r="AV19" s="13">
        <f t="shared" si="12"/>
        <v>660</v>
      </c>
      <c r="AW19" s="13" t="s">
        <v>833</v>
      </c>
      <c r="AX19" s="13" t="s">
        <v>420</v>
      </c>
      <c r="AY19" s="13" t="s">
        <v>421</v>
      </c>
      <c r="AZ19" s="15" t="s">
        <v>334</v>
      </c>
      <c r="BA19" s="15" t="s">
        <v>154</v>
      </c>
      <c r="BB19" s="13"/>
      <c r="BC19" s="13"/>
      <c r="BD19" s="15"/>
      <c r="BE19" s="15"/>
      <c r="BF19" s="15"/>
      <c r="BG19" s="13"/>
      <c r="BH19" s="13"/>
      <c r="BI19" s="13"/>
      <c r="BJ19" s="13"/>
      <c r="BK19" s="15"/>
      <c r="BL19" s="15"/>
      <c r="BM19" s="13"/>
      <c r="BN19" s="15"/>
      <c r="BO19" s="13"/>
      <c r="BP19" s="15"/>
      <c r="BQ19" s="15"/>
      <c r="BR19" s="13"/>
      <c r="BS19" s="15"/>
      <c r="BT19" s="15"/>
      <c r="BU19" s="15"/>
      <c r="BV19" s="15"/>
      <c r="BW19" s="15"/>
      <c r="BX19" s="15"/>
      <c r="BY19" s="15"/>
      <c r="BZ19" s="15"/>
      <c r="CA19" s="15"/>
      <c r="CB19" s="15"/>
      <c r="CC19" s="15"/>
      <c r="CD19" s="15"/>
      <c r="CE19" s="15"/>
      <c r="CF19" s="15"/>
      <c r="CG19" s="15"/>
      <c r="CH19" s="15"/>
      <c r="CI19" s="13">
        <v>1</v>
      </c>
      <c r="CJ19" s="13" t="str">
        <f t="shared" si="13"/>
        <v>GAS_ENQ_NO-660</v>
      </c>
      <c r="CK19" s="15" t="s">
        <v>165</v>
      </c>
      <c r="CL19" s="15" t="s">
        <v>391</v>
      </c>
      <c r="CM19" s="15" t="s">
        <v>390</v>
      </c>
      <c r="CN19" s="13" t="s">
        <v>1036</v>
      </c>
      <c r="CO19" s="13" t="str">
        <f t="shared" si="14"/>
        <v>GAS_JOB_ID-660</v>
      </c>
      <c r="CP19" s="15"/>
      <c r="CQ19" s="13" t="str">
        <f t="shared" si="15"/>
        <v>10000660</v>
      </c>
      <c r="CR19" s="13" t="s">
        <v>154</v>
      </c>
      <c r="CS19" s="15" t="s">
        <v>51</v>
      </c>
      <c r="CT19" s="227" t="str">
        <f t="shared" si="16"/>
        <v>GMETER660</v>
      </c>
      <c r="CU19" s="13" t="s">
        <v>161</v>
      </c>
      <c r="CV19" s="15" t="s">
        <v>165</v>
      </c>
      <c r="CW19" s="15" t="s">
        <v>414</v>
      </c>
      <c r="CX19" s="15"/>
      <c r="CY19" s="15"/>
      <c r="CZ19" s="15" t="s">
        <v>394</v>
      </c>
      <c r="DA19" s="15" t="s">
        <v>395</v>
      </c>
      <c r="DB19" s="13" t="str">
        <f t="shared" si="17"/>
        <v>GAS_INST_ID-660</v>
      </c>
      <c r="DC19" s="15" t="s">
        <v>161</v>
      </c>
      <c r="DD19" s="15"/>
      <c r="DE19" s="15" t="s">
        <v>51</v>
      </c>
      <c r="DF19" s="15" t="s">
        <v>264</v>
      </c>
      <c r="DG19" s="15"/>
      <c r="DH19" s="15" t="s">
        <v>397</v>
      </c>
      <c r="DI19" s="15" t="s">
        <v>399</v>
      </c>
      <c r="DJ19" s="15" t="s">
        <v>836</v>
      </c>
      <c r="DK19" s="15" t="s">
        <v>140</v>
      </c>
      <c r="DL19" s="228"/>
      <c r="DM19" s="228"/>
      <c r="DN19" s="13" t="str">
        <f t="shared" si="18"/>
        <v>DS_Pass-660</v>
      </c>
      <c r="DO19" s="15"/>
      <c r="DP19" s="15"/>
      <c r="DQ19" s="15"/>
      <c r="DR19" s="13"/>
      <c r="DS19" s="13"/>
      <c r="DT19" s="15" t="s">
        <v>52</v>
      </c>
      <c r="DU19" s="15"/>
      <c r="DV19" s="15"/>
      <c r="DW19" s="13"/>
      <c r="DX19" s="15" t="s">
        <v>54</v>
      </c>
      <c r="DY19" s="15" t="s">
        <v>61</v>
      </c>
      <c r="DZ19" s="15" t="s">
        <v>402</v>
      </c>
      <c r="EA19" s="135" t="str">
        <f t="shared" si="19"/>
        <v>660CUSTOMER_ADDRESSEXCH1 ROADCUSTOMER_ADDRESSTESTINGHAMCUSTOMER_ADDRESSTESTINGHAMSHIRE</v>
      </c>
      <c r="EB19" s="15" t="s">
        <v>836</v>
      </c>
      <c r="EC19" s="228"/>
      <c r="ED19" s="228"/>
      <c r="EE19" s="228"/>
    </row>
    <row r="20" spans="1:136" s="229" customFormat="1">
      <c r="A20" s="219" t="s">
        <v>1051</v>
      </c>
      <c r="B20" s="219" t="s">
        <v>892</v>
      </c>
      <c r="C20" s="219" t="s">
        <v>865</v>
      </c>
      <c r="D20" s="13">
        <f>'Run Parameters'!$B$1 + ROW()-1</f>
        <v>661</v>
      </c>
      <c r="E20" s="15" t="s">
        <v>47</v>
      </c>
      <c r="F20" s="13" t="s">
        <v>1047</v>
      </c>
      <c r="G20" s="13" t="str">
        <f>("Access Dtls-" &amp; D20)</f>
        <v>Access Dtls-661</v>
      </c>
      <c r="H20" s="15" t="s">
        <v>275</v>
      </c>
      <c r="I20" s="13" t="str">
        <f>("MR. Test_19_RMVE1_"&amp;D20&amp;"")</f>
        <v>MR. Test_19_RMVE1_661</v>
      </c>
      <c r="J20" s="13"/>
      <c r="K20" s="19" t="s">
        <v>425</v>
      </c>
      <c r="L20" s="13" t="str">
        <f>("Cust. Ref-" &amp; D20)</f>
        <v>Cust. Ref-661</v>
      </c>
      <c r="M20" s="15" t="s">
        <v>48</v>
      </c>
      <c r="N20" s="15" t="s">
        <v>425</v>
      </c>
      <c r="O20" s="13"/>
      <c r="P20" s="13" t="str">
        <f>("SN-" &amp; D20)</f>
        <v>SN-661</v>
      </c>
      <c r="Q20" s="13" t="str">
        <f>("SI-" &amp; D20)</f>
        <v>SI-661</v>
      </c>
      <c r="R20" s="13" t="str">
        <f>("SE-" &amp; D20)</f>
        <v>SE-661</v>
      </c>
      <c r="S20" s="135" t="str">
        <f>("Prev_RA-" &amp; D20)</f>
        <v>Prev_RA-661</v>
      </c>
      <c r="T20" s="135" t="str">
        <f>("Prev_Comms-" &amp; D20)</f>
        <v>Prev_Comms-661</v>
      </c>
      <c r="U20" s="15" t="s">
        <v>75</v>
      </c>
      <c r="V20" s="15" t="s">
        <v>401</v>
      </c>
      <c r="W20" s="15" t="s">
        <v>75</v>
      </c>
      <c r="X20" s="15" t="s">
        <v>396</v>
      </c>
      <c r="Y20" s="13" t="str">
        <f>("Forward Add-" &amp; D20)</f>
        <v>Forward Add-661</v>
      </c>
      <c r="Z20" s="15" t="s">
        <v>401</v>
      </c>
      <c r="AA20" s="136" t="str">
        <f>'Run Parameters'!$B$2</f>
        <v>2018-08-13 08:00</v>
      </c>
      <c r="AB20" s="223" t="str">
        <f>'Run Parameters'!B$3</f>
        <v>2018-08-13 18:00</v>
      </c>
      <c r="AC20" s="26">
        <f>('Run Parameters'!$B$2) - 7</f>
        <v>43318.333333333336</v>
      </c>
      <c r="AD20" s="15" t="s">
        <v>75</v>
      </c>
      <c r="AE20" s="13" t="str">
        <f>("LAST_METER-" &amp; D20)</f>
        <v>LAST_METER-661</v>
      </c>
      <c r="AF20" s="136" t="str">
        <f>'Run Parameters'!$B$2</f>
        <v>2018-08-13 08:00</v>
      </c>
      <c r="AG20" s="13" t="str">
        <f>'Run Parameters'!B$4</f>
        <v>AUTOTEST2</v>
      </c>
      <c r="AH20" s="135" t="str">
        <f>("Site_Contact_" &amp; D20)</f>
        <v>Site_Contact_661</v>
      </c>
      <c r="AI20" s="136" t="str">
        <f>'Run Parameters'!B$2</f>
        <v>2018-08-13 08:00</v>
      </c>
      <c r="AJ20" s="223" t="str">
        <f>'Run Parameters'!B$3</f>
        <v>2018-08-13 18:00</v>
      </c>
      <c r="AK20" s="13" t="s">
        <v>396</v>
      </c>
      <c r="AL20" s="135" t="str">
        <f>"01159" &amp; D20</f>
        <v>01159661</v>
      </c>
      <c r="AM20" s="13" t="str">
        <f>("0115" &amp; D20)</f>
        <v>0115661</v>
      </c>
      <c r="AN20" s="15"/>
      <c r="AO20" s="15"/>
      <c r="AP20" s="13">
        <v>1</v>
      </c>
      <c r="AQ20" s="15" t="s">
        <v>49</v>
      </c>
      <c r="AR20" s="15"/>
      <c r="AS20" s="13"/>
      <c r="AT20" s="15" t="s">
        <v>400</v>
      </c>
      <c r="AU20" s="15"/>
      <c r="AV20" s="13">
        <f>D20</f>
        <v>661</v>
      </c>
      <c r="AW20" s="13" t="s">
        <v>1048</v>
      </c>
      <c r="AX20" s="13" t="s">
        <v>420</v>
      </c>
      <c r="AY20" s="13" t="s">
        <v>421</v>
      </c>
      <c r="AZ20" s="15" t="s">
        <v>334</v>
      </c>
      <c r="BA20" s="15" t="s">
        <v>154</v>
      </c>
      <c r="BB20" s="13"/>
      <c r="BC20" s="13"/>
      <c r="BD20" s="15"/>
      <c r="BE20" s="15"/>
      <c r="BF20" s="15"/>
      <c r="BG20" s="13"/>
      <c r="BH20" s="13"/>
      <c r="BI20" s="13"/>
      <c r="BJ20" s="13"/>
      <c r="BK20" s="15"/>
      <c r="BL20" s="15"/>
      <c r="BM20" s="13"/>
      <c r="BN20" s="15"/>
      <c r="BO20" s="13"/>
      <c r="BP20" s="15"/>
      <c r="BQ20" s="15"/>
      <c r="BR20" s="13"/>
      <c r="BS20" s="15"/>
      <c r="BT20" s="15"/>
      <c r="BU20" s="15"/>
      <c r="BV20" s="15"/>
      <c r="BW20" s="15"/>
      <c r="BX20" s="15"/>
      <c r="BY20" s="15"/>
      <c r="BZ20" s="15"/>
      <c r="CA20" s="15"/>
      <c r="CB20" s="15"/>
      <c r="CC20" s="15"/>
      <c r="CD20" s="15"/>
      <c r="CE20" s="15"/>
      <c r="CF20" s="15"/>
      <c r="CG20" s="15"/>
      <c r="CH20" s="15"/>
      <c r="CI20" s="13">
        <v>1</v>
      </c>
      <c r="CJ20" s="13" t="str">
        <f>("GAS_ENQ_NO-" &amp; D20)</f>
        <v>GAS_ENQ_NO-661</v>
      </c>
      <c r="CK20" s="15" t="s">
        <v>1049</v>
      </c>
      <c r="CL20" s="15" t="s">
        <v>391</v>
      </c>
      <c r="CM20" s="15" t="s">
        <v>391</v>
      </c>
      <c r="CN20" s="13" t="s">
        <v>1047</v>
      </c>
      <c r="CO20" s="13" t="str">
        <f>("GAS_JOB_ID-" &amp; D20)</f>
        <v>GAS_JOB_ID-661</v>
      </c>
      <c r="CP20" s="15"/>
      <c r="CQ20" s="13" t="str">
        <f>"10000" &amp; D20</f>
        <v>10000661</v>
      </c>
      <c r="CR20" s="13" t="s">
        <v>154</v>
      </c>
      <c r="CS20" s="15" t="s">
        <v>51</v>
      </c>
      <c r="CT20" s="227" t="str">
        <f>"GMETER" &amp; D20</f>
        <v>GMETER661</v>
      </c>
      <c r="CU20" s="13" t="s">
        <v>161</v>
      </c>
      <c r="CV20" s="15" t="s">
        <v>1049</v>
      </c>
      <c r="CW20" s="15" t="s">
        <v>414</v>
      </c>
      <c r="CX20" s="15"/>
      <c r="CY20" s="15"/>
      <c r="CZ20" s="15" t="s">
        <v>394</v>
      </c>
      <c r="DA20" s="15" t="s">
        <v>395</v>
      </c>
      <c r="DB20" s="13" t="str">
        <f t="shared" si="17"/>
        <v>GAS_INST_ID-661</v>
      </c>
      <c r="DC20" s="15" t="s">
        <v>161</v>
      </c>
      <c r="DD20" s="15"/>
      <c r="DE20" s="15" t="s">
        <v>51</v>
      </c>
      <c r="DF20" s="15" t="s">
        <v>264</v>
      </c>
      <c r="DG20" s="15"/>
      <c r="DH20" s="15" t="s">
        <v>397</v>
      </c>
      <c r="DI20" s="15" t="s">
        <v>399</v>
      </c>
      <c r="DJ20" s="15" t="s">
        <v>1050</v>
      </c>
      <c r="DK20" s="15" t="s">
        <v>140</v>
      </c>
      <c r="DL20" s="228"/>
      <c r="DM20" s="228"/>
      <c r="DN20" s="13" t="str">
        <f t="shared" si="18"/>
        <v>DS_Pass-661</v>
      </c>
      <c r="DO20" s="15"/>
      <c r="DP20" s="15"/>
      <c r="DQ20" s="15"/>
      <c r="DR20" s="13"/>
      <c r="DS20" s="13"/>
      <c r="DT20" s="15" t="s">
        <v>52</v>
      </c>
      <c r="DU20" s="15"/>
      <c r="DV20" s="15"/>
      <c r="DW20" s="13"/>
      <c r="DX20" s="15" t="s">
        <v>54</v>
      </c>
      <c r="DY20" s="15" t="s">
        <v>61</v>
      </c>
      <c r="DZ20" s="15" t="s">
        <v>402</v>
      </c>
      <c r="EA20" s="135" t="str">
        <f>CONCATENATE(AV20, $EA$1, AW20, $EA$1, AX20, $EA$1, AY20)</f>
        <v>661CUSTOMER_ADDRESSRMVE1 ROADCUSTOMER_ADDRESSTESTINGHAMCUSTOMER_ADDRESSTESTINGHAMSHIRE</v>
      </c>
      <c r="EB20" s="15" t="s">
        <v>1050</v>
      </c>
      <c r="EC20" s="228"/>
      <c r="ED20" s="228"/>
      <c r="EE20" s="228"/>
    </row>
    <row r="21" spans="1:136" s="229" customFormat="1">
      <c r="A21" s="219" t="s">
        <v>1052</v>
      </c>
      <c r="B21" s="219" t="s">
        <v>868</v>
      </c>
      <c r="C21" s="219" t="s">
        <v>865</v>
      </c>
      <c r="D21" s="13">
        <f>'Run Parameters'!$B$1 + ROW()-1</f>
        <v>662</v>
      </c>
      <c r="E21" s="15" t="s">
        <v>47</v>
      </c>
      <c r="F21" s="13" t="s">
        <v>1047</v>
      </c>
      <c r="G21" s="13" t="str">
        <f t="shared" ref="G21:G31" si="20">("Access Dtls-" &amp; D21)</f>
        <v>Access Dtls-662</v>
      </c>
      <c r="H21" s="15" t="s">
        <v>275</v>
      </c>
      <c r="I21" s="13" t="str">
        <f>("MR. Test_20_RMVE1_"&amp;D21&amp;"")</f>
        <v>MR. Test_20_RMVE1_662</v>
      </c>
      <c r="J21" s="13"/>
      <c r="K21" s="19" t="s">
        <v>425</v>
      </c>
      <c r="L21" s="13" t="str">
        <f t="shared" ref="L21:L31" si="21">("Cust. Ref-" &amp; D21)</f>
        <v>Cust. Ref-662</v>
      </c>
      <c r="M21" s="15" t="s">
        <v>48</v>
      </c>
      <c r="N21" s="15" t="s">
        <v>425</v>
      </c>
      <c r="O21" s="13"/>
      <c r="P21" s="13" t="str">
        <f t="shared" ref="P21:P31" si="22">("SN-" &amp; D21)</f>
        <v>SN-662</v>
      </c>
      <c r="Q21" s="13" t="str">
        <f t="shared" ref="Q21:Q31" si="23">("SI-" &amp; D21)</f>
        <v>SI-662</v>
      </c>
      <c r="R21" s="13" t="str">
        <f t="shared" ref="R21:R31" si="24">("SE-" &amp; D21)</f>
        <v>SE-662</v>
      </c>
      <c r="S21" s="135" t="str">
        <f t="shared" ref="S21:S31" si="25">("Prev_RA-" &amp; D21)</f>
        <v>Prev_RA-662</v>
      </c>
      <c r="T21" s="135" t="str">
        <f t="shared" ref="T21:T31" si="26">("Prev_Comms-" &amp; D21)</f>
        <v>Prev_Comms-662</v>
      </c>
      <c r="U21" s="15" t="s">
        <v>75</v>
      </c>
      <c r="V21" s="15" t="s">
        <v>401</v>
      </c>
      <c r="W21" s="15" t="s">
        <v>75</v>
      </c>
      <c r="X21" s="15" t="s">
        <v>396</v>
      </c>
      <c r="Y21" s="13" t="str">
        <f t="shared" ref="Y21:Y31" si="27">("Forward Add-" &amp; D21)</f>
        <v>Forward Add-662</v>
      </c>
      <c r="Z21" s="15" t="s">
        <v>401</v>
      </c>
      <c r="AA21" s="136" t="str">
        <f>'Run Parameters'!$B$2</f>
        <v>2018-08-13 08:00</v>
      </c>
      <c r="AB21" s="223" t="str">
        <f>'Run Parameters'!B$3</f>
        <v>2018-08-13 18:00</v>
      </c>
      <c r="AC21" s="26">
        <f>('Run Parameters'!$B$2) - 7</f>
        <v>43318.333333333336</v>
      </c>
      <c r="AD21" s="15" t="s">
        <v>75</v>
      </c>
      <c r="AE21" s="13" t="str">
        <f t="shared" ref="AE21:AE31" si="28">("LAST_METER-" &amp; D21)</f>
        <v>LAST_METER-662</v>
      </c>
      <c r="AF21" s="136" t="str">
        <f>'Run Parameters'!$B$2</f>
        <v>2018-08-13 08:00</v>
      </c>
      <c r="AG21" s="13" t="str">
        <f>'Run Parameters'!B$4</f>
        <v>AUTOTEST2</v>
      </c>
      <c r="AH21" s="135" t="str">
        <f t="shared" ref="AH21:AH31" si="29">("Site_Contact_" &amp; D21)</f>
        <v>Site_Contact_662</v>
      </c>
      <c r="AI21" s="136" t="str">
        <f>'Run Parameters'!B$2</f>
        <v>2018-08-13 08:00</v>
      </c>
      <c r="AJ21" s="223" t="str">
        <f>'Run Parameters'!B$3</f>
        <v>2018-08-13 18:00</v>
      </c>
      <c r="AK21" s="13" t="s">
        <v>396</v>
      </c>
      <c r="AL21" s="135" t="str">
        <f t="shared" ref="AL21:AL31" si="30">"01159" &amp; D21</f>
        <v>01159662</v>
      </c>
      <c r="AM21" s="13" t="str">
        <f t="shared" ref="AM21:AM31" si="31">("0115" &amp; D21)</f>
        <v>0115662</v>
      </c>
      <c r="AN21" s="15"/>
      <c r="AO21" s="15"/>
      <c r="AP21" s="13">
        <v>1</v>
      </c>
      <c r="AQ21" s="15" t="s">
        <v>49</v>
      </c>
      <c r="AR21" s="15"/>
      <c r="AS21" s="13"/>
      <c r="AT21" s="15" t="s">
        <v>400</v>
      </c>
      <c r="AU21" s="15"/>
      <c r="AV21" s="13">
        <f t="shared" ref="AV21:AV31" si="32">D21</f>
        <v>662</v>
      </c>
      <c r="AW21" s="13" t="s">
        <v>1048</v>
      </c>
      <c r="AX21" s="13" t="s">
        <v>420</v>
      </c>
      <c r="AY21" s="13" t="s">
        <v>421</v>
      </c>
      <c r="AZ21" s="15" t="s">
        <v>334</v>
      </c>
      <c r="BA21" s="15" t="s">
        <v>154</v>
      </c>
      <c r="BB21" s="13"/>
      <c r="BC21" s="13"/>
      <c r="BD21" s="15"/>
      <c r="BE21" s="15"/>
      <c r="BF21" s="15"/>
      <c r="BG21" s="13"/>
      <c r="BH21" s="13"/>
      <c r="BI21" s="13"/>
      <c r="BJ21" s="13"/>
      <c r="BK21" s="15"/>
      <c r="BL21" s="15"/>
      <c r="BM21" s="13"/>
      <c r="BN21" s="15"/>
      <c r="BO21" s="13"/>
      <c r="BP21" s="15"/>
      <c r="BQ21" s="15"/>
      <c r="BR21" s="13"/>
      <c r="BS21" s="15"/>
      <c r="BT21" s="15"/>
      <c r="BU21" s="15"/>
      <c r="BV21" s="15"/>
      <c r="BW21" s="15"/>
      <c r="BX21" s="15"/>
      <c r="BY21" s="15"/>
      <c r="BZ21" s="15"/>
      <c r="CA21" s="15"/>
      <c r="CB21" s="15"/>
      <c r="CC21" s="15"/>
      <c r="CD21" s="15"/>
      <c r="CE21" s="15"/>
      <c r="CF21" s="15"/>
      <c r="CG21" s="15"/>
      <c r="CH21" s="15"/>
      <c r="CI21" s="13">
        <v>1</v>
      </c>
      <c r="CJ21" s="13" t="str">
        <f t="shared" ref="CJ21:CJ31" si="33">("GAS_ENQ_NO-" &amp; D21)</f>
        <v>GAS_ENQ_NO-662</v>
      </c>
      <c r="CK21" s="15" t="s">
        <v>1049</v>
      </c>
      <c r="CL21" s="15" t="s">
        <v>391</v>
      </c>
      <c r="CM21" s="15" t="s">
        <v>391</v>
      </c>
      <c r="CN21" s="13" t="s">
        <v>1047</v>
      </c>
      <c r="CO21" s="13" t="str">
        <f t="shared" ref="CO21:CO31" si="34">("GAS_JOB_ID-" &amp; D21)</f>
        <v>GAS_JOB_ID-662</v>
      </c>
      <c r="CP21" s="15"/>
      <c r="CQ21" s="13" t="str">
        <f t="shared" ref="CQ21:CQ31" si="35">"10000" &amp; D21</f>
        <v>10000662</v>
      </c>
      <c r="CR21" s="13" t="s">
        <v>154</v>
      </c>
      <c r="CS21" s="15" t="s">
        <v>51</v>
      </c>
      <c r="CT21" s="227" t="str">
        <f t="shared" ref="CT21:CT31" si="36">"GMETER" &amp; D21</f>
        <v>GMETER662</v>
      </c>
      <c r="CU21" s="13" t="s">
        <v>161</v>
      </c>
      <c r="CV21" s="15" t="s">
        <v>1049</v>
      </c>
      <c r="CW21" s="15" t="s">
        <v>414</v>
      </c>
      <c r="CX21" s="15"/>
      <c r="CY21" s="15"/>
      <c r="CZ21" s="15" t="s">
        <v>394</v>
      </c>
      <c r="DA21" s="15" t="s">
        <v>395</v>
      </c>
      <c r="DB21" s="13" t="str">
        <f t="shared" si="17"/>
        <v>GAS_INST_ID-662</v>
      </c>
      <c r="DC21" s="15" t="s">
        <v>161</v>
      </c>
      <c r="DD21" s="15"/>
      <c r="DE21" s="15" t="s">
        <v>51</v>
      </c>
      <c r="DF21" s="15" t="s">
        <v>264</v>
      </c>
      <c r="DG21" s="15"/>
      <c r="DH21" s="15" t="s">
        <v>397</v>
      </c>
      <c r="DI21" s="15" t="s">
        <v>399</v>
      </c>
      <c r="DJ21" s="15" t="s">
        <v>1050</v>
      </c>
      <c r="DK21" s="15" t="s">
        <v>140</v>
      </c>
      <c r="DL21" s="228"/>
      <c r="DM21" s="228"/>
      <c r="DN21" s="13" t="str">
        <f t="shared" si="18"/>
        <v>DS_Pass-662</v>
      </c>
      <c r="DO21" s="15"/>
      <c r="DP21" s="15"/>
      <c r="DQ21" s="15"/>
      <c r="DR21" s="13"/>
      <c r="DS21" s="13"/>
      <c r="DT21" s="15" t="s">
        <v>52</v>
      </c>
      <c r="DU21" s="15"/>
      <c r="DV21" s="15"/>
      <c r="DW21" s="13"/>
      <c r="DX21" s="15" t="s">
        <v>54</v>
      </c>
      <c r="DY21" s="15" t="s">
        <v>61</v>
      </c>
      <c r="DZ21" s="15" t="s">
        <v>402</v>
      </c>
      <c r="EA21" s="135" t="str">
        <f t="shared" ref="EA21:EA31" si="37">CONCATENATE(AV21, $EA$1, AW21, $EA$1, AX21, $EA$1, AY21)</f>
        <v>662CUSTOMER_ADDRESSRMVE1 ROADCUSTOMER_ADDRESSTESTINGHAMCUSTOMER_ADDRESSTESTINGHAMSHIRE</v>
      </c>
      <c r="EB21" s="15" t="s">
        <v>1050</v>
      </c>
      <c r="EC21" s="228"/>
      <c r="ED21" s="228"/>
      <c r="EE21" s="228"/>
    </row>
    <row r="22" spans="1:136" s="229" customFormat="1">
      <c r="A22" s="219" t="s">
        <v>1053</v>
      </c>
      <c r="B22" s="219" t="s">
        <v>892</v>
      </c>
      <c r="C22" s="219" t="s">
        <v>865</v>
      </c>
      <c r="D22" s="13">
        <f>'Run Parameters'!$B$1 + ROW()-1</f>
        <v>663</v>
      </c>
      <c r="E22" s="15" t="s">
        <v>47</v>
      </c>
      <c r="F22" s="13" t="s">
        <v>1047</v>
      </c>
      <c r="G22" s="13" t="str">
        <f t="shared" si="20"/>
        <v>Access Dtls-663</v>
      </c>
      <c r="H22" s="15" t="s">
        <v>275</v>
      </c>
      <c r="I22" s="13" t="str">
        <f>("MR. Test_21_RMVE1_"&amp;D22&amp;"")</f>
        <v>MR. Test_21_RMVE1_663</v>
      </c>
      <c r="J22" s="13"/>
      <c r="K22" s="19" t="s">
        <v>425</v>
      </c>
      <c r="L22" s="13" t="str">
        <f t="shared" si="21"/>
        <v>Cust. Ref-663</v>
      </c>
      <c r="M22" s="15" t="s">
        <v>48</v>
      </c>
      <c r="N22" s="15" t="s">
        <v>425</v>
      </c>
      <c r="O22" s="13"/>
      <c r="P22" s="13" t="str">
        <f t="shared" si="22"/>
        <v>SN-663</v>
      </c>
      <c r="Q22" s="13" t="str">
        <f t="shared" si="23"/>
        <v>SI-663</v>
      </c>
      <c r="R22" s="13" t="str">
        <f t="shared" si="24"/>
        <v>SE-663</v>
      </c>
      <c r="S22" s="135" t="str">
        <f t="shared" si="25"/>
        <v>Prev_RA-663</v>
      </c>
      <c r="T22" s="135" t="str">
        <f t="shared" si="26"/>
        <v>Prev_Comms-663</v>
      </c>
      <c r="U22" s="15" t="s">
        <v>75</v>
      </c>
      <c r="V22" s="15" t="s">
        <v>401</v>
      </c>
      <c r="W22" s="15" t="s">
        <v>75</v>
      </c>
      <c r="X22" s="15" t="s">
        <v>396</v>
      </c>
      <c r="Y22" s="13" t="str">
        <f t="shared" si="27"/>
        <v>Forward Add-663</v>
      </c>
      <c r="Z22" s="15" t="s">
        <v>401</v>
      </c>
      <c r="AA22" s="136" t="str">
        <f>'Run Parameters'!$B$2</f>
        <v>2018-08-13 08:00</v>
      </c>
      <c r="AB22" s="223" t="str">
        <f>'Run Parameters'!B$3</f>
        <v>2018-08-13 18:00</v>
      </c>
      <c r="AC22" s="26">
        <f>('Run Parameters'!$B$2) - 7</f>
        <v>43318.333333333336</v>
      </c>
      <c r="AD22" s="15" t="s">
        <v>75</v>
      </c>
      <c r="AE22" s="13" t="str">
        <f t="shared" si="28"/>
        <v>LAST_METER-663</v>
      </c>
      <c r="AF22" s="136" t="str">
        <f>'Run Parameters'!$B$2</f>
        <v>2018-08-13 08:00</v>
      </c>
      <c r="AG22" s="13" t="str">
        <f>'Run Parameters'!B$4</f>
        <v>AUTOTEST2</v>
      </c>
      <c r="AH22" s="135" t="str">
        <f t="shared" si="29"/>
        <v>Site_Contact_663</v>
      </c>
      <c r="AI22" s="136" t="str">
        <f>'Run Parameters'!B$2</f>
        <v>2018-08-13 08:00</v>
      </c>
      <c r="AJ22" s="223" t="str">
        <f>'Run Parameters'!B$3</f>
        <v>2018-08-13 18:00</v>
      </c>
      <c r="AK22" s="13" t="s">
        <v>396</v>
      </c>
      <c r="AL22" s="135" t="str">
        <f t="shared" si="30"/>
        <v>01159663</v>
      </c>
      <c r="AM22" s="13" t="str">
        <f t="shared" si="31"/>
        <v>0115663</v>
      </c>
      <c r="AN22" s="15"/>
      <c r="AO22" s="15"/>
      <c r="AP22" s="13">
        <v>1</v>
      </c>
      <c r="AQ22" s="15" t="s">
        <v>49</v>
      </c>
      <c r="AR22" s="15"/>
      <c r="AS22" s="13"/>
      <c r="AT22" s="15" t="s">
        <v>400</v>
      </c>
      <c r="AU22" s="15"/>
      <c r="AV22" s="13">
        <f t="shared" si="32"/>
        <v>663</v>
      </c>
      <c r="AW22" s="13" t="s">
        <v>1048</v>
      </c>
      <c r="AX22" s="13" t="s">
        <v>420</v>
      </c>
      <c r="AY22" s="13" t="s">
        <v>421</v>
      </c>
      <c r="AZ22" s="15" t="s">
        <v>334</v>
      </c>
      <c r="BA22" s="15" t="s">
        <v>154</v>
      </c>
      <c r="BB22" s="13"/>
      <c r="BC22" s="13"/>
      <c r="BD22" s="15"/>
      <c r="BE22" s="15"/>
      <c r="BF22" s="15"/>
      <c r="BG22" s="13"/>
      <c r="BH22" s="13"/>
      <c r="BI22" s="13"/>
      <c r="BJ22" s="13"/>
      <c r="BK22" s="15"/>
      <c r="BL22" s="15"/>
      <c r="BM22" s="13"/>
      <c r="BN22" s="15"/>
      <c r="BO22" s="13"/>
      <c r="BP22" s="15"/>
      <c r="BQ22" s="15"/>
      <c r="BR22" s="13"/>
      <c r="BS22" s="15"/>
      <c r="BT22" s="15"/>
      <c r="BU22" s="15"/>
      <c r="BV22" s="15"/>
      <c r="BW22" s="15"/>
      <c r="BX22" s="15"/>
      <c r="BY22" s="15"/>
      <c r="BZ22" s="15"/>
      <c r="CA22" s="15"/>
      <c r="CB22" s="15"/>
      <c r="CC22" s="15"/>
      <c r="CD22" s="15"/>
      <c r="CE22" s="15"/>
      <c r="CF22" s="15"/>
      <c r="CG22" s="15"/>
      <c r="CH22" s="15"/>
      <c r="CI22" s="13">
        <v>1</v>
      </c>
      <c r="CJ22" s="13" t="str">
        <f t="shared" si="33"/>
        <v>GAS_ENQ_NO-663</v>
      </c>
      <c r="CK22" s="15" t="s">
        <v>1049</v>
      </c>
      <c r="CL22" s="15" t="s">
        <v>391</v>
      </c>
      <c r="CM22" s="15" t="s">
        <v>391</v>
      </c>
      <c r="CN22" s="13" t="s">
        <v>1047</v>
      </c>
      <c r="CO22" s="13" t="str">
        <f t="shared" si="34"/>
        <v>GAS_JOB_ID-663</v>
      </c>
      <c r="CP22" s="15"/>
      <c r="CQ22" s="13" t="str">
        <f t="shared" si="35"/>
        <v>10000663</v>
      </c>
      <c r="CR22" s="13" t="s">
        <v>154</v>
      </c>
      <c r="CS22" s="15" t="s">
        <v>51</v>
      </c>
      <c r="CT22" s="227" t="str">
        <f t="shared" si="36"/>
        <v>GMETER663</v>
      </c>
      <c r="CU22" s="13" t="s">
        <v>161</v>
      </c>
      <c r="CV22" s="15" t="s">
        <v>1049</v>
      </c>
      <c r="CW22" s="15" t="s">
        <v>414</v>
      </c>
      <c r="CX22" s="15"/>
      <c r="CY22" s="15"/>
      <c r="CZ22" s="15" t="s">
        <v>394</v>
      </c>
      <c r="DA22" s="15" t="s">
        <v>395</v>
      </c>
      <c r="DB22" s="13" t="str">
        <f t="shared" si="17"/>
        <v>GAS_INST_ID-663</v>
      </c>
      <c r="DC22" s="15" t="s">
        <v>161</v>
      </c>
      <c r="DD22" s="15"/>
      <c r="DE22" s="15" t="s">
        <v>51</v>
      </c>
      <c r="DF22" s="15" t="s">
        <v>264</v>
      </c>
      <c r="DG22" s="15"/>
      <c r="DH22" s="15" t="s">
        <v>397</v>
      </c>
      <c r="DI22" s="15" t="s">
        <v>399</v>
      </c>
      <c r="DJ22" s="15" t="s">
        <v>1050</v>
      </c>
      <c r="DK22" s="15" t="s">
        <v>140</v>
      </c>
      <c r="DL22" s="228"/>
      <c r="DM22" s="228"/>
      <c r="DN22" s="13" t="str">
        <f t="shared" si="18"/>
        <v>DS_Pass-663</v>
      </c>
      <c r="DO22" s="15"/>
      <c r="DP22" s="15"/>
      <c r="DQ22" s="15"/>
      <c r="DR22" s="13"/>
      <c r="DS22" s="13"/>
      <c r="DT22" s="15" t="s">
        <v>52</v>
      </c>
      <c r="DU22" s="15"/>
      <c r="DV22" s="15"/>
      <c r="DW22" s="13"/>
      <c r="DX22" s="15" t="s">
        <v>54</v>
      </c>
      <c r="DY22" s="15" t="s">
        <v>61</v>
      </c>
      <c r="DZ22" s="15" t="s">
        <v>402</v>
      </c>
      <c r="EA22" s="135" t="str">
        <f t="shared" si="37"/>
        <v>663CUSTOMER_ADDRESSRMVE1 ROADCUSTOMER_ADDRESSTESTINGHAMCUSTOMER_ADDRESSTESTINGHAMSHIRE</v>
      </c>
      <c r="EB22" s="15" t="s">
        <v>1050</v>
      </c>
      <c r="EC22" s="228"/>
      <c r="ED22" s="228"/>
      <c r="EE22" s="228"/>
    </row>
    <row r="23" spans="1:136" s="229" customFormat="1">
      <c r="A23" s="219" t="s">
        <v>1054</v>
      </c>
      <c r="B23" s="219" t="s">
        <v>868</v>
      </c>
      <c r="C23" s="219" t="s">
        <v>865</v>
      </c>
      <c r="D23" s="13">
        <f>'Run Parameters'!$B$1 + ROW()-1</f>
        <v>664</v>
      </c>
      <c r="E23" s="15" t="s">
        <v>47</v>
      </c>
      <c r="F23" s="13" t="s">
        <v>1047</v>
      </c>
      <c r="G23" s="13" t="str">
        <f t="shared" si="20"/>
        <v>Access Dtls-664</v>
      </c>
      <c r="H23" s="15" t="s">
        <v>275</v>
      </c>
      <c r="I23" s="13" t="str">
        <f>("MR. Test_22_RMVE1_"&amp;D23&amp;"")</f>
        <v>MR. Test_22_RMVE1_664</v>
      </c>
      <c r="J23" s="13"/>
      <c r="K23" s="19" t="s">
        <v>425</v>
      </c>
      <c r="L23" s="13" t="str">
        <f t="shared" si="21"/>
        <v>Cust. Ref-664</v>
      </c>
      <c r="M23" s="15" t="s">
        <v>48</v>
      </c>
      <c r="N23" s="15" t="s">
        <v>425</v>
      </c>
      <c r="O23" s="13"/>
      <c r="P23" s="13" t="str">
        <f t="shared" si="22"/>
        <v>SN-664</v>
      </c>
      <c r="Q23" s="13" t="str">
        <f t="shared" si="23"/>
        <v>SI-664</v>
      </c>
      <c r="R23" s="13" t="str">
        <f t="shared" si="24"/>
        <v>SE-664</v>
      </c>
      <c r="S23" s="135" t="str">
        <f t="shared" si="25"/>
        <v>Prev_RA-664</v>
      </c>
      <c r="T23" s="135" t="str">
        <f t="shared" si="26"/>
        <v>Prev_Comms-664</v>
      </c>
      <c r="U23" s="15" t="s">
        <v>75</v>
      </c>
      <c r="V23" s="15" t="s">
        <v>401</v>
      </c>
      <c r="W23" s="15" t="s">
        <v>75</v>
      </c>
      <c r="X23" s="15" t="s">
        <v>396</v>
      </c>
      <c r="Y23" s="13" t="str">
        <f t="shared" si="27"/>
        <v>Forward Add-664</v>
      </c>
      <c r="Z23" s="15" t="s">
        <v>401</v>
      </c>
      <c r="AA23" s="136" t="str">
        <f>'Run Parameters'!$B$2</f>
        <v>2018-08-13 08:00</v>
      </c>
      <c r="AB23" s="223" t="str">
        <f>'Run Parameters'!B$3</f>
        <v>2018-08-13 18:00</v>
      </c>
      <c r="AC23" s="26">
        <f>('Run Parameters'!$B$2) - 7</f>
        <v>43318.333333333336</v>
      </c>
      <c r="AD23" s="15" t="s">
        <v>75</v>
      </c>
      <c r="AE23" s="13" t="str">
        <f t="shared" si="28"/>
        <v>LAST_METER-664</v>
      </c>
      <c r="AF23" s="136" t="str">
        <f>'Run Parameters'!$B$2</f>
        <v>2018-08-13 08:00</v>
      </c>
      <c r="AG23" s="13" t="str">
        <f>'Run Parameters'!B$4</f>
        <v>AUTOTEST2</v>
      </c>
      <c r="AH23" s="135" t="str">
        <f t="shared" si="29"/>
        <v>Site_Contact_664</v>
      </c>
      <c r="AI23" s="136" t="str">
        <f>'Run Parameters'!B$2</f>
        <v>2018-08-13 08:00</v>
      </c>
      <c r="AJ23" s="223" t="str">
        <f>'Run Parameters'!B$3</f>
        <v>2018-08-13 18:00</v>
      </c>
      <c r="AK23" s="13" t="s">
        <v>396</v>
      </c>
      <c r="AL23" s="135" t="str">
        <f t="shared" si="30"/>
        <v>01159664</v>
      </c>
      <c r="AM23" s="13" t="str">
        <f t="shared" si="31"/>
        <v>0115664</v>
      </c>
      <c r="AN23" s="15"/>
      <c r="AO23" s="15"/>
      <c r="AP23" s="13">
        <v>1</v>
      </c>
      <c r="AQ23" s="15" t="s">
        <v>49</v>
      </c>
      <c r="AR23" s="15"/>
      <c r="AS23" s="13"/>
      <c r="AT23" s="15" t="s">
        <v>400</v>
      </c>
      <c r="AU23" s="15"/>
      <c r="AV23" s="13">
        <f t="shared" si="32"/>
        <v>664</v>
      </c>
      <c r="AW23" s="13" t="s">
        <v>1048</v>
      </c>
      <c r="AX23" s="13" t="s">
        <v>420</v>
      </c>
      <c r="AY23" s="13" t="s">
        <v>421</v>
      </c>
      <c r="AZ23" s="15" t="s">
        <v>334</v>
      </c>
      <c r="BA23" s="15" t="s">
        <v>154</v>
      </c>
      <c r="BB23" s="13"/>
      <c r="BC23" s="13"/>
      <c r="BD23" s="15"/>
      <c r="BE23" s="15"/>
      <c r="BF23" s="15"/>
      <c r="BG23" s="13"/>
      <c r="BH23" s="13"/>
      <c r="BI23" s="13"/>
      <c r="BJ23" s="13"/>
      <c r="BK23" s="15"/>
      <c r="BL23" s="15"/>
      <c r="BM23" s="13"/>
      <c r="BN23" s="15"/>
      <c r="BO23" s="13"/>
      <c r="BP23" s="15"/>
      <c r="BQ23" s="15"/>
      <c r="BR23" s="13"/>
      <c r="BS23" s="15"/>
      <c r="BT23" s="15"/>
      <c r="BU23" s="15"/>
      <c r="BV23" s="15"/>
      <c r="BW23" s="15"/>
      <c r="BX23" s="15"/>
      <c r="BY23" s="15"/>
      <c r="BZ23" s="15"/>
      <c r="CA23" s="15"/>
      <c r="CB23" s="15"/>
      <c r="CC23" s="15"/>
      <c r="CD23" s="15"/>
      <c r="CE23" s="15"/>
      <c r="CF23" s="15"/>
      <c r="CG23" s="15"/>
      <c r="CH23" s="15"/>
      <c r="CI23" s="13">
        <v>1</v>
      </c>
      <c r="CJ23" s="13" t="str">
        <f t="shared" si="33"/>
        <v>GAS_ENQ_NO-664</v>
      </c>
      <c r="CK23" s="15" t="s">
        <v>1049</v>
      </c>
      <c r="CL23" s="15" t="s">
        <v>391</v>
      </c>
      <c r="CM23" s="15" t="s">
        <v>391</v>
      </c>
      <c r="CN23" s="13" t="s">
        <v>1047</v>
      </c>
      <c r="CO23" s="13" t="str">
        <f t="shared" si="34"/>
        <v>GAS_JOB_ID-664</v>
      </c>
      <c r="CP23" s="15"/>
      <c r="CQ23" s="13" t="str">
        <f t="shared" si="35"/>
        <v>10000664</v>
      </c>
      <c r="CR23" s="13" t="s">
        <v>154</v>
      </c>
      <c r="CS23" s="15" t="s">
        <v>51</v>
      </c>
      <c r="CT23" s="227" t="str">
        <f t="shared" si="36"/>
        <v>GMETER664</v>
      </c>
      <c r="CU23" s="13" t="s">
        <v>161</v>
      </c>
      <c r="CV23" s="15" t="s">
        <v>1049</v>
      </c>
      <c r="CW23" s="15" t="s">
        <v>414</v>
      </c>
      <c r="CX23" s="15"/>
      <c r="CY23" s="15"/>
      <c r="CZ23" s="15" t="s">
        <v>394</v>
      </c>
      <c r="DA23" s="15" t="s">
        <v>395</v>
      </c>
      <c r="DB23" s="13" t="str">
        <f t="shared" si="17"/>
        <v>GAS_INST_ID-664</v>
      </c>
      <c r="DC23" s="15" t="s">
        <v>161</v>
      </c>
      <c r="DD23" s="15"/>
      <c r="DE23" s="15" t="s">
        <v>51</v>
      </c>
      <c r="DF23" s="15" t="s">
        <v>264</v>
      </c>
      <c r="DG23" s="15"/>
      <c r="DH23" s="15" t="s">
        <v>397</v>
      </c>
      <c r="DI23" s="15" t="s">
        <v>399</v>
      </c>
      <c r="DJ23" s="15" t="s">
        <v>1050</v>
      </c>
      <c r="DK23" s="15" t="s">
        <v>140</v>
      </c>
      <c r="DL23" s="228"/>
      <c r="DM23" s="228"/>
      <c r="DN23" s="13" t="str">
        <f t="shared" si="18"/>
        <v>DS_Pass-664</v>
      </c>
      <c r="DO23" s="15"/>
      <c r="DP23" s="15"/>
      <c r="DQ23" s="15"/>
      <c r="DR23" s="13"/>
      <c r="DS23" s="13"/>
      <c r="DT23" s="15" t="s">
        <v>52</v>
      </c>
      <c r="DU23" s="15"/>
      <c r="DV23" s="15"/>
      <c r="DW23" s="13"/>
      <c r="DX23" s="15" t="s">
        <v>54</v>
      </c>
      <c r="DY23" s="15" t="s">
        <v>61</v>
      </c>
      <c r="DZ23" s="15" t="s">
        <v>402</v>
      </c>
      <c r="EA23" s="135" t="str">
        <f t="shared" si="37"/>
        <v>664CUSTOMER_ADDRESSRMVE1 ROADCUSTOMER_ADDRESSTESTINGHAMCUSTOMER_ADDRESSTESTINGHAMSHIRE</v>
      </c>
      <c r="EB23" s="15" t="s">
        <v>1050</v>
      </c>
      <c r="EC23" s="228"/>
      <c r="ED23" s="228"/>
      <c r="EE23" s="228"/>
    </row>
    <row r="24" spans="1:136" s="229" customFormat="1">
      <c r="A24" s="219" t="s">
        <v>1055</v>
      </c>
      <c r="B24" s="219" t="s">
        <v>892</v>
      </c>
      <c r="C24" s="219" t="s">
        <v>865</v>
      </c>
      <c r="D24" s="13">
        <f>'Run Parameters'!$B$1 + ROW()-1</f>
        <v>665</v>
      </c>
      <c r="E24" s="15" t="s">
        <v>47</v>
      </c>
      <c r="F24" s="13" t="s">
        <v>1047</v>
      </c>
      <c r="G24" s="13" t="str">
        <f t="shared" si="20"/>
        <v>Access Dtls-665</v>
      </c>
      <c r="H24" s="15" t="s">
        <v>275</v>
      </c>
      <c r="I24" s="13" t="str">
        <f>("MR. Test_23_RMVE1_"&amp;D24&amp;"")</f>
        <v>MR. Test_23_RMVE1_665</v>
      </c>
      <c r="J24" s="13"/>
      <c r="K24" s="19" t="s">
        <v>425</v>
      </c>
      <c r="L24" s="13" t="str">
        <f t="shared" si="21"/>
        <v>Cust. Ref-665</v>
      </c>
      <c r="M24" s="15" t="s">
        <v>48</v>
      </c>
      <c r="N24" s="15" t="s">
        <v>425</v>
      </c>
      <c r="O24" s="13"/>
      <c r="P24" s="13" t="str">
        <f t="shared" si="22"/>
        <v>SN-665</v>
      </c>
      <c r="Q24" s="13" t="str">
        <f t="shared" si="23"/>
        <v>SI-665</v>
      </c>
      <c r="R24" s="13" t="str">
        <f t="shared" si="24"/>
        <v>SE-665</v>
      </c>
      <c r="S24" s="135" t="str">
        <f t="shared" si="25"/>
        <v>Prev_RA-665</v>
      </c>
      <c r="T24" s="135" t="str">
        <f t="shared" si="26"/>
        <v>Prev_Comms-665</v>
      </c>
      <c r="U24" s="15" t="s">
        <v>75</v>
      </c>
      <c r="V24" s="15" t="s">
        <v>401</v>
      </c>
      <c r="W24" s="15" t="s">
        <v>75</v>
      </c>
      <c r="X24" s="15" t="s">
        <v>396</v>
      </c>
      <c r="Y24" s="13" t="str">
        <f t="shared" si="27"/>
        <v>Forward Add-665</v>
      </c>
      <c r="Z24" s="15" t="s">
        <v>401</v>
      </c>
      <c r="AA24" s="136" t="str">
        <f>'Run Parameters'!$B$2</f>
        <v>2018-08-13 08:00</v>
      </c>
      <c r="AB24" s="223" t="str">
        <f>'Run Parameters'!B$3</f>
        <v>2018-08-13 18:00</v>
      </c>
      <c r="AC24" s="26">
        <f>('Run Parameters'!$B$2) - 7</f>
        <v>43318.333333333336</v>
      </c>
      <c r="AD24" s="15" t="s">
        <v>75</v>
      </c>
      <c r="AE24" s="13" t="str">
        <f t="shared" si="28"/>
        <v>LAST_METER-665</v>
      </c>
      <c r="AF24" s="136" t="str">
        <f>'Run Parameters'!$B$2</f>
        <v>2018-08-13 08:00</v>
      </c>
      <c r="AG24" s="13" t="str">
        <f>'Run Parameters'!B$4</f>
        <v>AUTOTEST2</v>
      </c>
      <c r="AH24" s="135" t="str">
        <f t="shared" si="29"/>
        <v>Site_Contact_665</v>
      </c>
      <c r="AI24" s="136" t="str">
        <f>'Run Parameters'!B$2</f>
        <v>2018-08-13 08:00</v>
      </c>
      <c r="AJ24" s="223" t="str">
        <f>'Run Parameters'!B$3</f>
        <v>2018-08-13 18:00</v>
      </c>
      <c r="AK24" s="13" t="s">
        <v>396</v>
      </c>
      <c r="AL24" s="135" t="str">
        <f t="shared" si="30"/>
        <v>01159665</v>
      </c>
      <c r="AM24" s="13" t="str">
        <f t="shared" si="31"/>
        <v>0115665</v>
      </c>
      <c r="AN24" s="15"/>
      <c r="AO24" s="15"/>
      <c r="AP24" s="13">
        <v>1</v>
      </c>
      <c r="AQ24" s="15" t="s">
        <v>49</v>
      </c>
      <c r="AR24" s="15"/>
      <c r="AS24" s="13"/>
      <c r="AT24" s="15" t="s">
        <v>400</v>
      </c>
      <c r="AU24" s="15"/>
      <c r="AV24" s="13">
        <f t="shared" si="32"/>
        <v>665</v>
      </c>
      <c r="AW24" s="13" t="s">
        <v>1048</v>
      </c>
      <c r="AX24" s="13" t="s">
        <v>420</v>
      </c>
      <c r="AY24" s="13" t="s">
        <v>421</v>
      </c>
      <c r="AZ24" s="15" t="s">
        <v>334</v>
      </c>
      <c r="BA24" s="15" t="s">
        <v>154</v>
      </c>
      <c r="BB24" s="13"/>
      <c r="BC24" s="13"/>
      <c r="BD24" s="15"/>
      <c r="BE24" s="15"/>
      <c r="BF24" s="15"/>
      <c r="BG24" s="13"/>
      <c r="BH24" s="13"/>
      <c r="BI24" s="13"/>
      <c r="BJ24" s="13"/>
      <c r="BK24" s="15"/>
      <c r="BL24" s="15"/>
      <c r="BM24" s="13"/>
      <c r="BN24" s="15"/>
      <c r="BO24" s="13"/>
      <c r="BP24" s="15"/>
      <c r="BQ24" s="15"/>
      <c r="BR24" s="13"/>
      <c r="BS24" s="15"/>
      <c r="BT24" s="15"/>
      <c r="BU24" s="15"/>
      <c r="BV24" s="15"/>
      <c r="BW24" s="15"/>
      <c r="BX24" s="15"/>
      <c r="BY24" s="15"/>
      <c r="BZ24" s="15"/>
      <c r="CA24" s="15"/>
      <c r="CB24" s="15"/>
      <c r="CC24" s="15"/>
      <c r="CD24" s="15"/>
      <c r="CE24" s="15"/>
      <c r="CF24" s="15"/>
      <c r="CG24" s="15"/>
      <c r="CH24" s="15"/>
      <c r="CI24" s="13">
        <v>1</v>
      </c>
      <c r="CJ24" s="13" t="str">
        <f t="shared" si="33"/>
        <v>GAS_ENQ_NO-665</v>
      </c>
      <c r="CK24" s="15" t="s">
        <v>1049</v>
      </c>
      <c r="CL24" s="15" t="s">
        <v>391</v>
      </c>
      <c r="CM24" s="15" t="s">
        <v>391</v>
      </c>
      <c r="CN24" s="13" t="s">
        <v>1047</v>
      </c>
      <c r="CO24" s="13" t="str">
        <f t="shared" si="34"/>
        <v>GAS_JOB_ID-665</v>
      </c>
      <c r="CP24" s="15"/>
      <c r="CQ24" s="13" t="str">
        <f t="shared" si="35"/>
        <v>10000665</v>
      </c>
      <c r="CR24" s="13" t="s">
        <v>154</v>
      </c>
      <c r="CS24" s="15" t="s">
        <v>51</v>
      </c>
      <c r="CT24" s="227" t="str">
        <f t="shared" si="36"/>
        <v>GMETER665</v>
      </c>
      <c r="CU24" s="13" t="s">
        <v>161</v>
      </c>
      <c r="CV24" s="15" t="s">
        <v>1049</v>
      </c>
      <c r="CW24" s="15" t="s">
        <v>414</v>
      </c>
      <c r="CX24" s="15"/>
      <c r="CY24" s="15"/>
      <c r="CZ24" s="15" t="s">
        <v>394</v>
      </c>
      <c r="DA24" s="15" t="s">
        <v>395</v>
      </c>
      <c r="DB24" s="13" t="str">
        <f t="shared" si="17"/>
        <v>GAS_INST_ID-665</v>
      </c>
      <c r="DC24" s="15" t="s">
        <v>161</v>
      </c>
      <c r="DD24" s="15"/>
      <c r="DE24" s="15" t="s">
        <v>51</v>
      </c>
      <c r="DF24" s="15" t="s">
        <v>264</v>
      </c>
      <c r="DG24" s="15"/>
      <c r="DH24" s="15" t="s">
        <v>397</v>
      </c>
      <c r="DI24" s="15" t="s">
        <v>399</v>
      </c>
      <c r="DJ24" s="15" t="s">
        <v>1050</v>
      </c>
      <c r="DK24" s="15" t="s">
        <v>140</v>
      </c>
      <c r="DL24" s="228"/>
      <c r="DM24" s="228"/>
      <c r="DN24" s="13" t="str">
        <f t="shared" si="18"/>
        <v>DS_Pass-665</v>
      </c>
      <c r="DO24" s="15"/>
      <c r="DP24" s="15"/>
      <c r="DQ24" s="15"/>
      <c r="DR24" s="13"/>
      <c r="DS24" s="13"/>
      <c r="DT24" s="15" t="s">
        <v>52</v>
      </c>
      <c r="DU24" s="15"/>
      <c r="DV24" s="15"/>
      <c r="DW24" s="13"/>
      <c r="DX24" s="15" t="s">
        <v>54</v>
      </c>
      <c r="DY24" s="15" t="s">
        <v>61</v>
      </c>
      <c r="DZ24" s="15" t="s">
        <v>402</v>
      </c>
      <c r="EA24" s="135" t="str">
        <f t="shared" si="37"/>
        <v>665CUSTOMER_ADDRESSRMVE1 ROADCUSTOMER_ADDRESSTESTINGHAMCUSTOMER_ADDRESSTESTINGHAMSHIRE</v>
      </c>
      <c r="EB24" s="15" t="s">
        <v>1050</v>
      </c>
      <c r="EC24" s="228"/>
      <c r="ED24" s="228"/>
      <c r="EE24" s="228"/>
    </row>
    <row r="25" spans="1:136" s="229" customFormat="1">
      <c r="A25" s="219" t="s">
        <v>1091</v>
      </c>
      <c r="B25" s="219" t="s">
        <v>892</v>
      </c>
      <c r="C25" s="219" t="s">
        <v>865</v>
      </c>
      <c r="D25" s="13">
        <f>'Run Parameters'!$B$1 + ROW()-1</f>
        <v>666</v>
      </c>
      <c r="E25" s="15" t="s">
        <v>47</v>
      </c>
      <c r="F25" s="13" t="s">
        <v>1047</v>
      </c>
      <c r="G25" s="13" t="str">
        <f t="shared" si="20"/>
        <v>Access Dtls-666</v>
      </c>
      <c r="H25" s="15" t="s">
        <v>275</v>
      </c>
      <c r="I25" s="13" t="str">
        <f>("MR. Test_24_RMVE1_"&amp;D25&amp;"")</f>
        <v>MR. Test_24_RMVE1_666</v>
      </c>
      <c r="J25" s="13"/>
      <c r="K25" s="19" t="s">
        <v>425</v>
      </c>
      <c r="L25" s="13" t="str">
        <f t="shared" si="21"/>
        <v>Cust. Ref-666</v>
      </c>
      <c r="M25" s="15" t="s">
        <v>48</v>
      </c>
      <c r="N25" s="15" t="s">
        <v>425</v>
      </c>
      <c r="O25" s="13"/>
      <c r="P25" s="13" t="str">
        <f t="shared" si="22"/>
        <v>SN-666</v>
      </c>
      <c r="Q25" s="13" t="str">
        <f t="shared" si="23"/>
        <v>SI-666</v>
      </c>
      <c r="R25" s="13" t="str">
        <f t="shared" si="24"/>
        <v>SE-666</v>
      </c>
      <c r="S25" s="135" t="str">
        <f t="shared" si="25"/>
        <v>Prev_RA-666</v>
      </c>
      <c r="T25" s="135" t="str">
        <f t="shared" si="26"/>
        <v>Prev_Comms-666</v>
      </c>
      <c r="U25" s="15" t="s">
        <v>75</v>
      </c>
      <c r="V25" s="15" t="s">
        <v>401</v>
      </c>
      <c r="W25" s="15" t="s">
        <v>75</v>
      </c>
      <c r="X25" s="15" t="s">
        <v>1081</v>
      </c>
      <c r="Y25" s="13" t="str">
        <f t="shared" si="27"/>
        <v>Forward Add-666</v>
      </c>
      <c r="Z25" s="15" t="s">
        <v>401</v>
      </c>
      <c r="AA25" s="136" t="str">
        <f>'Run Parameters'!$B$2</f>
        <v>2018-08-13 08:00</v>
      </c>
      <c r="AB25" s="223" t="str">
        <f>'Run Parameters'!B$3</f>
        <v>2018-08-13 18:00</v>
      </c>
      <c r="AC25" s="26">
        <f>('Run Parameters'!$B$2) - 7</f>
        <v>43318.333333333336</v>
      </c>
      <c r="AD25" s="15" t="s">
        <v>75</v>
      </c>
      <c r="AE25" s="13" t="str">
        <f t="shared" si="28"/>
        <v>LAST_METER-666</v>
      </c>
      <c r="AF25" s="136" t="str">
        <f>'Run Parameters'!$B$2</f>
        <v>2018-08-13 08:00</v>
      </c>
      <c r="AG25" s="13" t="str">
        <f>'Run Parameters'!B$4</f>
        <v>AUTOTEST2</v>
      </c>
      <c r="AH25" s="135" t="str">
        <f t="shared" si="29"/>
        <v>Site_Contact_666</v>
      </c>
      <c r="AI25" s="136" t="str">
        <f>'Run Parameters'!B$2</f>
        <v>2018-08-13 08:00</v>
      </c>
      <c r="AJ25" s="223" t="str">
        <f>'Run Parameters'!B$3</f>
        <v>2018-08-13 18:00</v>
      </c>
      <c r="AK25" s="13" t="s">
        <v>1081</v>
      </c>
      <c r="AL25" s="135" t="str">
        <f t="shared" si="30"/>
        <v>01159666</v>
      </c>
      <c r="AM25" s="13" t="str">
        <f t="shared" si="31"/>
        <v>0115666</v>
      </c>
      <c r="AN25" s="15"/>
      <c r="AO25" s="15"/>
      <c r="AP25" s="13">
        <v>1</v>
      </c>
      <c r="AQ25" s="15" t="s">
        <v>49</v>
      </c>
      <c r="AR25" s="15"/>
      <c r="AS25" s="13"/>
      <c r="AT25" s="15" t="s">
        <v>400</v>
      </c>
      <c r="AU25" s="15"/>
      <c r="AV25" s="13">
        <f t="shared" si="32"/>
        <v>666</v>
      </c>
      <c r="AW25" s="13" t="s">
        <v>1048</v>
      </c>
      <c r="AX25" s="13" t="s">
        <v>420</v>
      </c>
      <c r="AY25" s="13" t="s">
        <v>421</v>
      </c>
      <c r="AZ25" s="15" t="s">
        <v>334</v>
      </c>
      <c r="BA25" s="15" t="s">
        <v>154</v>
      </c>
      <c r="BB25" s="13"/>
      <c r="BC25" s="13"/>
      <c r="BD25" s="15"/>
      <c r="BE25" s="15"/>
      <c r="BF25" s="15"/>
      <c r="BG25" s="13"/>
      <c r="BH25" s="13"/>
      <c r="BI25" s="13"/>
      <c r="BJ25" s="13"/>
      <c r="BK25" s="15"/>
      <c r="BL25" s="15"/>
      <c r="BM25" s="13"/>
      <c r="BN25" s="15"/>
      <c r="BO25" s="13"/>
      <c r="BP25" s="15"/>
      <c r="BQ25" s="15"/>
      <c r="BR25" s="13"/>
      <c r="BS25" s="15"/>
      <c r="BT25" s="15"/>
      <c r="BU25" s="15"/>
      <c r="BV25" s="15"/>
      <c r="BW25" s="15"/>
      <c r="BX25" s="15"/>
      <c r="BY25" s="15"/>
      <c r="BZ25" s="15"/>
      <c r="CA25" s="15"/>
      <c r="CB25" s="15"/>
      <c r="CC25" s="15"/>
      <c r="CD25" s="15"/>
      <c r="CE25" s="15"/>
      <c r="CF25" s="15"/>
      <c r="CG25" s="15"/>
      <c r="CH25" s="15"/>
      <c r="CI25" s="13">
        <v>1</v>
      </c>
      <c r="CJ25" s="13" t="str">
        <f t="shared" si="33"/>
        <v>GAS_ENQ_NO-666</v>
      </c>
      <c r="CK25" s="15" t="s">
        <v>1049</v>
      </c>
      <c r="CL25" s="15" t="s">
        <v>391</v>
      </c>
      <c r="CM25" s="15" t="s">
        <v>391</v>
      </c>
      <c r="CN25" s="13" t="s">
        <v>1047</v>
      </c>
      <c r="CO25" s="13" t="str">
        <f t="shared" si="34"/>
        <v>GAS_JOB_ID-666</v>
      </c>
      <c r="CP25" s="15"/>
      <c r="CQ25" s="13" t="str">
        <f t="shared" si="35"/>
        <v>10000666</v>
      </c>
      <c r="CR25" s="13" t="s">
        <v>154</v>
      </c>
      <c r="CS25" s="15" t="s">
        <v>51</v>
      </c>
      <c r="CT25" s="227" t="str">
        <f t="shared" si="36"/>
        <v>GMETER666</v>
      </c>
      <c r="CU25" s="13" t="s">
        <v>161</v>
      </c>
      <c r="CV25" s="15" t="s">
        <v>1049</v>
      </c>
      <c r="CW25" s="15" t="s">
        <v>414</v>
      </c>
      <c r="CX25" s="15"/>
      <c r="CY25" s="15"/>
      <c r="CZ25" s="15" t="s">
        <v>394</v>
      </c>
      <c r="DA25" s="15" t="s">
        <v>395</v>
      </c>
      <c r="DB25" s="13" t="str">
        <f t="shared" si="17"/>
        <v>GAS_INST_ID-666</v>
      </c>
      <c r="DC25" s="15" t="s">
        <v>161</v>
      </c>
      <c r="DD25" s="15"/>
      <c r="DE25" s="15" t="s">
        <v>51</v>
      </c>
      <c r="DF25" s="15" t="s">
        <v>264</v>
      </c>
      <c r="DG25" s="15"/>
      <c r="DH25" s="15" t="s">
        <v>397</v>
      </c>
      <c r="DI25" s="15" t="s">
        <v>399</v>
      </c>
      <c r="DJ25" s="15" t="s">
        <v>1050</v>
      </c>
      <c r="DK25" s="15" t="s">
        <v>140</v>
      </c>
      <c r="DL25" s="228"/>
      <c r="DM25" s="228"/>
      <c r="DN25" s="13" t="str">
        <f t="shared" si="18"/>
        <v>DS_Pass-666</v>
      </c>
      <c r="DO25" s="15"/>
      <c r="DP25" s="15"/>
      <c r="DQ25" s="15"/>
      <c r="DR25" s="13"/>
      <c r="DS25" s="13"/>
      <c r="DT25" s="15" t="s">
        <v>52</v>
      </c>
      <c r="DU25" s="15"/>
      <c r="DV25" s="15"/>
      <c r="DW25" s="13"/>
      <c r="DX25" s="15" t="s">
        <v>54</v>
      </c>
      <c r="DY25" s="15" t="s">
        <v>61</v>
      </c>
      <c r="DZ25" s="15" t="s">
        <v>402</v>
      </c>
      <c r="EA25" s="135" t="str">
        <f t="shared" si="37"/>
        <v>666CUSTOMER_ADDRESSRMVE1 ROADCUSTOMER_ADDRESSTESTINGHAMCUSTOMER_ADDRESSTESTINGHAMSHIRE</v>
      </c>
      <c r="EB25" s="15" t="s">
        <v>1050</v>
      </c>
      <c r="EC25" s="228"/>
      <c r="ED25" s="228"/>
      <c r="EE25" s="228"/>
    </row>
    <row r="26" spans="1:136" s="229" customFormat="1">
      <c r="A26" s="219" t="s">
        <v>1056</v>
      </c>
      <c r="B26" s="219" t="s">
        <v>892</v>
      </c>
      <c r="C26" s="219" t="s">
        <v>865</v>
      </c>
      <c r="D26" s="13">
        <f>'Run Parameters'!$B$1 + ROW()-1</f>
        <v>667</v>
      </c>
      <c r="E26" s="15" t="s">
        <v>47</v>
      </c>
      <c r="F26" s="13" t="s">
        <v>1047</v>
      </c>
      <c r="G26" s="13" t="str">
        <f t="shared" si="20"/>
        <v>Access Dtls-667</v>
      </c>
      <c r="H26" s="15" t="s">
        <v>275</v>
      </c>
      <c r="I26" s="13" t="str">
        <f>("MR. Test_25_RMVE1_"&amp;D26&amp;"")</f>
        <v>MR. Test_25_RMVE1_667</v>
      </c>
      <c r="J26" s="13"/>
      <c r="K26" s="19" t="s">
        <v>425</v>
      </c>
      <c r="L26" s="13" t="str">
        <f t="shared" si="21"/>
        <v>Cust. Ref-667</v>
      </c>
      <c r="M26" s="15" t="s">
        <v>48</v>
      </c>
      <c r="N26" s="15" t="s">
        <v>425</v>
      </c>
      <c r="O26" s="13"/>
      <c r="P26" s="13" t="str">
        <f t="shared" si="22"/>
        <v>SN-667</v>
      </c>
      <c r="Q26" s="13" t="str">
        <f t="shared" si="23"/>
        <v>SI-667</v>
      </c>
      <c r="R26" s="13" t="str">
        <f t="shared" si="24"/>
        <v>SE-667</v>
      </c>
      <c r="S26" s="135" t="str">
        <f t="shared" si="25"/>
        <v>Prev_RA-667</v>
      </c>
      <c r="T26" s="135" t="str">
        <f t="shared" si="26"/>
        <v>Prev_Comms-667</v>
      </c>
      <c r="U26" s="15" t="s">
        <v>75</v>
      </c>
      <c r="V26" s="15" t="s">
        <v>401</v>
      </c>
      <c r="W26" s="15" t="s">
        <v>75</v>
      </c>
      <c r="X26" s="15" t="s">
        <v>396</v>
      </c>
      <c r="Y26" s="13" t="str">
        <f t="shared" si="27"/>
        <v>Forward Add-667</v>
      </c>
      <c r="Z26" s="15" t="s">
        <v>401</v>
      </c>
      <c r="AA26" s="136" t="str">
        <f>'Run Parameters'!$B$2</f>
        <v>2018-08-13 08:00</v>
      </c>
      <c r="AB26" s="223" t="str">
        <f>'Run Parameters'!B$3</f>
        <v>2018-08-13 18:00</v>
      </c>
      <c r="AC26" s="26">
        <f>('Run Parameters'!$B$2) - 7</f>
        <v>43318.333333333336</v>
      </c>
      <c r="AD26" s="15" t="s">
        <v>75</v>
      </c>
      <c r="AE26" s="13" t="str">
        <f t="shared" si="28"/>
        <v>LAST_METER-667</v>
      </c>
      <c r="AF26" s="136" t="str">
        <f>'Run Parameters'!$B$2</f>
        <v>2018-08-13 08:00</v>
      </c>
      <c r="AG26" s="13" t="str">
        <f>'Run Parameters'!B$4</f>
        <v>AUTOTEST2</v>
      </c>
      <c r="AH26" s="135" t="str">
        <f t="shared" si="29"/>
        <v>Site_Contact_667</v>
      </c>
      <c r="AI26" s="136" t="str">
        <f>'Run Parameters'!B$2</f>
        <v>2018-08-13 08:00</v>
      </c>
      <c r="AJ26" s="223" t="str">
        <f>'Run Parameters'!B$3</f>
        <v>2018-08-13 18:00</v>
      </c>
      <c r="AK26" s="13" t="s">
        <v>396</v>
      </c>
      <c r="AL26" s="135" t="str">
        <f t="shared" si="30"/>
        <v>01159667</v>
      </c>
      <c r="AM26" s="13" t="str">
        <f t="shared" si="31"/>
        <v>0115667</v>
      </c>
      <c r="AN26" s="15"/>
      <c r="AO26" s="15"/>
      <c r="AP26" s="13">
        <v>1</v>
      </c>
      <c r="AQ26" s="15" t="s">
        <v>49</v>
      </c>
      <c r="AR26" s="15"/>
      <c r="AS26" s="13"/>
      <c r="AT26" s="15" t="s">
        <v>400</v>
      </c>
      <c r="AU26" s="15"/>
      <c r="AV26" s="13">
        <f t="shared" si="32"/>
        <v>667</v>
      </c>
      <c r="AW26" s="13" t="s">
        <v>1048</v>
      </c>
      <c r="AX26" s="13" t="s">
        <v>420</v>
      </c>
      <c r="AY26" s="13" t="s">
        <v>421</v>
      </c>
      <c r="AZ26" s="15" t="s">
        <v>334</v>
      </c>
      <c r="BA26" s="15" t="s">
        <v>154</v>
      </c>
      <c r="BB26" s="13"/>
      <c r="BC26" s="13"/>
      <c r="BD26" s="15"/>
      <c r="BE26" s="15"/>
      <c r="BF26" s="15"/>
      <c r="BG26" s="13"/>
      <c r="BH26" s="13"/>
      <c r="BI26" s="13"/>
      <c r="BJ26" s="13"/>
      <c r="BK26" s="15"/>
      <c r="BL26" s="15"/>
      <c r="BM26" s="13"/>
      <c r="BN26" s="15"/>
      <c r="BO26" s="13"/>
      <c r="BP26" s="15"/>
      <c r="BQ26" s="15"/>
      <c r="BR26" s="13"/>
      <c r="BS26" s="15"/>
      <c r="BT26" s="15"/>
      <c r="BU26" s="15"/>
      <c r="BV26" s="15"/>
      <c r="BW26" s="15"/>
      <c r="BX26" s="15"/>
      <c r="BY26" s="15"/>
      <c r="BZ26" s="15"/>
      <c r="CA26" s="15"/>
      <c r="CB26" s="15"/>
      <c r="CC26" s="15"/>
      <c r="CD26" s="15"/>
      <c r="CE26" s="15"/>
      <c r="CF26" s="15"/>
      <c r="CG26" s="15"/>
      <c r="CH26" s="15"/>
      <c r="CI26" s="13">
        <v>1</v>
      </c>
      <c r="CJ26" s="13" t="str">
        <f t="shared" si="33"/>
        <v>GAS_ENQ_NO-667</v>
      </c>
      <c r="CK26" s="15" t="s">
        <v>1049</v>
      </c>
      <c r="CL26" s="15" t="s">
        <v>391</v>
      </c>
      <c r="CM26" s="15" t="s">
        <v>391</v>
      </c>
      <c r="CN26" s="13" t="s">
        <v>1047</v>
      </c>
      <c r="CO26" s="13" t="str">
        <f t="shared" si="34"/>
        <v>GAS_JOB_ID-667</v>
      </c>
      <c r="CP26" s="15"/>
      <c r="CQ26" s="13" t="str">
        <f t="shared" si="35"/>
        <v>10000667</v>
      </c>
      <c r="CR26" s="13" t="s">
        <v>154</v>
      </c>
      <c r="CS26" s="15" t="s">
        <v>51</v>
      </c>
      <c r="CT26" s="227" t="str">
        <f t="shared" si="36"/>
        <v>GMETER667</v>
      </c>
      <c r="CU26" s="13" t="s">
        <v>161</v>
      </c>
      <c r="CV26" s="15" t="s">
        <v>1049</v>
      </c>
      <c r="CW26" s="15" t="s">
        <v>414</v>
      </c>
      <c r="CX26" s="15"/>
      <c r="CY26" s="15"/>
      <c r="CZ26" s="15" t="s">
        <v>394</v>
      </c>
      <c r="DA26" s="15" t="s">
        <v>395</v>
      </c>
      <c r="DB26" s="13" t="str">
        <f t="shared" si="17"/>
        <v>GAS_INST_ID-667</v>
      </c>
      <c r="DC26" s="15" t="s">
        <v>161</v>
      </c>
      <c r="DD26" s="15"/>
      <c r="DE26" s="15" t="s">
        <v>51</v>
      </c>
      <c r="DF26" s="15" t="s">
        <v>264</v>
      </c>
      <c r="DG26" s="15"/>
      <c r="DH26" s="15" t="s">
        <v>397</v>
      </c>
      <c r="DI26" s="15" t="s">
        <v>399</v>
      </c>
      <c r="DJ26" s="15" t="s">
        <v>1050</v>
      </c>
      <c r="DK26" s="15" t="s">
        <v>140</v>
      </c>
      <c r="DL26" s="228"/>
      <c r="DM26" s="228"/>
      <c r="DN26" s="13" t="str">
        <f t="shared" si="18"/>
        <v>DS_Pass-667</v>
      </c>
      <c r="DO26" s="15"/>
      <c r="DP26" s="15"/>
      <c r="DQ26" s="15"/>
      <c r="DR26" s="13"/>
      <c r="DS26" s="13"/>
      <c r="DT26" s="15" t="s">
        <v>52</v>
      </c>
      <c r="DU26" s="15"/>
      <c r="DV26" s="15"/>
      <c r="DW26" s="13"/>
      <c r="DX26" s="15" t="s">
        <v>54</v>
      </c>
      <c r="DY26" s="15" t="s">
        <v>61</v>
      </c>
      <c r="DZ26" s="15" t="s">
        <v>402</v>
      </c>
      <c r="EA26" s="135" t="str">
        <f t="shared" si="37"/>
        <v>667CUSTOMER_ADDRESSRMVE1 ROADCUSTOMER_ADDRESSTESTINGHAMCUSTOMER_ADDRESSTESTINGHAMSHIRE</v>
      </c>
      <c r="EB26" s="15" t="s">
        <v>1050</v>
      </c>
      <c r="EC26" s="228"/>
      <c r="ED26" s="228"/>
      <c r="EE26" s="228"/>
    </row>
    <row r="27" spans="1:136" s="229" customFormat="1">
      <c r="A27" s="219" t="s">
        <v>1057</v>
      </c>
      <c r="B27" s="219" t="s">
        <v>868</v>
      </c>
      <c r="C27" s="219" t="s">
        <v>865</v>
      </c>
      <c r="D27" s="13">
        <f>'Run Parameters'!$B$1 + ROW()-1</f>
        <v>668</v>
      </c>
      <c r="E27" s="15" t="s">
        <v>47</v>
      </c>
      <c r="F27" s="13" t="s">
        <v>1047</v>
      </c>
      <c r="G27" s="13" t="str">
        <f t="shared" si="20"/>
        <v>Access Dtls-668</v>
      </c>
      <c r="H27" s="15" t="s">
        <v>275</v>
      </c>
      <c r="I27" s="13" t="str">
        <f>("MR. Test_26_RMVE1_"&amp;D27&amp;"")</f>
        <v>MR. Test_26_RMVE1_668</v>
      </c>
      <c r="J27" s="13"/>
      <c r="K27" s="19" t="s">
        <v>425</v>
      </c>
      <c r="L27" s="13" t="str">
        <f t="shared" si="21"/>
        <v>Cust. Ref-668</v>
      </c>
      <c r="M27" s="15" t="s">
        <v>48</v>
      </c>
      <c r="N27" s="15" t="s">
        <v>425</v>
      </c>
      <c r="O27" s="13"/>
      <c r="P27" s="13" t="str">
        <f t="shared" si="22"/>
        <v>SN-668</v>
      </c>
      <c r="Q27" s="13" t="str">
        <f t="shared" si="23"/>
        <v>SI-668</v>
      </c>
      <c r="R27" s="13" t="str">
        <f t="shared" si="24"/>
        <v>SE-668</v>
      </c>
      <c r="S27" s="135" t="str">
        <f t="shared" si="25"/>
        <v>Prev_RA-668</v>
      </c>
      <c r="T27" s="135" t="str">
        <f t="shared" si="26"/>
        <v>Prev_Comms-668</v>
      </c>
      <c r="U27" s="15" t="s">
        <v>75</v>
      </c>
      <c r="V27" s="15" t="s">
        <v>401</v>
      </c>
      <c r="W27" s="15" t="s">
        <v>75</v>
      </c>
      <c r="X27" s="15" t="s">
        <v>396</v>
      </c>
      <c r="Y27" s="13" t="str">
        <f t="shared" si="27"/>
        <v>Forward Add-668</v>
      </c>
      <c r="Z27" s="15" t="s">
        <v>401</v>
      </c>
      <c r="AA27" s="136" t="str">
        <f>'Run Parameters'!$B$2</f>
        <v>2018-08-13 08:00</v>
      </c>
      <c r="AB27" s="223" t="str">
        <f>'Run Parameters'!B$3</f>
        <v>2018-08-13 18:00</v>
      </c>
      <c r="AC27" s="26">
        <f>('Run Parameters'!$B$2) - 7</f>
        <v>43318.333333333336</v>
      </c>
      <c r="AD27" s="15" t="s">
        <v>75</v>
      </c>
      <c r="AE27" s="13" t="str">
        <f t="shared" si="28"/>
        <v>LAST_METER-668</v>
      </c>
      <c r="AF27" s="136" t="str">
        <f>'Run Parameters'!$B$2</f>
        <v>2018-08-13 08:00</v>
      </c>
      <c r="AG27" s="13" t="str">
        <f>'Run Parameters'!B$4</f>
        <v>AUTOTEST2</v>
      </c>
      <c r="AH27" s="135" t="str">
        <f t="shared" si="29"/>
        <v>Site_Contact_668</v>
      </c>
      <c r="AI27" s="136" t="str">
        <f>'Run Parameters'!B$2</f>
        <v>2018-08-13 08:00</v>
      </c>
      <c r="AJ27" s="223" t="str">
        <f>'Run Parameters'!B$3</f>
        <v>2018-08-13 18:00</v>
      </c>
      <c r="AK27" s="13" t="s">
        <v>396</v>
      </c>
      <c r="AL27" s="135" t="str">
        <f t="shared" si="30"/>
        <v>01159668</v>
      </c>
      <c r="AM27" s="13" t="str">
        <f t="shared" si="31"/>
        <v>0115668</v>
      </c>
      <c r="AN27" s="15"/>
      <c r="AO27" s="15"/>
      <c r="AP27" s="13">
        <v>1</v>
      </c>
      <c r="AQ27" s="15" t="s">
        <v>49</v>
      </c>
      <c r="AR27" s="15"/>
      <c r="AS27" s="13"/>
      <c r="AT27" s="15" t="s">
        <v>400</v>
      </c>
      <c r="AU27" s="15"/>
      <c r="AV27" s="13">
        <f t="shared" si="32"/>
        <v>668</v>
      </c>
      <c r="AW27" s="13" t="s">
        <v>1048</v>
      </c>
      <c r="AX27" s="13" t="s">
        <v>420</v>
      </c>
      <c r="AY27" s="13" t="s">
        <v>421</v>
      </c>
      <c r="AZ27" s="15" t="s">
        <v>334</v>
      </c>
      <c r="BA27" s="15" t="s">
        <v>154</v>
      </c>
      <c r="BB27" s="13"/>
      <c r="BC27" s="13"/>
      <c r="BD27" s="15"/>
      <c r="BE27" s="15"/>
      <c r="BF27" s="15"/>
      <c r="BG27" s="13"/>
      <c r="BH27" s="13"/>
      <c r="BI27" s="13"/>
      <c r="BJ27" s="13"/>
      <c r="BK27" s="15"/>
      <c r="BL27" s="15"/>
      <c r="BM27" s="13"/>
      <c r="BN27" s="15"/>
      <c r="BO27" s="13"/>
      <c r="BP27" s="15"/>
      <c r="BQ27" s="15"/>
      <c r="BR27" s="13"/>
      <c r="BS27" s="15"/>
      <c r="BT27" s="15"/>
      <c r="BU27" s="15"/>
      <c r="BV27" s="15"/>
      <c r="BW27" s="15"/>
      <c r="BX27" s="15"/>
      <c r="BY27" s="15"/>
      <c r="BZ27" s="15"/>
      <c r="CA27" s="15"/>
      <c r="CB27" s="15"/>
      <c r="CC27" s="15"/>
      <c r="CD27" s="15"/>
      <c r="CE27" s="15"/>
      <c r="CF27" s="15"/>
      <c r="CG27" s="15"/>
      <c r="CH27" s="15"/>
      <c r="CI27" s="13">
        <v>1</v>
      </c>
      <c r="CJ27" s="13" t="str">
        <f t="shared" si="33"/>
        <v>GAS_ENQ_NO-668</v>
      </c>
      <c r="CK27" s="15" t="s">
        <v>1049</v>
      </c>
      <c r="CL27" s="15" t="s">
        <v>391</v>
      </c>
      <c r="CM27" s="15" t="s">
        <v>391</v>
      </c>
      <c r="CN27" s="13" t="s">
        <v>1047</v>
      </c>
      <c r="CO27" s="13" t="str">
        <f t="shared" si="34"/>
        <v>GAS_JOB_ID-668</v>
      </c>
      <c r="CP27" s="15"/>
      <c r="CQ27" s="13" t="str">
        <f t="shared" si="35"/>
        <v>10000668</v>
      </c>
      <c r="CR27" s="13" t="s">
        <v>154</v>
      </c>
      <c r="CS27" s="15" t="s">
        <v>51</v>
      </c>
      <c r="CT27" s="227" t="str">
        <f t="shared" si="36"/>
        <v>GMETER668</v>
      </c>
      <c r="CU27" s="13" t="s">
        <v>161</v>
      </c>
      <c r="CV27" s="15" t="s">
        <v>1049</v>
      </c>
      <c r="CW27" s="15" t="s">
        <v>414</v>
      </c>
      <c r="CX27" s="15"/>
      <c r="CY27" s="15"/>
      <c r="CZ27" s="15" t="s">
        <v>394</v>
      </c>
      <c r="DA27" s="15" t="s">
        <v>395</v>
      </c>
      <c r="DB27" s="13" t="str">
        <f t="shared" si="17"/>
        <v>GAS_INST_ID-668</v>
      </c>
      <c r="DC27" s="15" t="s">
        <v>161</v>
      </c>
      <c r="DD27" s="15"/>
      <c r="DE27" s="15" t="s">
        <v>51</v>
      </c>
      <c r="DF27" s="15" t="s">
        <v>264</v>
      </c>
      <c r="DG27" s="15"/>
      <c r="DH27" s="15" t="s">
        <v>397</v>
      </c>
      <c r="DI27" s="15" t="s">
        <v>399</v>
      </c>
      <c r="DJ27" s="15" t="s">
        <v>1050</v>
      </c>
      <c r="DK27" s="15" t="s">
        <v>140</v>
      </c>
      <c r="DL27" s="228"/>
      <c r="DM27" s="228"/>
      <c r="DN27" s="13" t="str">
        <f t="shared" si="18"/>
        <v>DS_Pass-668</v>
      </c>
      <c r="DO27" s="15"/>
      <c r="DP27" s="15"/>
      <c r="DQ27" s="15"/>
      <c r="DR27" s="13"/>
      <c r="DS27" s="13"/>
      <c r="DT27" s="15" t="s">
        <v>52</v>
      </c>
      <c r="DU27" s="15"/>
      <c r="DV27" s="15"/>
      <c r="DW27" s="13"/>
      <c r="DX27" s="15" t="s">
        <v>54</v>
      </c>
      <c r="DY27" s="15" t="s">
        <v>61</v>
      </c>
      <c r="DZ27" s="15" t="s">
        <v>402</v>
      </c>
      <c r="EA27" s="135" t="str">
        <f t="shared" si="37"/>
        <v>668CUSTOMER_ADDRESSRMVE1 ROADCUSTOMER_ADDRESSTESTINGHAMCUSTOMER_ADDRESSTESTINGHAMSHIRE</v>
      </c>
      <c r="EB27" s="15" t="s">
        <v>1050</v>
      </c>
      <c r="EC27" s="228"/>
      <c r="ED27" s="228"/>
      <c r="EE27" s="228"/>
    </row>
    <row r="28" spans="1:136" s="229" customFormat="1">
      <c r="A28" s="219" t="s">
        <v>1058</v>
      </c>
      <c r="B28" s="219" t="s">
        <v>892</v>
      </c>
      <c r="C28" s="219" t="s">
        <v>865</v>
      </c>
      <c r="D28" s="13">
        <f>'Run Parameters'!$B$1 + ROW()-1</f>
        <v>669</v>
      </c>
      <c r="E28" s="15" t="s">
        <v>47</v>
      </c>
      <c r="F28" s="13" t="s">
        <v>1047</v>
      </c>
      <c r="G28" s="13" t="str">
        <f t="shared" si="20"/>
        <v>Access Dtls-669</v>
      </c>
      <c r="H28" s="15" t="s">
        <v>275</v>
      </c>
      <c r="I28" s="13" t="str">
        <f>("MR. Test_27_RMVE1_"&amp;D28&amp;"")</f>
        <v>MR. Test_27_RMVE1_669</v>
      </c>
      <c r="J28" s="13"/>
      <c r="K28" s="19" t="s">
        <v>425</v>
      </c>
      <c r="L28" s="13" t="str">
        <f t="shared" si="21"/>
        <v>Cust. Ref-669</v>
      </c>
      <c r="M28" s="15" t="s">
        <v>48</v>
      </c>
      <c r="N28" s="15" t="s">
        <v>425</v>
      </c>
      <c r="O28" s="13"/>
      <c r="P28" s="13" t="str">
        <f t="shared" si="22"/>
        <v>SN-669</v>
      </c>
      <c r="Q28" s="13" t="str">
        <f t="shared" si="23"/>
        <v>SI-669</v>
      </c>
      <c r="R28" s="13" t="str">
        <f t="shared" si="24"/>
        <v>SE-669</v>
      </c>
      <c r="S28" s="135" t="str">
        <f t="shared" si="25"/>
        <v>Prev_RA-669</v>
      </c>
      <c r="T28" s="135" t="str">
        <f t="shared" si="26"/>
        <v>Prev_Comms-669</v>
      </c>
      <c r="U28" s="15" t="s">
        <v>75</v>
      </c>
      <c r="V28" s="15" t="s">
        <v>401</v>
      </c>
      <c r="W28" s="15" t="s">
        <v>75</v>
      </c>
      <c r="X28" s="15" t="s">
        <v>396</v>
      </c>
      <c r="Y28" s="13" t="str">
        <f t="shared" si="27"/>
        <v>Forward Add-669</v>
      </c>
      <c r="Z28" s="15" t="s">
        <v>401</v>
      </c>
      <c r="AA28" s="136" t="str">
        <f>'Run Parameters'!$B$2</f>
        <v>2018-08-13 08:00</v>
      </c>
      <c r="AB28" s="223" t="str">
        <f>'Run Parameters'!B$3</f>
        <v>2018-08-13 18:00</v>
      </c>
      <c r="AC28" s="26">
        <f>('Run Parameters'!$B$2) - 7</f>
        <v>43318.333333333336</v>
      </c>
      <c r="AD28" s="15" t="s">
        <v>75</v>
      </c>
      <c r="AE28" s="13" t="str">
        <f t="shared" si="28"/>
        <v>LAST_METER-669</v>
      </c>
      <c r="AF28" s="136" t="str">
        <f>'Run Parameters'!$B$2</f>
        <v>2018-08-13 08:00</v>
      </c>
      <c r="AG28" s="13" t="str">
        <f>'Run Parameters'!B$4</f>
        <v>AUTOTEST2</v>
      </c>
      <c r="AH28" s="135" t="str">
        <f t="shared" si="29"/>
        <v>Site_Contact_669</v>
      </c>
      <c r="AI28" s="136" t="str">
        <f>'Run Parameters'!B$2</f>
        <v>2018-08-13 08:00</v>
      </c>
      <c r="AJ28" s="223" t="str">
        <f>'Run Parameters'!B$3</f>
        <v>2018-08-13 18:00</v>
      </c>
      <c r="AK28" s="13" t="s">
        <v>396</v>
      </c>
      <c r="AL28" s="135" t="str">
        <f t="shared" si="30"/>
        <v>01159669</v>
      </c>
      <c r="AM28" s="13" t="str">
        <f t="shared" si="31"/>
        <v>0115669</v>
      </c>
      <c r="AN28" s="15"/>
      <c r="AO28" s="15"/>
      <c r="AP28" s="13">
        <v>1</v>
      </c>
      <c r="AQ28" s="15" t="s">
        <v>49</v>
      </c>
      <c r="AR28" s="15"/>
      <c r="AS28" s="13"/>
      <c r="AT28" s="15" t="s">
        <v>400</v>
      </c>
      <c r="AU28" s="15"/>
      <c r="AV28" s="13">
        <f t="shared" si="32"/>
        <v>669</v>
      </c>
      <c r="AW28" s="13" t="s">
        <v>1048</v>
      </c>
      <c r="AX28" s="13" t="s">
        <v>420</v>
      </c>
      <c r="AY28" s="13" t="s">
        <v>421</v>
      </c>
      <c r="AZ28" s="15" t="s">
        <v>334</v>
      </c>
      <c r="BA28" s="15" t="s">
        <v>154</v>
      </c>
      <c r="BB28" s="13"/>
      <c r="BC28" s="13"/>
      <c r="BD28" s="15"/>
      <c r="BE28" s="15"/>
      <c r="BF28" s="15"/>
      <c r="BG28" s="13"/>
      <c r="BH28" s="13"/>
      <c r="BI28" s="13"/>
      <c r="BJ28" s="13"/>
      <c r="BK28" s="15"/>
      <c r="BL28" s="15"/>
      <c r="BM28" s="13"/>
      <c r="BN28" s="15"/>
      <c r="BO28" s="13"/>
      <c r="BP28" s="15"/>
      <c r="BQ28" s="15"/>
      <c r="BR28" s="13"/>
      <c r="BS28" s="15"/>
      <c r="BT28" s="15"/>
      <c r="BU28" s="15"/>
      <c r="BV28" s="15"/>
      <c r="BW28" s="15"/>
      <c r="BX28" s="15"/>
      <c r="BY28" s="15"/>
      <c r="BZ28" s="15"/>
      <c r="CA28" s="15"/>
      <c r="CB28" s="15"/>
      <c r="CC28" s="15"/>
      <c r="CD28" s="15"/>
      <c r="CE28" s="15"/>
      <c r="CF28" s="15"/>
      <c r="CG28" s="15"/>
      <c r="CH28" s="15"/>
      <c r="CI28" s="13">
        <v>1</v>
      </c>
      <c r="CJ28" s="13" t="str">
        <f t="shared" si="33"/>
        <v>GAS_ENQ_NO-669</v>
      </c>
      <c r="CK28" s="15" t="s">
        <v>1049</v>
      </c>
      <c r="CL28" s="15" t="s">
        <v>391</v>
      </c>
      <c r="CM28" s="15" t="s">
        <v>391</v>
      </c>
      <c r="CN28" s="13" t="s">
        <v>1047</v>
      </c>
      <c r="CO28" s="13" t="str">
        <f t="shared" si="34"/>
        <v>GAS_JOB_ID-669</v>
      </c>
      <c r="CP28" s="15"/>
      <c r="CQ28" s="13" t="str">
        <f t="shared" si="35"/>
        <v>10000669</v>
      </c>
      <c r="CR28" s="13" t="s">
        <v>154</v>
      </c>
      <c r="CS28" s="15" t="s">
        <v>51</v>
      </c>
      <c r="CT28" s="227" t="str">
        <f t="shared" si="36"/>
        <v>GMETER669</v>
      </c>
      <c r="CU28" s="13" t="s">
        <v>161</v>
      </c>
      <c r="CV28" s="15" t="s">
        <v>1049</v>
      </c>
      <c r="CW28" s="15" t="s">
        <v>414</v>
      </c>
      <c r="CX28" s="15"/>
      <c r="CY28" s="15"/>
      <c r="CZ28" s="15" t="s">
        <v>394</v>
      </c>
      <c r="DA28" s="15" t="s">
        <v>395</v>
      </c>
      <c r="DB28" s="13" t="str">
        <f t="shared" si="17"/>
        <v>GAS_INST_ID-669</v>
      </c>
      <c r="DC28" s="15" t="s">
        <v>161</v>
      </c>
      <c r="DD28" s="15"/>
      <c r="DE28" s="15" t="s">
        <v>51</v>
      </c>
      <c r="DF28" s="15" t="s">
        <v>264</v>
      </c>
      <c r="DG28" s="15"/>
      <c r="DH28" s="15" t="s">
        <v>397</v>
      </c>
      <c r="DI28" s="15" t="s">
        <v>399</v>
      </c>
      <c r="DJ28" s="15" t="s">
        <v>1050</v>
      </c>
      <c r="DK28" s="15" t="s">
        <v>140</v>
      </c>
      <c r="DL28" s="228"/>
      <c r="DM28" s="228"/>
      <c r="DN28" s="13" t="str">
        <f t="shared" si="18"/>
        <v>DS_Pass-669</v>
      </c>
      <c r="DO28" s="15"/>
      <c r="DP28" s="15"/>
      <c r="DQ28" s="15"/>
      <c r="DR28" s="13"/>
      <c r="DS28" s="13"/>
      <c r="DT28" s="15" t="s">
        <v>52</v>
      </c>
      <c r="DU28" s="15"/>
      <c r="DV28" s="15"/>
      <c r="DW28" s="13"/>
      <c r="DX28" s="15" t="s">
        <v>54</v>
      </c>
      <c r="DY28" s="15" t="s">
        <v>61</v>
      </c>
      <c r="DZ28" s="15" t="s">
        <v>402</v>
      </c>
      <c r="EA28" s="135" t="str">
        <f t="shared" si="37"/>
        <v>669CUSTOMER_ADDRESSRMVE1 ROADCUSTOMER_ADDRESSTESTINGHAMCUSTOMER_ADDRESSTESTINGHAMSHIRE</v>
      </c>
      <c r="EB28" s="15" t="s">
        <v>1050</v>
      </c>
      <c r="EC28" s="228"/>
      <c r="ED28" s="228"/>
      <c r="EE28" s="228"/>
    </row>
    <row r="29" spans="1:136" s="229" customFormat="1">
      <c r="A29" s="219" t="s">
        <v>1059</v>
      </c>
      <c r="B29" s="219" t="s">
        <v>868</v>
      </c>
      <c r="C29" s="219" t="s">
        <v>865</v>
      </c>
      <c r="D29" s="13">
        <f>'Run Parameters'!$B$1 + ROW()-1</f>
        <v>670</v>
      </c>
      <c r="E29" s="15" t="s">
        <v>47</v>
      </c>
      <c r="F29" s="13" t="s">
        <v>1047</v>
      </c>
      <c r="G29" s="13" t="str">
        <f t="shared" si="20"/>
        <v>Access Dtls-670</v>
      </c>
      <c r="H29" s="15" t="s">
        <v>275</v>
      </c>
      <c r="I29" s="13" t="str">
        <f>("MR. Test_28_RMVE1_"&amp;D29&amp;"")</f>
        <v>MR. Test_28_RMVE1_670</v>
      </c>
      <c r="J29" s="13"/>
      <c r="K29" s="19" t="s">
        <v>425</v>
      </c>
      <c r="L29" s="13" t="str">
        <f t="shared" si="21"/>
        <v>Cust. Ref-670</v>
      </c>
      <c r="M29" s="15" t="s">
        <v>48</v>
      </c>
      <c r="N29" s="15" t="s">
        <v>425</v>
      </c>
      <c r="O29" s="13"/>
      <c r="P29" s="13" t="str">
        <f t="shared" si="22"/>
        <v>SN-670</v>
      </c>
      <c r="Q29" s="13" t="str">
        <f t="shared" si="23"/>
        <v>SI-670</v>
      </c>
      <c r="R29" s="13" t="str">
        <f t="shared" si="24"/>
        <v>SE-670</v>
      </c>
      <c r="S29" s="135" t="str">
        <f t="shared" si="25"/>
        <v>Prev_RA-670</v>
      </c>
      <c r="T29" s="135" t="str">
        <f t="shared" si="26"/>
        <v>Prev_Comms-670</v>
      </c>
      <c r="U29" s="15" t="s">
        <v>75</v>
      </c>
      <c r="V29" s="15" t="s">
        <v>401</v>
      </c>
      <c r="W29" s="15" t="s">
        <v>75</v>
      </c>
      <c r="X29" s="15" t="s">
        <v>396</v>
      </c>
      <c r="Y29" s="13" t="str">
        <f t="shared" si="27"/>
        <v>Forward Add-670</v>
      </c>
      <c r="Z29" s="15" t="s">
        <v>401</v>
      </c>
      <c r="AA29" s="136" t="str">
        <f>'Run Parameters'!$B$2</f>
        <v>2018-08-13 08:00</v>
      </c>
      <c r="AB29" s="223" t="str">
        <f>'Run Parameters'!B$3</f>
        <v>2018-08-13 18:00</v>
      </c>
      <c r="AC29" s="26">
        <f>('Run Parameters'!$B$2) - 7</f>
        <v>43318.333333333336</v>
      </c>
      <c r="AD29" s="15" t="s">
        <v>75</v>
      </c>
      <c r="AE29" s="13" t="str">
        <f t="shared" si="28"/>
        <v>LAST_METER-670</v>
      </c>
      <c r="AF29" s="136" t="str">
        <f>'Run Parameters'!$B$2</f>
        <v>2018-08-13 08:00</v>
      </c>
      <c r="AG29" s="13" t="str">
        <f>'Run Parameters'!B$4</f>
        <v>AUTOTEST2</v>
      </c>
      <c r="AH29" s="135" t="str">
        <f t="shared" si="29"/>
        <v>Site_Contact_670</v>
      </c>
      <c r="AI29" s="136" t="str">
        <f>'Run Parameters'!B$2</f>
        <v>2018-08-13 08:00</v>
      </c>
      <c r="AJ29" s="223" t="str">
        <f>'Run Parameters'!B$3</f>
        <v>2018-08-13 18:00</v>
      </c>
      <c r="AK29" s="13" t="s">
        <v>396</v>
      </c>
      <c r="AL29" s="135" t="str">
        <f t="shared" si="30"/>
        <v>01159670</v>
      </c>
      <c r="AM29" s="13" t="str">
        <f t="shared" si="31"/>
        <v>0115670</v>
      </c>
      <c r="AN29" s="15"/>
      <c r="AO29" s="15"/>
      <c r="AP29" s="13">
        <v>1</v>
      </c>
      <c r="AQ29" s="15" t="s">
        <v>49</v>
      </c>
      <c r="AR29" s="15"/>
      <c r="AS29" s="13"/>
      <c r="AT29" s="15" t="s">
        <v>400</v>
      </c>
      <c r="AU29" s="15"/>
      <c r="AV29" s="13">
        <f t="shared" si="32"/>
        <v>670</v>
      </c>
      <c r="AW29" s="13" t="s">
        <v>1048</v>
      </c>
      <c r="AX29" s="13" t="s">
        <v>420</v>
      </c>
      <c r="AY29" s="13" t="s">
        <v>421</v>
      </c>
      <c r="AZ29" s="15" t="s">
        <v>334</v>
      </c>
      <c r="BA29" s="15" t="s">
        <v>154</v>
      </c>
      <c r="BB29" s="13"/>
      <c r="BC29" s="13"/>
      <c r="BD29" s="15"/>
      <c r="BE29" s="15"/>
      <c r="BF29" s="15"/>
      <c r="BG29" s="13"/>
      <c r="BH29" s="13"/>
      <c r="BI29" s="13"/>
      <c r="BJ29" s="13"/>
      <c r="BK29" s="15"/>
      <c r="BL29" s="15"/>
      <c r="BM29" s="13"/>
      <c r="BN29" s="15"/>
      <c r="BO29" s="13"/>
      <c r="BP29" s="15"/>
      <c r="BQ29" s="15"/>
      <c r="BR29" s="13"/>
      <c r="BS29" s="15"/>
      <c r="BT29" s="15"/>
      <c r="BU29" s="15"/>
      <c r="BV29" s="15"/>
      <c r="BW29" s="15"/>
      <c r="BX29" s="15"/>
      <c r="BY29" s="15"/>
      <c r="BZ29" s="15"/>
      <c r="CA29" s="15"/>
      <c r="CB29" s="15"/>
      <c r="CC29" s="15"/>
      <c r="CD29" s="15"/>
      <c r="CE29" s="15"/>
      <c r="CF29" s="15"/>
      <c r="CG29" s="15"/>
      <c r="CH29" s="15"/>
      <c r="CI29" s="13">
        <v>1</v>
      </c>
      <c r="CJ29" s="13" t="str">
        <f t="shared" si="33"/>
        <v>GAS_ENQ_NO-670</v>
      </c>
      <c r="CK29" s="15" t="s">
        <v>1049</v>
      </c>
      <c r="CL29" s="15" t="s">
        <v>391</v>
      </c>
      <c r="CM29" s="15" t="s">
        <v>391</v>
      </c>
      <c r="CN29" s="13" t="s">
        <v>1047</v>
      </c>
      <c r="CO29" s="13" t="str">
        <f t="shared" si="34"/>
        <v>GAS_JOB_ID-670</v>
      </c>
      <c r="CP29" s="15"/>
      <c r="CQ29" s="13" t="str">
        <f t="shared" si="35"/>
        <v>10000670</v>
      </c>
      <c r="CR29" s="13" t="s">
        <v>154</v>
      </c>
      <c r="CS29" s="15" t="s">
        <v>51</v>
      </c>
      <c r="CT29" s="227" t="str">
        <f t="shared" si="36"/>
        <v>GMETER670</v>
      </c>
      <c r="CU29" s="13" t="s">
        <v>161</v>
      </c>
      <c r="CV29" s="15" t="s">
        <v>1049</v>
      </c>
      <c r="CW29" s="15" t="s">
        <v>414</v>
      </c>
      <c r="CX29" s="15"/>
      <c r="CY29" s="15"/>
      <c r="CZ29" s="15" t="s">
        <v>394</v>
      </c>
      <c r="DA29" s="15" t="s">
        <v>395</v>
      </c>
      <c r="DB29" s="13" t="str">
        <f t="shared" si="17"/>
        <v>GAS_INST_ID-670</v>
      </c>
      <c r="DC29" s="15" t="s">
        <v>161</v>
      </c>
      <c r="DD29" s="15"/>
      <c r="DE29" s="15" t="s">
        <v>51</v>
      </c>
      <c r="DF29" s="15" t="s">
        <v>264</v>
      </c>
      <c r="DG29" s="15"/>
      <c r="DH29" s="15" t="s">
        <v>397</v>
      </c>
      <c r="DI29" s="15" t="s">
        <v>399</v>
      </c>
      <c r="DJ29" s="15" t="s">
        <v>1050</v>
      </c>
      <c r="DK29" s="15" t="s">
        <v>140</v>
      </c>
      <c r="DL29" s="228"/>
      <c r="DM29" s="228"/>
      <c r="DN29" s="13" t="str">
        <f t="shared" si="18"/>
        <v>DS_Pass-670</v>
      </c>
      <c r="DO29" s="15"/>
      <c r="DP29" s="15"/>
      <c r="DQ29" s="15"/>
      <c r="DR29" s="13"/>
      <c r="DS29" s="13"/>
      <c r="DT29" s="15" t="s">
        <v>52</v>
      </c>
      <c r="DU29" s="15"/>
      <c r="DV29" s="15"/>
      <c r="DW29" s="13"/>
      <c r="DX29" s="15" t="s">
        <v>54</v>
      </c>
      <c r="DY29" s="15" t="s">
        <v>61</v>
      </c>
      <c r="DZ29" s="15" t="s">
        <v>402</v>
      </c>
      <c r="EA29" s="135" t="str">
        <f t="shared" si="37"/>
        <v>670CUSTOMER_ADDRESSRMVE1 ROADCUSTOMER_ADDRESSTESTINGHAMCUSTOMER_ADDRESSTESTINGHAMSHIRE</v>
      </c>
      <c r="EB29" s="15" t="s">
        <v>1050</v>
      </c>
      <c r="EC29" s="228"/>
      <c r="ED29" s="228"/>
      <c r="EE29" s="228"/>
    </row>
    <row r="30" spans="1:136" s="229" customFormat="1">
      <c r="A30" s="219" t="s">
        <v>1060</v>
      </c>
      <c r="B30" s="219" t="s">
        <v>892</v>
      </c>
      <c r="C30" s="219" t="s">
        <v>865</v>
      </c>
      <c r="D30" s="13">
        <f>'Run Parameters'!$B$1 + ROW()-1</f>
        <v>671</v>
      </c>
      <c r="E30" s="15" t="s">
        <v>47</v>
      </c>
      <c r="F30" s="13" t="s">
        <v>1047</v>
      </c>
      <c r="G30" s="13" t="str">
        <f t="shared" si="20"/>
        <v>Access Dtls-671</v>
      </c>
      <c r="H30" s="15" t="s">
        <v>275</v>
      </c>
      <c r="I30" s="13" t="str">
        <f>("MR. Test_29_RMVE1_"&amp;D30&amp;"")</f>
        <v>MR. Test_29_RMVE1_671</v>
      </c>
      <c r="J30" s="13"/>
      <c r="K30" s="19" t="s">
        <v>425</v>
      </c>
      <c r="L30" s="13" t="str">
        <f t="shared" si="21"/>
        <v>Cust. Ref-671</v>
      </c>
      <c r="M30" s="15" t="s">
        <v>48</v>
      </c>
      <c r="N30" s="15" t="s">
        <v>425</v>
      </c>
      <c r="O30" s="13"/>
      <c r="P30" s="13" t="str">
        <f t="shared" si="22"/>
        <v>SN-671</v>
      </c>
      <c r="Q30" s="13" t="str">
        <f t="shared" si="23"/>
        <v>SI-671</v>
      </c>
      <c r="R30" s="13" t="str">
        <f t="shared" si="24"/>
        <v>SE-671</v>
      </c>
      <c r="S30" s="135" t="str">
        <f t="shared" si="25"/>
        <v>Prev_RA-671</v>
      </c>
      <c r="T30" s="135" t="str">
        <f t="shared" si="26"/>
        <v>Prev_Comms-671</v>
      </c>
      <c r="U30" s="15" t="s">
        <v>75</v>
      </c>
      <c r="V30" s="15" t="s">
        <v>401</v>
      </c>
      <c r="W30" s="15" t="s">
        <v>75</v>
      </c>
      <c r="X30" s="15" t="s">
        <v>396</v>
      </c>
      <c r="Y30" s="13" t="str">
        <f t="shared" si="27"/>
        <v>Forward Add-671</v>
      </c>
      <c r="Z30" s="15" t="s">
        <v>401</v>
      </c>
      <c r="AA30" s="136" t="str">
        <f>'Run Parameters'!$B$2</f>
        <v>2018-08-13 08:00</v>
      </c>
      <c r="AB30" s="223" t="str">
        <f>'Run Parameters'!B$3</f>
        <v>2018-08-13 18:00</v>
      </c>
      <c r="AC30" s="26">
        <f>('Run Parameters'!$B$2) - 7</f>
        <v>43318.333333333336</v>
      </c>
      <c r="AD30" s="15" t="s">
        <v>75</v>
      </c>
      <c r="AE30" s="13" t="str">
        <f t="shared" si="28"/>
        <v>LAST_METER-671</v>
      </c>
      <c r="AF30" s="136" t="str">
        <f>'Run Parameters'!$B$2</f>
        <v>2018-08-13 08:00</v>
      </c>
      <c r="AG30" s="13" t="str">
        <f>'Run Parameters'!B$4</f>
        <v>AUTOTEST2</v>
      </c>
      <c r="AH30" s="135" t="str">
        <f t="shared" si="29"/>
        <v>Site_Contact_671</v>
      </c>
      <c r="AI30" s="136" t="str">
        <f>'Run Parameters'!B$2</f>
        <v>2018-08-13 08:00</v>
      </c>
      <c r="AJ30" s="223" t="str">
        <f>'Run Parameters'!B$3</f>
        <v>2018-08-13 18:00</v>
      </c>
      <c r="AK30" s="13" t="s">
        <v>396</v>
      </c>
      <c r="AL30" s="135" t="str">
        <f t="shared" si="30"/>
        <v>01159671</v>
      </c>
      <c r="AM30" s="13" t="str">
        <f t="shared" si="31"/>
        <v>0115671</v>
      </c>
      <c r="AN30" s="15"/>
      <c r="AO30" s="15"/>
      <c r="AP30" s="13">
        <v>1</v>
      </c>
      <c r="AQ30" s="15" t="s">
        <v>49</v>
      </c>
      <c r="AR30" s="15"/>
      <c r="AS30" s="13"/>
      <c r="AT30" s="15" t="s">
        <v>400</v>
      </c>
      <c r="AU30" s="15"/>
      <c r="AV30" s="13">
        <f t="shared" si="32"/>
        <v>671</v>
      </c>
      <c r="AW30" s="13" t="s">
        <v>1048</v>
      </c>
      <c r="AX30" s="13" t="s">
        <v>420</v>
      </c>
      <c r="AY30" s="13" t="s">
        <v>421</v>
      </c>
      <c r="AZ30" s="15" t="s">
        <v>334</v>
      </c>
      <c r="BA30" s="15" t="s">
        <v>154</v>
      </c>
      <c r="BB30" s="13"/>
      <c r="BC30" s="13"/>
      <c r="BD30" s="15"/>
      <c r="BE30" s="15"/>
      <c r="BF30" s="15"/>
      <c r="BG30" s="13"/>
      <c r="BH30" s="13"/>
      <c r="BI30" s="13"/>
      <c r="BJ30" s="13"/>
      <c r="BK30" s="15"/>
      <c r="BL30" s="15"/>
      <c r="BM30" s="13"/>
      <c r="BN30" s="15"/>
      <c r="BO30" s="13"/>
      <c r="BP30" s="15"/>
      <c r="BQ30" s="15"/>
      <c r="BR30" s="13"/>
      <c r="BS30" s="15"/>
      <c r="BT30" s="15"/>
      <c r="BU30" s="15"/>
      <c r="BV30" s="15"/>
      <c r="BW30" s="15"/>
      <c r="BX30" s="15"/>
      <c r="BY30" s="15"/>
      <c r="BZ30" s="15"/>
      <c r="CA30" s="15"/>
      <c r="CB30" s="15"/>
      <c r="CC30" s="15"/>
      <c r="CD30" s="15"/>
      <c r="CE30" s="15"/>
      <c r="CF30" s="15"/>
      <c r="CG30" s="15"/>
      <c r="CH30" s="15"/>
      <c r="CI30" s="13">
        <v>1</v>
      </c>
      <c r="CJ30" s="13" t="str">
        <f t="shared" si="33"/>
        <v>GAS_ENQ_NO-671</v>
      </c>
      <c r="CK30" s="15" t="s">
        <v>1049</v>
      </c>
      <c r="CL30" s="15" t="s">
        <v>391</v>
      </c>
      <c r="CM30" s="15" t="s">
        <v>391</v>
      </c>
      <c r="CN30" s="13" t="s">
        <v>1047</v>
      </c>
      <c r="CO30" s="13" t="str">
        <f t="shared" si="34"/>
        <v>GAS_JOB_ID-671</v>
      </c>
      <c r="CP30" s="15"/>
      <c r="CQ30" s="13" t="str">
        <f t="shared" si="35"/>
        <v>10000671</v>
      </c>
      <c r="CR30" s="13" t="s">
        <v>154</v>
      </c>
      <c r="CS30" s="15" t="s">
        <v>51</v>
      </c>
      <c r="CT30" s="227" t="str">
        <f t="shared" si="36"/>
        <v>GMETER671</v>
      </c>
      <c r="CU30" s="13" t="s">
        <v>161</v>
      </c>
      <c r="CV30" s="15" t="s">
        <v>1049</v>
      </c>
      <c r="CW30" s="15" t="s">
        <v>414</v>
      </c>
      <c r="CX30" s="15"/>
      <c r="CY30" s="15"/>
      <c r="CZ30" s="15" t="s">
        <v>394</v>
      </c>
      <c r="DA30" s="15" t="s">
        <v>395</v>
      </c>
      <c r="DB30" s="13" t="str">
        <f t="shared" si="17"/>
        <v>GAS_INST_ID-671</v>
      </c>
      <c r="DC30" s="15" t="s">
        <v>161</v>
      </c>
      <c r="DD30" s="15"/>
      <c r="DE30" s="15" t="s">
        <v>51</v>
      </c>
      <c r="DF30" s="15" t="s">
        <v>264</v>
      </c>
      <c r="DG30" s="15"/>
      <c r="DH30" s="15" t="s">
        <v>397</v>
      </c>
      <c r="DI30" s="15" t="s">
        <v>399</v>
      </c>
      <c r="DJ30" s="15" t="s">
        <v>1050</v>
      </c>
      <c r="DK30" s="15" t="s">
        <v>140</v>
      </c>
      <c r="DL30" s="228"/>
      <c r="DM30" s="228"/>
      <c r="DN30" s="13" t="str">
        <f t="shared" si="18"/>
        <v>DS_Pass-671</v>
      </c>
      <c r="DO30" s="15"/>
      <c r="DP30" s="15"/>
      <c r="DQ30" s="15"/>
      <c r="DR30" s="13"/>
      <c r="DS30" s="13"/>
      <c r="DT30" s="15" t="s">
        <v>52</v>
      </c>
      <c r="DU30" s="15"/>
      <c r="DV30" s="15"/>
      <c r="DW30" s="13"/>
      <c r="DX30" s="15" t="s">
        <v>54</v>
      </c>
      <c r="DY30" s="15" t="s">
        <v>61</v>
      </c>
      <c r="DZ30" s="15" t="s">
        <v>402</v>
      </c>
      <c r="EA30" s="135" t="str">
        <f t="shared" si="37"/>
        <v>671CUSTOMER_ADDRESSRMVE1 ROADCUSTOMER_ADDRESSTESTINGHAMCUSTOMER_ADDRESSTESTINGHAMSHIRE</v>
      </c>
      <c r="EB30" s="15" t="s">
        <v>1050</v>
      </c>
      <c r="EC30" s="228"/>
      <c r="ED30" s="228"/>
      <c r="EE30" s="228"/>
    </row>
    <row r="31" spans="1:136" s="229" customFormat="1">
      <c r="A31" s="219" t="s">
        <v>1061</v>
      </c>
      <c r="B31" s="219" t="s">
        <v>868</v>
      </c>
      <c r="C31" s="219" t="s">
        <v>865</v>
      </c>
      <c r="D31" s="13">
        <f>'Run Parameters'!$B$1 + ROW()-1</f>
        <v>672</v>
      </c>
      <c r="E31" s="15" t="s">
        <v>47</v>
      </c>
      <c r="F31" s="13" t="s">
        <v>1047</v>
      </c>
      <c r="G31" s="13" t="str">
        <f t="shared" si="20"/>
        <v>Access Dtls-672</v>
      </c>
      <c r="H31" s="15" t="s">
        <v>275</v>
      </c>
      <c r="I31" s="13" t="str">
        <f>("MR. Test_30_RMVE1_"&amp;D31&amp;"")</f>
        <v>MR. Test_30_RMVE1_672</v>
      </c>
      <c r="J31" s="13"/>
      <c r="K31" s="19" t="s">
        <v>425</v>
      </c>
      <c r="L31" s="13" t="str">
        <f t="shared" si="21"/>
        <v>Cust. Ref-672</v>
      </c>
      <c r="M31" s="15" t="s">
        <v>48</v>
      </c>
      <c r="N31" s="15" t="s">
        <v>425</v>
      </c>
      <c r="O31" s="13"/>
      <c r="P31" s="13" t="str">
        <f t="shared" si="22"/>
        <v>SN-672</v>
      </c>
      <c r="Q31" s="13" t="str">
        <f t="shared" si="23"/>
        <v>SI-672</v>
      </c>
      <c r="R31" s="13" t="str">
        <f t="shared" si="24"/>
        <v>SE-672</v>
      </c>
      <c r="S31" s="135" t="str">
        <f t="shared" si="25"/>
        <v>Prev_RA-672</v>
      </c>
      <c r="T31" s="135" t="str">
        <f t="shared" si="26"/>
        <v>Prev_Comms-672</v>
      </c>
      <c r="U31" s="15" t="s">
        <v>75</v>
      </c>
      <c r="V31" s="15" t="s">
        <v>401</v>
      </c>
      <c r="W31" s="15" t="s">
        <v>75</v>
      </c>
      <c r="X31" s="15" t="s">
        <v>396</v>
      </c>
      <c r="Y31" s="13" t="str">
        <f t="shared" si="27"/>
        <v>Forward Add-672</v>
      </c>
      <c r="Z31" s="15" t="s">
        <v>401</v>
      </c>
      <c r="AA31" s="136" t="str">
        <f>'Run Parameters'!$B$2</f>
        <v>2018-08-13 08:00</v>
      </c>
      <c r="AB31" s="223" t="str">
        <f>'Run Parameters'!B$3</f>
        <v>2018-08-13 18:00</v>
      </c>
      <c r="AC31" s="26">
        <f>('Run Parameters'!$B$2) - 7</f>
        <v>43318.333333333336</v>
      </c>
      <c r="AD31" s="15" t="s">
        <v>75</v>
      </c>
      <c r="AE31" s="13" t="str">
        <f t="shared" si="28"/>
        <v>LAST_METER-672</v>
      </c>
      <c r="AF31" s="136" t="str">
        <f>'Run Parameters'!$B$2</f>
        <v>2018-08-13 08:00</v>
      </c>
      <c r="AG31" s="13" t="str">
        <f>'Run Parameters'!B$4</f>
        <v>AUTOTEST2</v>
      </c>
      <c r="AH31" s="135" t="str">
        <f t="shared" si="29"/>
        <v>Site_Contact_672</v>
      </c>
      <c r="AI31" s="136" t="str">
        <f>'Run Parameters'!B$2</f>
        <v>2018-08-13 08:00</v>
      </c>
      <c r="AJ31" s="223" t="str">
        <f>'Run Parameters'!B$3</f>
        <v>2018-08-13 18:00</v>
      </c>
      <c r="AK31" s="13" t="s">
        <v>396</v>
      </c>
      <c r="AL31" s="135" t="str">
        <f t="shared" si="30"/>
        <v>01159672</v>
      </c>
      <c r="AM31" s="13" t="str">
        <f t="shared" si="31"/>
        <v>0115672</v>
      </c>
      <c r="AN31" s="15"/>
      <c r="AO31" s="15"/>
      <c r="AP31" s="13">
        <v>1</v>
      </c>
      <c r="AQ31" s="15" t="s">
        <v>49</v>
      </c>
      <c r="AR31" s="15"/>
      <c r="AS31" s="13"/>
      <c r="AT31" s="15" t="s">
        <v>400</v>
      </c>
      <c r="AU31" s="15"/>
      <c r="AV31" s="13">
        <f t="shared" si="32"/>
        <v>672</v>
      </c>
      <c r="AW31" s="13" t="s">
        <v>1048</v>
      </c>
      <c r="AX31" s="13" t="s">
        <v>420</v>
      </c>
      <c r="AY31" s="13" t="s">
        <v>421</v>
      </c>
      <c r="AZ31" s="15" t="s">
        <v>334</v>
      </c>
      <c r="BA31" s="15" t="s">
        <v>154</v>
      </c>
      <c r="BB31" s="13"/>
      <c r="BC31" s="13"/>
      <c r="BD31" s="15"/>
      <c r="BE31" s="15"/>
      <c r="BF31" s="15"/>
      <c r="BG31" s="13"/>
      <c r="BH31" s="13"/>
      <c r="BI31" s="13"/>
      <c r="BJ31" s="13"/>
      <c r="BK31" s="15"/>
      <c r="BL31" s="15"/>
      <c r="BM31" s="13"/>
      <c r="BN31" s="15"/>
      <c r="BO31" s="13"/>
      <c r="BP31" s="15"/>
      <c r="BQ31" s="15"/>
      <c r="BR31" s="13"/>
      <c r="BS31" s="15"/>
      <c r="BT31" s="15"/>
      <c r="BU31" s="15"/>
      <c r="BV31" s="15"/>
      <c r="BW31" s="15"/>
      <c r="BX31" s="15"/>
      <c r="BY31" s="15"/>
      <c r="BZ31" s="15"/>
      <c r="CA31" s="15"/>
      <c r="CB31" s="15"/>
      <c r="CC31" s="15"/>
      <c r="CD31" s="15"/>
      <c r="CE31" s="15"/>
      <c r="CF31" s="15"/>
      <c r="CG31" s="15"/>
      <c r="CH31" s="15"/>
      <c r="CI31" s="13">
        <v>1</v>
      </c>
      <c r="CJ31" s="13" t="str">
        <f t="shared" si="33"/>
        <v>GAS_ENQ_NO-672</v>
      </c>
      <c r="CK31" s="15" t="s">
        <v>1049</v>
      </c>
      <c r="CL31" s="15" t="s">
        <v>391</v>
      </c>
      <c r="CM31" s="15" t="s">
        <v>391</v>
      </c>
      <c r="CN31" s="13" t="s">
        <v>1047</v>
      </c>
      <c r="CO31" s="13" t="str">
        <f t="shared" si="34"/>
        <v>GAS_JOB_ID-672</v>
      </c>
      <c r="CP31" s="15"/>
      <c r="CQ31" s="13" t="str">
        <f t="shared" si="35"/>
        <v>10000672</v>
      </c>
      <c r="CR31" s="13" t="s">
        <v>154</v>
      </c>
      <c r="CS31" s="15" t="s">
        <v>51</v>
      </c>
      <c r="CT31" s="227" t="str">
        <f t="shared" si="36"/>
        <v>GMETER672</v>
      </c>
      <c r="CU31" s="13" t="s">
        <v>161</v>
      </c>
      <c r="CV31" s="15" t="s">
        <v>1049</v>
      </c>
      <c r="CW31" s="15" t="s">
        <v>414</v>
      </c>
      <c r="CX31" s="15"/>
      <c r="CY31" s="15"/>
      <c r="CZ31" s="15" t="s">
        <v>394</v>
      </c>
      <c r="DA31" s="15" t="s">
        <v>395</v>
      </c>
      <c r="DB31" s="13" t="str">
        <f t="shared" si="17"/>
        <v>GAS_INST_ID-672</v>
      </c>
      <c r="DC31" s="15" t="s">
        <v>161</v>
      </c>
      <c r="DD31" s="15"/>
      <c r="DE31" s="15" t="s">
        <v>51</v>
      </c>
      <c r="DF31" s="15" t="s">
        <v>264</v>
      </c>
      <c r="DG31" s="15"/>
      <c r="DH31" s="15" t="s">
        <v>397</v>
      </c>
      <c r="DI31" s="15" t="s">
        <v>399</v>
      </c>
      <c r="DJ31" s="15" t="s">
        <v>1050</v>
      </c>
      <c r="DK31" s="15" t="s">
        <v>140</v>
      </c>
      <c r="DL31" s="228"/>
      <c r="DM31" s="228"/>
      <c r="DN31" s="13" t="str">
        <f t="shared" si="18"/>
        <v>DS_Pass-672</v>
      </c>
      <c r="DO31" s="15"/>
      <c r="DP31" s="15"/>
      <c r="DQ31" s="15"/>
      <c r="DR31" s="13"/>
      <c r="DS31" s="13"/>
      <c r="DT31" s="15" t="s">
        <v>52</v>
      </c>
      <c r="DU31" s="15"/>
      <c r="DV31" s="15"/>
      <c r="DW31" s="13"/>
      <c r="DX31" s="15" t="s">
        <v>54</v>
      </c>
      <c r="DY31" s="15" t="s">
        <v>61</v>
      </c>
      <c r="DZ31" s="15" t="s">
        <v>402</v>
      </c>
      <c r="EA31" s="135" t="str">
        <f t="shared" si="37"/>
        <v>672CUSTOMER_ADDRESSRMVE1 ROADCUSTOMER_ADDRESSTESTINGHAMCUSTOMER_ADDRESSTESTINGHAMSHIRE</v>
      </c>
      <c r="EB31" s="15" t="s">
        <v>1050</v>
      </c>
      <c r="EC31" s="228"/>
      <c r="ED31" s="228"/>
      <c r="EE31" s="228"/>
    </row>
    <row r="32" spans="1:136" s="140" customFormat="1">
      <c r="A32" s="219" t="s">
        <v>911</v>
      </c>
      <c r="B32" s="219" t="s">
        <v>892</v>
      </c>
      <c r="C32" s="219" t="s">
        <v>865</v>
      </c>
      <c r="D32" s="13">
        <f>'Run Parameters'!$B$1 + ROW()-1</f>
        <v>673</v>
      </c>
      <c r="E32" s="15" t="s">
        <v>47</v>
      </c>
      <c r="F32" s="13" t="s">
        <v>738</v>
      </c>
      <c r="G32" s="13" t="str">
        <f>("Access Dtls-" &amp; D32)</f>
        <v>Access Dtls-673</v>
      </c>
      <c r="H32" s="15" t="s">
        <v>275</v>
      </c>
      <c r="I32" s="13" t="str">
        <f>("MR. Test_31_NMEX5_"&amp;D32&amp;"")</f>
        <v>MR. Test_31_NMEX5_673</v>
      </c>
      <c r="J32" s="13"/>
      <c r="K32" s="19" t="s">
        <v>425</v>
      </c>
      <c r="L32" s="13" t="str">
        <f>("Cust. Ref-" &amp; D32)</f>
        <v>Cust. Ref-673</v>
      </c>
      <c r="M32" s="15" t="s">
        <v>48</v>
      </c>
      <c r="N32" s="15" t="s">
        <v>425</v>
      </c>
      <c r="O32" s="13"/>
      <c r="P32" s="13" t="str">
        <f>("SN-" &amp; D32)</f>
        <v>SN-673</v>
      </c>
      <c r="Q32" s="13" t="str">
        <f>("SI-" &amp; D32)</f>
        <v>SI-673</v>
      </c>
      <c r="R32" s="13" t="str">
        <f>("SE-" &amp; D32)</f>
        <v>SE-673</v>
      </c>
      <c r="S32" s="135" t="str">
        <f>("Prev_RA-" &amp; D32)</f>
        <v>Prev_RA-673</v>
      </c>
      <c r="T32" s="135" t="str">
        <f>("Prev_Comms-" &amp; D32)</f>
        <v>Prev_Comms-673</v>
      </c>
      <c r="U32" s="17" t="s">
        <v>75</v>
      </c>
      <c r="V32" s="15" t="s">
        <v>401</v>
      </c>
      <c r="W32" s="17" t="s">
        <v>75</v>
      </c>
      <c r="X32" s="15" t="s">
        <v>396</v>
      </c>
      <c r="Y32" s="13" t="str">
        <f>("Forward Add-" &amp; D32)</f>
        <v>Forward Add-673</v>
      </c>
      <c r="Z32" s="15" t="s">
        <v>401</v>
      </c>
      <c r="AA32" s="136" t="str">
        <f>'Run Parameters'!$B$2</f>
        <v>2018-08-13 08:00</v>
      </c>
      <c r="AB32" s="223" t="str">
        <f>'Run Parameters'!B$3</f>
        <v>2018-08-13 18:00</v>
      </c>
      <c r="AC32" s="26">
        <f>('Run Parameters'!$B$2) - 7</f>
        <v>43318.333333333336</v>
      </c>
      <c r="AD32" s="17" t="s">
        <v>75</v>
      </c>
      <c r="AE32" s="13" t="str">
        <f>("LAST_METER-" &amp; D32)</f>
        <v>LAST_METER-673</v>
      </c>
      <c r="AF32" s="136" t="str">
        <f>'Run Parameters'!$B$2</f>
        <v>2018-08-13 08:00</v>
      </c>
      <c r="AG32" s="13" t="str">
        <f>'Run Parameters'!B$4</f>
        <v>AUTOTEST2</v>
      </c>
      <c r="AH32" s="135" t="str">
        <f>("Site_Contact_" &amp; D32)</f>
        <v>Site_Contact_673</v>
      </c>
      <c r="AI32" s="136" t="str">
        <f>'Run Parameters'!B$2</f>
        <v>2018-08-13 08:00</v>
      </c>
      <c r="AJ32" s="223" t="str">
        <f>'Run Parameters'!B$3</f>
        <v>2018-08-13 18:00</v>
      </c>
      <c r="AK32" s="13" t="s">
        <v>396</v>
      </c>
      <c r="AL32" s="135" t="str">
        <f>"01159" &amp; D32</f>
        <v>01159673</v>
      </c>
      <c r="AM32" s="13" t="str">
        <f>("0115" &amp; D32)</f>
        <v>0115673</v>
      </c>
      <c r="AN32" s="15"/>
      <c r="AO32" s="15"/>
      <c r="AP32" s="13">
        <v>1</v>
      </c>
      <c r="AQ32" s="15" t="s">
        <v>49</v>
      </c>
      <c r="AR32" s="15"/>
      <c r="AS32" s="13"/>
      <c r="AT32" s="12"/>
      <c r="AU32" s="12"/>
      <c r="AV32" s="13">
        <f>D32</f>
        <v>673</v>
      </c>
      <c r="AW32" s="13" t="s">
        <v>739</v>
      </c>
      <c r="AX32" s="13" t="s">
        <v>420</v>
      </c>
      <c r="AY32" s="13" t="s">
        <v>421</v>
      </c>
      <c r="AZ32" s="15" t="s">
        <v>334</v>
      </c>
      <c r="BA32" s="15" t="s">
        <v>154</v>
      </c>
      <c r="BB32" s="21">
        <v>1</v>
      </c>
      <c r="BC32" s="21">
        <f>D32</f>
        <v>673</v>
      </c>
      <c r="BD32" s="17" t="s">
        <v>740</v>
      </c>
      <c r="BE32" s="17" t="s">
        <v>391</v>
      </c>
      <c r="BF32" s="17" t="s">
        <v>391</v>
      </c>
      <c r="BG32" s="21" t="s">
        <v>738</v>
      </c>
      <c r="BH32" s="21" t="str">
        <f>BC32&amp;"_"&amp;BB32</f>
        <v>673_1</v>
      </c>
      <c r="BI32" s="21"/>
      <c r="BJ32" s="21" t="str">
        <f>"10000000" &amp; D32</f>
        <v>10000000673</v>
      </c>
      <c r="BK32" s="17" t="s">
        <v>51</v>
      </c>
      <c r="BL32" s="17" t="s">
        <v>54</v>
      </c>
      <c r="BM32" s="21" t="s">
        <v>741</v>
      </c>
      <c r="BN32" s="17" t="s">
        <v>51</v>
      </c>
      <c r="BO32" s="21" t="str">
        <f>"S05S" &amp; D32</f>
        <v>S05S673</v>
      </c>
      <c r="BP32" s="17" t="s">
        <v>409</v>
      </c>
      <c r="BQ32" s="17" t="s">
        <v>409</v>
      </c>
      <c r="BR32" s="21" t="s">
        <v>161</v>
      </c>
      <c r="BS32" s="17" t="s">
        <v>202</v>
      </c>
      <c r="BT32" s="17" t="s">
        <v>160</v>
      </c>
      <c r="BU32" s="17" t="s">
        <v>393</v>
      </c>
      <c r="BV32" s="17" t="s">
        <v>51</v>
      </c>
      <c r="BW32" s="17" t="s">
        <v>154</v>
      </c>
      <c r="BX32" s="17"/>
      <c r="BY32" s="17"/>
      <c r="BZ32" s="17" t="s">
        <v>157</v>
      </c>
      <c r="CA32" s="17" t="s">
        <v>269</v>
      </c>
      <c r="CB32" s="17" t="s">
        <v>47</v>
      </c>
      <c r="CC32" s="17" t="s">
        <v>742</v>
      </c>
      <c r="CD32" s="17" t="s">
        <v>392</v>
      </c>
      <c r="CE32" s="17" t="s">
        <v>396</v>
      </c>
      <c r="CF32" s="17" t="s">
        <v>398</v>
      </c>
      <c r="CG32" s="17" t="s">
        <v>743</v>
      </c>
      <c r="CH32" s="17" t="s">
        <v>159</v>
      </c>
      <c r="CI32" s="11"/>
      <c r="CJ32" s="11"/>
      <c r="CK32" s="12"/>
      <c r="CL32" s="12"/>
      <c r="CM32" s="12"/>
      <c r="CN32" s="11"/>
      <c r="CO32" s="11"/>
      <c r="CP32" s="12"/>
      <c r="CQ32" s="11"/>
      <c r="CR32" s="11"/>
      <c r="CS32" s="12"/>
      <c r="CT32" s="28"/>
      <c r="CU32" s="11"/>
      <c r="CV32" s="12"/>
      <c r="CW32" s="12"/>
      <c r="CX32" s="12"/>
      <c r="CY32" s="12"/>
      <c r="CZ32" s="12"/>
      <c r="DA32" s="12"/>
      <c r="DB32" s="11"/>
      <c r="DC32" s="12"/>
      <c r="DD32" s="12"/>
      <c r="DE32" s="12"/>
      <c r="DF32" s="12"/>
      <c r="DG32" s="12"/>
      <c r="DH32" s="12"/>
      <c r="DI32" s="12"/>
      <c r="DJ32" s="12"/>
      <c r="DK32" s="12"/>
      <c r="DL32" s="40"/>
      <c r="DM32" s="40"/>
      <c r="DN32" s="41" t="str">
        <f t="shared" ref="DN32:DN105" si="38">("DS_Pass-" &amp; $D32)</f>
        <v>DS_Pass-673</v>
      </c>
      <c r="DO32" s="40"/>
      <c r="DP32" s="40"/>
      <c r="DQ32" s="40"/>
      <c r="DR32" s="41"/>
      <c r="DS32" s="41"/>
      <c r="DT32" s="40"/>
      <c r="DU32" s="40"/>
      <c r="DV32" s="40"/>
      <c r="DW32" s="41"/>
      <c r="DX32" s="40"/>
      <c r="DY32" s="40"/>
      <c r="DZ32" s="40" t="s">
        <v>409</v>
      </c>
      <c r="EA32" s="138"/>
      <c r="EB32" s="40"/>
      <c r="EC32" s="40"/>
      <c r="ED32" s="17"/>
      <c r="EE32" s="2"/>
      <c r="EF32" s="139"/>
    </row>
    <row r="33" spans="1:136" s="140" customFormat="1">
      <c r="A33" s="219" t="s">
        <v>912</v>
      </c>
      <c r="B33" s="219" t="s">
        <v>868</v>
      </c>
      <c r="C33" s="219" t="s">
        <v>865</v>
      </c>
      <c r="D33" s="13">
        <f>'Run Parameters'!$B$1 + ROW()-1</f>
        <v>674</v>
      </c>
      <c r="E33" s="15" t="s">
        <v>47</v>
      </c>
      <c r="F33" s="13" t="s">
        <v>738</v>
      </c>
      <c r="G33" s="13" t="str">
        <f t="shared" ref="G33:G41" si="39">("Access Dtls-" &amp; D33)</f>
        <v>Access Dtls-674</v>
      </c>
      <c r="H33" s="15" t="s">
        <v>275</v>
      </c>
      <c r="I33" s="13" t="str">
        <f>("MR. Test_32_NMEX5_"&amp;D33&amp;"")</f>
        <v>MR. Test_32_NMEX5_674</v>
      </c>
      <c r="J33" s="13"/>
      <c r="K33" s="19" t="s">
        <v>425</v>
      </c>
      <c r="L33" s="13" t="str">
        <f t="shared" ref="L33:L41" si="40">("Cust. Ref-" &amp; D33)</f>
        <v>Cust. Ref-674</v>
      </c>
      <c r="M33" s="15" t="s">
        <v>48</v>
      </c>
      <c r="N33" s="15" t="s">
        <v>425</v>
      </c>
      <c r="O33" s="13"/>
      <c r="P33" s="13" t="str">
        <f t="shared" ref="P33:P41" si="41">("SN-" &amp; D33)</f>
        <v>SN-674</v>
      </c>
      <c r="Q33" s="13" t="str">
        <f t="shared" ref="Q33:Q41" si="42">("SI-" &amp; D33)</f>
        <v>SI-674</v>
      </c>
      <c r="R33" s="13" t="str">
        <f t="shared" ref="R33:R41" si="43">("SE-" &amp; D33)</f>
        <v>SE-674</v>
      </c>
      <c r="S33" s="135" t="str">
        <f t="shared" ref="S33:S41" si="44">("Prev_RA-" &amp; D33)</f>
        <v>Prev_RA-674</v>
      </c>
      <c r="T33" s="135" t="str">
        <f t="shared" ref="T33:T41" si="45">("Prev_Comms-" &amp; D33)</f>
        <v>Prev_Comms-674</v>
      </c>
      <c r="U33" s="17" t="s">
        <v>75</v>
      </c>
      <c r="V33" s="15" t="s">
        <v>401</v>
      </c>
      <c r="W33" s="17" t="s">
        <v>75</v>
      </c>
      <c r="X33" s="15" t="s">
        <v>396</v>
      </c>
      <c r="Y33" s="13" t="str">
        <f t="shared" ref="Y33:Y41" si="46">("Forward Add-" &amp; D33)</f>
        <v>Forward Add-674</v>
      </c>
      <c r="Z33" s="15" t="s">
        <v>401</v>
      </c>
      <c r="AA33" s="136" t="str">
        <f>'Run Parameters'!$B$2</f>
        <v>2018-08-13 08:00</v>
      </c>
      <c r="AB33" s="223" t="str">
        <f>'Run Parameters'!B$3</f>
        <v>2018-08-13 18:00</v>
      </c>
      <c r="AC33" s="26">
        <f>('Run Parameters'!$B$2) - 7</f>
        <v>43318.333333333336</v>
      </c>
      <c r="AD33" s="17" t="s">
        <v>75</v>
      </c>
      <c r="AE33" s="13" t="str">
        <f t="shared" ref="AE33:AE41" si="47">("LAST_METER-" &amp; D33)</f>
        <v>LAST_METER-674</v>
      </c>
      <c r="AF33" s="136" t="str">
        <f>'Run Parameters'!$B$2</f>
        <v>2018-08-13 08:00</v>
      </c>
      <c r="AG33" s="13" t="str">
        <f>'Run Parameters'!B$4</f>
        <v>AUTOTEST2</v>
      </c>
      <c r="AH33" s="135" t="str">
        <f t="shared" ref="AH33:AH41" si="48">("Site_Contact_" &amp; D33)</f>
        <v>Site_Contact_674</v>
      </c>
      <c r="AI33" s="136" t="str">
        <f>'Run Parameters'!B$2</f>
        <v>2018-08-13 08:00</v>
      </c>
      <c r="AJ33" s="223" t="str">
        <f>'Run Parameters'!B$3</f>
        <v>2018-08-13 18:00</v>
      </c>
      <c r="AK33" s="13" t="s">
        <v>396</v>
      </c>
      <c r="AL33" s="135" t="str">
        <f t="shared" ref="AL33:AL41" si="49">"01159" &amp; D33</f>
        <v>01159674</v>
      </c>
      <c r="AM33" s="13" t="str">
        <f t="shared" ref="AM33:AM41" si="50">("0115" &amp; D33)</f>
        <v>0115674</v>
      </c>
      <c r="AN33" s="15"/>
      <c r="AO33" s="15"/>
      <c r="AP33" s="13">
        <v>1</v>
      </c>
      <c r="AQ33" s="15" t="s">
        <v>49</v>
      </c>
      <c r="AR33" s="15"/>
      <c r="AS33" s="13"/>
      <c r="AT33" s="12"/>
      <c r="AU33" s="12"/>
      <c r="AV33" s="13">
        <f t="shared" ref="AV33:AV41" si="51">D33</f>
        <v>674</v>
      </c>
      <c r="AW33" s="13" t="s">
        <v>739</v>
      </c>
      <c r="AX33" s="13" t="s">
        <v>420</v>
      </c>
      <c r="AY33" s="13" t="s">
        <v>421</v>
      </c>
      <c r="AZ33" s="15" t="s">
        <v>334</v>
      </c>
      <c r="BA33" s="15" t="s">
        <v>154</v>
      </c>
      <c r="BB33" s="21">
        <v>1</v>
      </c>
      <c r="BC33" s="21">
        <f t="shared" ref="BC33:BC41" si="52">D33</f>
        <v>674</v>
      </c>
      <c r="BD33" s="17" t="s">
        <v>740</v>
      </c>
      <c r="BE33" s="17" t="s">
        <v>391</v>
      </c>
      <c r="BF33" s="17" t="s">
        <v>391</v>
      </c>
      <c r="BG33" s="21" t="s">
        <v>738</v>
      </c>
      <c r="BH33" s="21" t="str">
        <f t="shared" ref="BH33:BH41" si="53">BC33&amp;"_"&amp;BB33</f>
        <v>674_1</v>
      </c>
      <c r="BI33" s="21"/>
      <c r="BJ33" s="21" t="str">
        <f t="shared" ref="BJ33:BJ41" si="54">"10000000" &amp; D33</f>
        <v>10000000674</v>
      </c>
      <c r="BK33" s="17" t="s">
        <v>51</v>
      </c>
      <c r="BL33" s="17" t="s">
        <v>54</v>
      </c>
      <c r="BM33" s="21" t="s">
        <v>741</v>
      </c>
      <c r="BN33" s="17" t="s">
        <v>51</v>
      </c>
      <c r="BO33" s="21" t="str">
        <f t="shared" ref="BO33:BO41" si="55">"S05S" &amp; D33</f>
        <v>S05S674</v>
      </c>
      <c r="BP33" s="17" t="s">
        <v>409</v>
      </c>
      <c r="BQ33" s="17" t="s">
        <v>409</v>
      </c>
      <c r="BR33" s="21" t="s">
        <v>161</v>
      </c>
      <c r="BS33" s="17" t="s">
        <v>202</v>
      </c>
      <c r="BT33" s="17" t="s">
        <v>160</v>
      </c>
      <c r="BU33" s="17" t="s">
        <v>393</v>
      </c>
      <c r="BV33" s="17" t="s">
        <v>51</v>
      </c>
      <c r="BW33" s="17" t="s">
        <v>154</v>
      </c>
      <c r="BX33" s="17"/>
      <c r="BY33" s="17"/>
      <c r="BZ33" s="17" t="s">
        <v>157</v>
      </c>
      <c r="CA33" s="17" t="s">
        <v>269</v>
      </c>
      <c r="CB33" s="17" t="s">
        <v>47</v>
      </c>
      <c r="CC33" s="17" t="s">
        <v>742</v>
      </c>
      <c r="CD33" s="17" t="s">
        <v>392</v>
      </c>
      <c r="CE33" s="17" t="s">
        <v>396</v>
      </c>
      <c r="CF33" s="17" t="s">
        <v>398</v>
      </c>
      <c r="CG33" s="17" t="s">
        <v>743</v>
      </c>
      <c r="CH33" s="17" t="s">
        <v>159</v>
      </c>
      <c r="CI33" s="11"/>
      <c r="CJ33" s="11"/>
      <c r="CK33" s="12"/>
      <c r="CL33" s="12"/>
      <c r="CM33" s="12"/>
      <c r="CN33" s="11"/>
      <c r="CO33" s="11"/>
      <c r="CP33" s="12"/>
      <c r="CQ33" s="11"/>
      <c r="CR33" s="11"/>
      <c r="CS33" s="12"/>
      <c r="CT33" s="28"/>
      <c r="CU33" s="11"/>
      <c r="CV33" s="12"/>
      <c r="CW33" s="12"/>
      <c r="CX33" s="12"/>
      <c r="CY33" s="12"/>
      <c r="CZ33" s="12"/>
      <c r="DA33" s="12"/>
      <c r="DB33" s="11"/>
      <c r="DC33" s="12"/>
      <c r="DD33" s="12"/>
      <c r="DE33" s="12"/>
      <c r="DF33" s="12"/>
      <c r="DG33" s="12"/>
      <c r="DH33" s="12"/>
      <c r="DI33" s="12"/>
      <c r="DJ33" s="12"/>
      <c r="DK33" s="12"/>
      <c r="DL33" s="40"/>
      <c r="DM33" s="40"/>
      <c r="DN33" s="41" t="str">
        <f t="shared" si="38"/>
        <v>DS_Pass-674</v>
      </c>
      <c r="DO33" s="40"/>
      <c r="DP33" s="40"/>
      <c r="DQ33" s="40"/>
      <c r="DR33" s="41"/>
      <c r="DS33" s="41"/>
      <c r="DT33" s="40"/>
      <c r="DU33" s="40"/>
      <c r="DV33" s="40"/>
      <c r="DW33" s="41"/>
      <c r="DX33" s="40"/>
      <c r="DY33" s="40"/>
      <c r="DZ33" s="40" t="s">
        <v>409</v>
      </c>
      <c r="EA33" s="138"/>
      <c r="EB33" s="40"/>
      <c r="EC33" s="40"/>
      <c r="ED33" s="17"/>
      <c r="EE33" s="2"/>
      <c r="EF33" s="139"/>
    </row>
    <row r="34" spans="1:136" s="140" customFormat="1">
      <c r="A34" s="219" t="s">
        <v>913</v>
      </c>
      <c r="B34" s="219" t="s">
        <v>892</v>
      </c>
      <c r="C34" s="219" t="s">
        <v>865</v>
      </c>
      <c r="D34" s="13">
        <f>'Run Parameters'!$B$1 + ROW()-1</f>
        <v>675</v>
      </c>
      <c r="E34" s="15" t="s">
        <v>47</v>
      </c>
      <c r="F34" s="13" t="s">
        <v>738</v>
      </c>
      <c r="G34" s="13" t="str">
        <f t="shared" si="39"/>
        <v>Access Dtls-675</v>
      </c>
      <c r="H34" s="15" t="s">
        <v>275</v>
      </c>
      <c r="I34" s="13" t="str">
        <f>("MR. Test_33_NMEX5_"&amp;D34&amp;"")</f>
        <v>MR. Test_33_NMEX5_675</v>
      </c>
      <c r="J34" s="13"/>
      <c r="K34" s="19" t="s">
        <v>425</v>
      </c>
      <c r="L34" s="13" t="str">
        <f t="shared" si="40"/>
        <v>Cust. Ref-675</v>
      </c>
      <c r="M34" s="15" t="s">
        <v>48</v>
      </c>
      <c r="N34" s="15" t="s">
        <v>425</v>
      </c>
      <c r="O34" s="13"/>
      <c r="P34" s="13" t="str">
        <f t="shared" si="41"/>
        <v>SN-675</v>
      </c>
      <c r="Q34" s="13" t="str">
        <f t="shared" si="42"/>
        <v>SI-675</v>
      </c>
      <c r="R34" s="13" t="str">
        <f t="shared" si="43"/>
        <v>SE-675</v>
      </c>
      <c r="S34" s="135" t="str">
        <f t="shared" si="44"/>
        <v>Prev_RA-675</v>
      </c>
      <c r="T34" s="135" t="str">
        <f t="shared" si="45"/>
        <v>Prev_Comms-675</v>
      </c>
      <c r="U34" s="17" t="s">
        <v>75</v>
      </c>
      <c r="V34" s="15" t="s">
        <v>401</v>
      </c>
      <c r="W34" s="17" t="s">
        <v>75</v>
      </c>
      <c r="X34" s="15" t="s">
        <v>396</v>
      </c>
      <c r="Y34" s="13" t="str">
        <f t="shared" si="46"/>
        <v>Forward Add-675</v>
      </c>
      <c r="Z34" s="15" t="s">
        <v>401</v>
      </c>
      <c r="AA34" s="136" t="str">
        <f>'Run Parameters'!$B$2</f>
        <v>2018-08-13 08:00</v>
      </c>
      <c r="AB34" s="223" t="str">
        <f>'Run Parameters'!B$3</f>
        <v>2018-08-13 18:00</v>
      </c>
      <c r="AC34" s="26">
        <f>('Run Parameters'!$B$2) - 7</f>
        <v>43318.333333333336</v>
      </c>
      <c r="AD34" s="17" t="s">
        <v>75</v>
      </c>
      <c r="AE34" s="13" t="str">
        <f t="shared" si="47"/>
        <v>LAST_METER-675</v>
      </c>
      <c r="AF34" s="136" t="str">
        <f>'Run Parameters'!$B$2</f>
        <v>2018-08-13 08:00</v>
      </c>
      <c r="AG34" s="13" t="str">
        <f>'Run Parameters'!B$4</f>
        <v>AUTOTEST2</v>
      </c>
      <c r="AH34" s="135" t="str">
        <f t="shared" si="48"/>
        <v>Site_Contact_675</v>
      </c>
      <c r="AI34" s="136" t="str">
        <f>'Run Parameters'!B$2</f>
        <v>2018-08-13 08:00</v>
      </c>
      <c r="AJ34" s="223" t="str">
        <f>'Run Parameters'!B$3</f>
        <v>2018-08-13 18:00</v>
      </c>
      <c r="AK34" s="13" t="s">
        <v>396</v>
      </c>
      <c r="AL34" s="135" t="str">
        <f t="shared" si="49"/>
        <v>01159675</v>
      </c>
      <c r="AM34" s="13" t="str">
        <f t="shared" si="50"/>
        <v>0115675</v>
      </c>
      <c r="AN34" s="15"/>
      <c r="AO34" s="15"/>
      <c r="AP34" s="13">
        <v>1</v>
      </c>
      <c r="AQ34" s="15" t="s">
        <v>49</v>
      </c>
      <c r="AR34" s="15"/>
      <c r="AS34" s="13"/>
      <c r="AT34" s="12"/>
      <c r="AU34" s="12"/>
      <c r="AV34" s="13">
        <f t="shared" si="51"/>
        <v>675</v>
      </c>
      <c r="AW34" s="13" t="s">
        <v>739</v>
      </c>
      <c r="AX34" s="13" t="s">
        <v>420</v>
      </c>
      <c r="AY34" s="13" t="s">
        <v>421</v>
      </c>
      <c r="AZ34" s="15" t="s">
        <v>334</v>
      </c>
      <c r="BA34" s="15" t="s">
        <v>154</v>
      </c>
      <c r="BB34" s="21">
        <v>1</v>
      </c>
      <c r="BC34" s="21">
        <f t="shared" si="52"/>
        <v>675</v>
      </c>
      <c r="BD34" s="17" t="s">
        <v>740</v>
      </c>
      <c r="BE34" s="17" t="s">
        <v>391</v>
      </c>
      <c r="BF34" s="17" t="s">
        <v>391</v>
      </c>
      <c r="BG34" s="21" t="s">
        <v>738</v>
      </c>
      <c r="BH34" s="21" t="str">
        <f t="shared" si="53"/>
        <v>675_1</v>
      </c>
      <c r="BI34" s="21"/>
      <c r="BJ34" s="21" t="str">
        <f t="shared" si="54"/>
        <v>10000000675</v>
      </c>
      <c r="BK34" s="17" t="s">
        <v>51</v>
      </c>
      <c r="BL34" s="17" t="s">
        <v>54</v>
      </c>
      <c r="BM34" s="21" t="s">
        <v>741</v>
      </c>
      <c r="BN34" s="17" t="s">
        <v>51</v>
      </c>
      <c r="BO34" s="21" t="str">
        <f t="shared" si="55"/>
        <v>S05S675</v>
      </c>
      <c r="BP34" s="17" t="s">
        <v>409</v>
      </c>
      <c r="BQ34" s="17" t="s">
        <v>409</v>
      </c>
      <c r="BR34" s="21" t="s">
        <v>161</v>
      </c>
      <c r="BS34" s="17" t="s">
        <v>202</v>
      </c>
      <c r="BT34" s="17" t="s">
        <v>160</v>
      </c>
      <c r="BU34" s="17" t="s">
        <v>393</v>
      </c>
      <c r="BV34" s="17" t="s">
        <v>51</v>
      </c>
      <c r="BW34" s="17" t="s">
        <v>154</v>
      </c>
      <c r="BX34" s="17"/>
      <c r="BY34" s="17"/>
      <c r="BZ34" s="17" t="s">
        <v>157</v>
      </c>
      <c r="CA34" s="17" t="s">
        <v>269</v>
      </c>
      <c r="CB34" s="17" t="s">
        <v>47</v>
      </c>
      <c r="CC34" s="17" t="s">
        <v>742</v>
      </c>
      <c r="CD34" s="17" t="s">
        <v>392</v>
      </c>
      <c r="CE34" s="17" t="s">
        <v>396</v>
      </c>
      <c r="CF34" s="17" t="s">
        <v>398</v>
      </c>
      <c r="CG34" s="17" t="s">
        <v>743</v>
      </c>
      <c r="CH34" s="17" t="s">
        <v>159</v>
      </c>
      <c r="CI34" s="11"/>
      <c r="CJ34" s="11"/>
      <c r="CK34" s="12"/>
      <c r="CL34" s="12"/>
      <c r="CM34" s="12"/>
      <c r="CN34" s="11"/>
      <c r="CO34" s="11"/>
      <c r="CP34" s="12"/>
      <c r="CQ34" s="11"/>
      <c r="CR34" s="11"/>
      <c r="CS34" s="12"/>
      <c r="CT34" s="28"/>
      <c r="CU34" s="11"/>
      <c r="CV34" s="12"/>
      <c r="CW34" s="12"/>
      <c r="CX34" s="12"/>
      <c r="CY34" s="12"/>
      <c r="CZ34" s="12"/>
      <c r="DA34" s="12"/>
      <c r="DB34" s="11"/>
      <c r="DC34" s="12"/>
      <c r="DD34" s="12"/>
      <c r="DE34" s="12"/>
      <c r="DF34" s="12"/>
      <c r="DG34" s="12"/>
      <c r="DH34" s="12"/>
      <c r="DI34" s="12"/>
      <c r="DJ34" s="12"/>
      <c r="DK34" s="12"/>
      <c r="DL34" s="40"/>
      <c r="DM34" s="40"/>
      <c r="DN34" s="41" t="str">
        <f t="shared" si="38"/>
        <v>DS_Pass-675</v>
      </c>
      <c r="DO34" s="40"/>
      <c r="DP34" s="40"/>
      <c r="DQ34" s="40"/>
      <c r="DR34" s="41"/>
      <c r="DS34" s="41"/>
      <c r="DT34" s="40"/>
      <c r="DU34" s="40"/>
      <c r="DV34" s="40"/>
      <c r="DW34" s="41"/>
      <c r="DX34" s="40"/>
      <c r="DY34" s="40"/>
      <c r="DZ34" s="40" t="s">
        <v>409</v>
      </c>
      <c r="EA34" s="138"/>
      <c r="EB34" s="40"/>
      <c r="EC34" s="40"/>
      <c r="ED34" s="17"/>
      <c r="EE34" s="2"/>
      <c r="EF34" s="139"/>
    </row>
    <row r="35" spans="1:136" s="140" customFormat="1">
      <c r="A35" s="219" t="s">
        <v>914</v>
      </c>
      <c r="B35" s="219" t="s">
        <v>868</v>
      </c>
      <c r="C35" s="219" t="s">
        <v>865</v>
      </c>
      <c r="D35" s="13">
        <f>'Run Parameters'!$B$1 + ROW()-1</f>
        <v>676</v>
      </c>
      <c r="E35" s="15" t="s">
        <v>47</v>
      </c>
      <c r="F35" s="13" t="s">
        <v>738</v>
      </c>
      <c r="G35" s="13" t="str">
        <f t="shared" si="39"/>
        <v>Access Dtls-676</v>
      </c>
      <c r="H35" s="15" t="s">
        <v>275</v>
      </c>
      <c r="I35" s="13" t="str">
        <f>("MR. Test_34_NMEX5_"&amp;D35&amp;"")</f>
        <v>MR. Test_34_NMEX5_676</v>
      </c>
      <c r="J35" s="13"/>
      <c r="K35" s="19" t="s">
        <v>425</v>
      </c>
      <c r="L35" s="13" t="str">
        <f t="shared" si="40"/>
        <v>Cust. Ref-676</v>
      </c>
      <c r="M35" s="15" t="s">
        <v>48</v>
      </c>
      <c r="N35" s="15" t="s">
        <v>425</v>
      </c>
      <c r="O35" s="13"/>
      <c r="P35" s="13" t="str">
        <f t="shared" si="41"/>
        <v>SN-676</v>
      </c>
      <c r="Q35" s="13" t="str">
        <f t="shared" si="42"/>
        <v>SI-676</v>
      </c>
      <c r="R35" s="13" t="str">
        <f t="shared" si="43"/>
        <v>SE-676</v>
      </c>
      <c r="S35" s="135" t="str">
        <f t="shared" si="44"/>
        <v>Prev_RA-676</v>
      </c>
      <c r="T35" s="135" t="str">
        <f t="shared" si="45"/>
        <v>Prev_Comms-676</v>
      </c>
      <c r="U35" s="17" t="s">
        <v>75</v>
      </c>
      <c r="V35" s="15" t="s">
        <v>401</v>
      </c>
      <c r="W35" s="17" t="s">
        <v>75</v>
      </c>
      <c r="X35" s="15" t="s">
        <v>396</v>
      </c>
      <c r="Y35" s="13" t="str">
        <f t="shared" si="46"/>
        <v>Forward Add-676</v>
      </c>
      <c r="Z35" s="15" t="s">
        <v>401</v>
      </c>
      <c r="AA35" s="136" t="str">
        <f>'Run Parameters'!$B$2</f>
        <v>2018-08-13 08:00</v>
      </c>
      <c r="AB35" s="223" t="str">
        <f>'Run Parameters'!B$3</f>
        <v>2018-08-13 18:00</v>
      </c>
      <c r="AC35" s="26">
        <f>('Run Parameters'!$B$2) - 7</f>
        <v>43318.333333333336</v>
      </c>
      <c r="AD35" s="17" t="s">
        <v>75</v>
      </c>
      <c r="AE35" s="13" t="str">
        <f t="shared" si="47"/>
        <v>LAST_METER-676</v>
      </c>
      <c r="AF35" s="136" t="str">
        <f>'Run Parameters'!$B$2</f>
        <v>2018-08-13 08:00</v>
      </c>
      <c r="AG35" s="13" t="str">
        <f>'Run Parameters'!B$4</f>
        <v>AUTOTEST2</v>
      </c>
      <c r="AH35" s="135" t="str">
        <f t="shared" si="48"/>
        <v>Site_Contact_676</v>
      </c>
      <c r="AI35" s="136" t="str">
        <f>'Run Parameters'!B$2</f>
        <v>2018-08-13 08:00</v>
      </c>
      <c r="AJ35" s="223" t="str">
        <f>'Run Parameters'!B$3</f>
        <v>2018-08-13 18:00</v>
      </c>
      <c r="AK35" s="13" t="s">
        <v>396</v>
      </c>
      <c r="AL35" s="135" t="str">
        <f t="shared" si="49"/>
        <v>01159676</v>
      </c>
      <c r="AM35" s="13" t="str">
        <f t="shared" si="50"/>
        <v>0115676</v>
      </c>
      <c r="AN35" s="15"/>
      <c r="AO35" s="15"/>
      <c r="AP35" s="13">
        <v>1</v>
      </c>
      <c r="AQ35" s="15" t="s">
        <v>49</v>
      </c>
      <c r="AR35" s="15"/>
      <c r="AS35" s="13"/>
      <c r="AT35" s="12"/>
      <c r="AU35" s="12"/>
      <c r="AV35" s="13">
        <f t="shared" si="51"/>
        <v>676</v>
      </c>
      <c r="AW35" s="13" t="s">
        <v>739</v>
      </c>
      <c r="AX35" s="13" t="s">
        <v>420</v>
      </c>
      <c r="AY35" s="13" t="s">
        <v>421</v>
      </c>
      <c r="AZ35" s="15" t="s">
        <v>334</v>
      </c>
      <c r="BA35" s="15" t="s">
        <v>154</v>
      </c>
      <c r="BB35" s="21">
        <v>1</v>
      </c>
      <c r="BC35" s="21">
        <f t="shared" si="52"/>
        <v>676</v>
      </c>
      <c r="BD35" s="17" t="s">
        <v>740</v>
      </c>
      <c r="BE35" s="17" t="s">
        <v>391</v>
      </c>
      <c r="BF35" s="17" t="s">
        <v>391</v>
      </c>
      <c r="BG35" s="21" t="s">
        <v>738</v>
      </c>
      <c r="BH35" s="21" t="str">
        <f t="shared" si="53"/>
        <v>676_1</v>
      </c>
      <c r="BI35" s="21"/>
      <c r="BJ35" s="21" t="str">
        <f t="shared" si="54"/>
        <v>10000000676</v>
      </c>
      <c r="BK35" s="17" t="s">
        <v>51</v>
      </c>
      <c r="BL35" s="17" t="s">
        <v>54</v>
      </c>
      <c r="BM35" s="21" t="s">
        <v>741</v>
      </c>
      <c r="BN35" s="17" t="s">
        <v>51</v>
      </c>
      <c r="BO35" s="21" t="str">
        <f t="shared" si="55"/>
        <v>S05S676</v>
      </c>
      <c r="BP35" s="17" t="s">
        <v>409</v>
      </c>
      <c r="BQ35" s="17" t="s">
        <v>409</v>
      </c>
      <c r="BR35" s="21" t="s">
        <v>161</v>
      </c>
      <c r="BS35" s="17" t="s">
        <v>202</v>
      </c>
      <c r="BT35" s="17" t="s">
        <v>160</v>
      </c>
      <c r="BU35" s="17" t="s">
        <v>393</v>
      </c>
      <c r="BV35" s="17" t="s">
        <v>51</v>
      </c>
      <c r="BW35" s="17" t="s">
        <v>154</v>
      </c>
      <c r="BX35" s="17"/>
      <c r="BY35" s="17"/>
      <c r="BZ35" s="17" t="s">
        <v>157</v>
      </c>
      <c r="CA35" s="17" t="s">
        <v>269</v>
      </c>
      <c r="CB35" s="17" t="s">
        <v>47</v>
      </c>
      <c r="CC35" s="17" t="s">
        <v>742</v>
      </c>
      <c r="CD35" s="17" t="s">
        <v>392</v>
      </c>
      <c r="CE35" s="17" t="s">
        <v>396</v>
      </c>
      <c r="CF35" s="17" t="s">
        <v>398</v>
      </c>
      <c r="CG35" s="17" t="s">
        <v>743</v>
      </c>
      <c r="CH35" s="17" t="s">
        <v>159</v>
      </c>
      <c r="CI35" s="11"/>
      <c r="CJ35" s="11"/>
      <c r="CK35" s="12"/>
      <c r="CL35" s="12"/>
      <c r="CM35" s="12"/>
      <c r="CN35" s="11"/>
      <c r="CO35" s="11"/>
      <c r="CP35" s="12"/>
      <c r="CQ35" s="11"/>
      <c r="CR35" s="11"/>
      <c r="CS35" s="12"/>
      <c r="CT35" s="28"/>
      <c r="CU35" s="11"/>
      <c r="CV35" s="12"/>
      <c r="CW35" s="12"/>
      <c r="CX35" s="12"/>
      <c r="CY35" s="12"/>
      <c r="CZ35" s="12"/>
      <c r="DA35" s="12"/>
      <c r="DB35" s="11"/>
      <c r="DC35" s="12"/>
      <c r="DD35" s="12"/>
      <c r="DE35" s="12"/>
      <c r="DF35" s="12"/>
      <c r="DG35" s="12"/>
      <c r="DH35" s="12"/>
      <c r="DI35" s="12"/>
      <c r="DJ35" s="12"/>
      <c r="DK35" s="12"/>
      <c r="DL35" s="40"/>
      <c r="DM35" s="40"/>
      <c r="DN35" s="41" t="str">
        <f t="shared" si="38"/>
        <v>DS_Pass-676</v>
      </c>
      <c r="DO35" s="40"/>
      <c r="DP35" s="40"/>
      <c r="DQ35" s="40"/>
      <c r="DR35" s="41"/>
      <c r="DS35" s="41"/>
      <c r="DT35" s="40"/>
      <c r="DU35" s="40"/>
      <c r="DV35" s="40"/>
      <c r="DW35" s="41"/>
      <c r="DX35" s="40"/>
      <c r="DY35" s="40"/>
      <c r="DZ35" s="40" t="s">
        <v>409</v>
      </c>
      <c r="EA35" s="138"/>
      <c r="EB35" s="40"/>
      <c r="EC35" s="40"/>
      <c r="ED35" s="17"/>
      <c r="EE35" s="2"/>
      <c r="EF35" s="139"/>
    </row>
    <row r="36" spans="1:136" s="140" customFormat="1">
      <c r="A36" s="219" t="s">
        <v>915</v>
      </c>
      <c r="B36" s="219" t="s">
        <v>892</v>
      </c>
      <c r="C36" s="219" t="s">
        <v>865</v>
      </c>
      <c r="D36" s="13">
        <f>'Run Parameters'!$B$1 + ROW()-1</f>
        <v>677</v>
      </c>
      <c r="E36" s="15" t="s">
        <v>47</v>
      </c>
      <c r="F36" s="13" t="s">
        <v>738</v>
      </c>
      <c r="G36" s="13" t="str">
        <f t="shared" si="39"/>
        <v>Access Dtls-677</v>
      </c>
      <c r="H36" s="15" t="s">
        <v>275</v>
      </c>
      <c r="I36" s="13" t="str">
        <f>("MR. Test_35_NMEX5_"&amp;D36&amp;"")</f>
        <v>MR. Test_35_NMEX5_677</v>
      </c>
      <c r="J36" s="13"/>
      <c r="K36" s="19" t="s">
        <v>425</v>
      </c>
      <c r="L36" s="13" t="str">
        <f t="shared" si="40"/>
        <v>Cust. Ref-677</v>
      </c>
      <c r="M36" s="15" t="s">
        <v>48</v>
      </c>
      <c r="N36" s="15" t="s">
        <v>425</v>
      </c>
      <c r="O36" s="13"/>
      <c r="P36" s="13" t="str">
        <f t="shared" si="41"/>
        <v>SN-677</v>
      </c>
      <c r="Q36" s="13" t="str">
        <f t="shared" si="42"/>
        <v>SI-677</v>
      </c>
      <c r="R36" s="13" t="str">
        <f t="shared" si="43"/>
        <v>SE-677</v>
      </c>
      <c r="S36" s="135" t="str">
        <f t="shared" si="44"/>
        <v>Prev_RA-677</v>
      </c>
      <c r="T36" s="135" t="str">
        <f t="shared" si="45"/>
        <v>Prev_Comms-677</v>
      </c>
      <c r="U36" s="17" t="s">
        <v>75</v>
      </c>
      <c r="V36" s="15" t="s">
        <v>401</v>
      </c>
      <c r="W36" s="17" t="s">
        <v>75</v>
      </c>
      <c r="X36" s="15" t="s">
        <v>396</v>
      </c>
      <c r="Y36" s="13" t="str">
        <f t="shared" si="46"/>
        <v>Forward Add-677</v>
      </c>
      <c r="Z36" s="15" t="s">
        <v>401</v>
      </c>
      <c r="AA36" s="136" t="str">
        <f>'Run Parameters'!$B$2</f>
        <v>2018-08-13 08:00</v>
      </c>
      <c r="AB36" s="223" t="str">
        <f>'Run Parameters'!B$3</f>
        <v>2018-08-13 18:00</v>
      </c>
      <c r="AC36" s="26">
        <f>('Run Parameters'!$B$2) - 7</f>
        <v>43318.333333333336</v>
      </c>
      <c r="AD36" s="17" t="s">
        <v>75</v>
      </c>
      <c r="AE36" s="13" t="str">
        <f t="shared" si="47"/>
        <v>LAST_METER-677</v>
      </c>
      <c r="AF36" s="136" t="str">
        <f>'Run Parameters'!$B$2</f>
        <v>2018-08-13 08:00</v>
      </c>
      <c r="AG36" s="13" t="str">
        <f>'Run Parameters'!B$4</f>
        <v>AUTOTEST2</v>
      </c>
      <c r="AH36" s="135" t="str">
        <f t="shared" si="48"/>
        <v>Site_Contact_677</v>
      </c>
      <c r="AI36" s="136" t="str">
        <f>'Run Parameters'!B$2</f>
        <v>2018-08-13 08:00</v>
      </c>
      <c r="AJ36" s="223" t="str">
        <f>'Run Parameters'!B$3</f>
        <v>2018-08-13 18:00</v>
      </c>
      <c r="AK36" s="13" t="s">
        <v>396</v>
      </c>
      <c r="AL36" s="135" t="str">
        <f t="shared" si="49"/>
        <v>01159677</v>
      </c>
      <c r="AM36" s="13" t="str">
        <f t="shared" si="50"/>
        <v>0115677</v>
      </c>
      <c r="AN36" s="15"/>
      <c r="AO36" s="15"/>
      <c r="AP36" s="13">
        <v>1</v>
      </c>
      <c r="AQ36" s="15" t="s">
        <v>49</v>
      </c>
      <c r="AR36" s="15"/>
      <c r="AS36" s="13"/>
      <c r="AT36" s="12"/>
      <c r="AU36" s="12"/>
      <c r="AV36" s="13">
        <f t="shared" si="51"/>
        <v>677</v>
      </c>
      <c r="AW36" s="13" t="s">
        <v>739</v>
      </c>
      <c r="AX36" s="13" t="s">
        <v>420</v>
      </c>
      <c r="AY36" s="13" t="s">
        <v>421</v>
      </c>
      <c r="AZ36" s="15" t="s">
        <v>334</v>
      </c>
      <c r="BA36" s="15" t="s">
        <v>154</v>
      </c>
      <c r="BB36" s="21">
        <v>1</v>
      </c>
      <c r="BC36" s="21">
        <f t="shared" si="52"/>
        <v>677</v>
      </c>
      <c r="BD36" s="17" t="s">
        <v>740</v>
      </c>
      <c r="BE36" s="17" t="s">
        <v>391</v>
      </c>
      <c r="BF36" s="17" t="s">
        <v>391</v>
      </c>
      <c r="BG36" s="21" t="s">
        <v>738</v>
      </c>
      <c r="BH36" s="21" t="str">
        <f t="shared" si="53"/>
        <v>677_1</v>
      </c>
      <c r="BI36" s="21"/>
      <c r="BJ36" s="21" t="str">
        <f t="shared" si="54"/>
        <v>10000000677</v>
      </c>
      <c r="BK36" s="17" t="s">
        <v>51</v>
      </c>
      <c r="BL36" s="17" t="s">
        <v>54</v>
      </c>
      <c r="BM36" s="21" t="s">
        <v>741</v>
      </c>
      <c r="BN36" s="17" t="s">
        <v>51</v>
      </c>
      <c r="BO36" s="21" t="str">
        <f t="shared" si="55"/>
        <v>S05S677</v>
      </c>
      <c r="BP36" s="17" t="s">
        <v>409</v>
      </c>
      <c r="BQ36" s="17" t="s">
        <v>409</v>
      </c>
      <c r="BR36" s="21" t="s">
        <v>161</v>
      </c>
      <c r="BS36" s="17" t="s">
        <v>202</v>
      </c>
      <c r="BT36" s="17" t="s">
        <v>160</v>
      </c>
      <c r="BU36" s="17" t="s">
        <v>393</v>
      </c>
      <c r="BV36" s="17" t="s">
        <v>51</v>
      </c>
      <c r="BW36" s="17" t="s">
        <v>154</v>
      </c>
      <c r="BX36" s="17"/>
      <c r="BY36" s="17"/>
      <c r="BZ36" s="17" t="s">
        <v>157</v>
      </c>
      <c r="CA36" s="17" t="s">
        <v>269</v>
      </c>
      <c r="CB36" s="17" t="s">
        <v>47</v>
      </c>
      <c r="CC36" s="17" t="s">
        <v>742</v>
      </c>
      <c r="CD36" s="17" t="s">
        <v>392</v>
      </c>
      <c r="CE36" s="17" t="s">
        <v>396</v>
      </c>
      <c r="CF36" s="17" t="s">
        <v>398</v>
      </c>
      <c r="CG36" s="17" t="s">
        <v>743</v>
      </c>
      <c r="CH36" s="17" t="s">
        <v>159</v>
      </c>
      <c r="CI36" s="11"/>
      <c r="CJ36" s="11"/>
      <c r="CK36" s="12"/>
      <c r="CL36" s="12"/>
      <c r="CM36" s="12"/>
      <c r="CN36" s="11"/>
      <c r="CO36" s="11"/>
      <c r="CP36" s="12"/>
      <c r="CQ36" s="11"/>
      <c r="CR36" s="11"/>
      <c r="CS36" s="12"/>
      <c r="CT36" s="28"/>
      <c r="CU36" s="11"/>
      <c r="CV36" s="12"/>
      <c r="CW36" s="12"/>
      <c r="CX36" s="12"/>
      <c r="CY36" s="12"/>
      <c r="CZ36" s="12"/>
      <c r="DA36" s="12"/>
      <c r="DB36" s="11"/>
      <c r="DC36" s="12"/>
      <c r="DD36" s="12"/>
      <c r="DE36" s="12"/>
      <c r="DF36" s="12"/>
      <c r="DG36" s="12"/>
      <c r="DH36" s="12"/>
      <c r="DI36" s="12"/>
      <c r="DJ36" s="12"/>
      <c r="DK36" s="12"/>
      <c r="DL36" s="40"/>
      <c r="DM36" s="40"/>
      <c r="DN36" s="41" t="str">
        <f t="shared" si="38"/>
        <v>DS_Pass-677</v>
      </c>
      <c r="DO36" s="40"/>
      <c r="DP36" s="40"/>
      <c r="DQ36" s="40"/>
      <c r="DR36" s="41"/>
      <c r="DS36" s="41"/>
      <c r="DT36" s="40"/>
      <c r="DU36" s="40"/>
      <c r="DV36" s="40"/>
      <c r="DW36" s="41"/>
      <c r="DX36" s="40"/>
      <c r="DY36" s="40"/>
      <c r="DZ36" s="40" t="s">
        <v>409</v>
      </c>
      <c r="EA36" s="138"/>
      <c r="EB36" s="40"/>
      <c r="EC36" s="40"/>
      <c r="ED36" s="17"/>
      <c r="EE36" s="2"/>
      <c r="EF36" s="139"/>
    </row>
    <row r="37" spans="1:136" s="140" customFormat="1">
      <c r="A37" s="219" t="s">
        <v>916</v>
      </c>
      <c r="B37" s="219" t="s">
        <v>868</v>
      </c>
      <c r="C37" s="219" t="s">
        <v>865</v>
      </c>
      <c r="D37" s="13">
        <f>'Run Parameters'!$B$1 + ROW()-1</f>
        <v>678</v>
      </c>
      <c r="E37" s="15" t="s">
        <v>47</v>
      </c>
      <c r="F37" s="13" t="s">
        <v>738</v>
      </c>
      <c r="G37" s="13" t="str">
        <f t="shared" si="39"/>
        <v>Access Dtls-678</v>
      </c>
      <c r="H37" s="15" t="s">
        <v>275</v>
      </c>
      <c r="I37" s="13" t="str">
        <f>("MR. Test_36_NMEX5_"&amp;D37&amp;"")</f>
        <v>MR. Test_36_NMEX5_678</v>
      </c>
      <c r="J37" s="13"/>
      <c r="K37" s="19" t="s">
        <v>425</v>
      </c>
      <c r="L37" s="13" t="str">
        <f t="shared" si="40"/>
        <v>Cust. Ref-678</v>
      </c>
      <c r="M37" s="15" t="s">
        <v>48</v>
      </c>
      <c r="N37" s="15" t="s">
        <v>425</v>
      </c>
      <c r="O37" s="13"/>
      <c r="P37" s="13" t="str">
        <f t="shared" si="41"/>
        <v>SN-678</v>
      </c>
      <c r="Q37" s="13" t="str">
        <f t="shared" si="42"/>
        <v>SI-678</v>
      </c>
      <c r="R37" s="13" t="str">
        <f t="shared" si="43"/>
        <v>SE-678</v>
      </c>
      <c r="S37" s="135" t="str">
        <f t="shared" si="44"/>
        <v>Prev_RA-678</v>
      </c>
      <c r="T37" s="135" t="str">
        <f t="shared" si="45"/>
        <v>Prev_Comms-678</v>
      </c>
      <c r="U37" s="17" t="s">
        <v>75</v>
      </c>
      <c r="V37" s="15" t="s">
        <v>401</v>
      </c>
      <c r="W37" s="17" t="s">
        <v>75</v>
      </c>
      <c r="X37" s="15" t="s">
        <v>396</v>
      </c>
      <c r="Y37" s="13" t="str">
        <f t="shared" si="46"/>
        <v>Forward Add-678</v>
      </c>
      <c r="Z37" s="15" t="s">
        <v>401</v>
      </c>
      <c r="AA37" s="136" t="str">
        <f>'Run Parameters'!$B$2</f>
        <v>2018-08-13 08:00</v>
      </c>
      <c r="AB37" s="223" t="str">
        <f>'Run Parameters'!B$3</f>
        <v>2018-08-13 18:00</v>
      </c>
      <c r="AC37" s="26">
        <f>('Run Parameters'!$B$2) - 7</f>
        <v>43318.333333333336</v>
      </c>
      <c r="AD37" s="17" t="s">
        <v>75</v>
      </c>
      <c r="AE37" s="13" t="str">
        <f t="shared" si="47"/>
        <v>LAST_METER-678</v>
      </c>
      <c r="AF37" s="136" t="str">
        <f>'Run Parameters'!$B$2</f>
        <v>2018-08-13 08:00</v>
      </c>
      <c r="AG37" s="13" t="str">
        <f>'Run Parameters'!B$4</f>
        <v>AUTOTEST2</v>
      </c>
      <c r="AH37" s="135" t="str">
        <f t="shared" si="48"/>
        <v>Site_Contact_678</v>
      </c>
      <c r="AI37" s="136" t="str">
        <f>'Run Parameters'!B$2</f>
        <v>2018-08-13 08:00</v>
      </c>
      <c r="AJ37" s="223" t="str">
        <f>'Run Parameters'!B$3</f>
        <v>2018-08-13 18:00</v>
      </c>
      <c r="AK37" s="13" t="s">
        <v>396</v>
      </c>
      <c r="AL37" s="135" t="str">
        <f t="shared" si="49"/>
        <v>01159678</v>
      </c>
      <c r="AM37" s="13" t="str">
        <f t="shared" si="50"/>
        <v>0115678</v>
      </c>
      <c r="AN37" s="15"/>
      <c r="AO37" s="15"/>
      <c r="AP37" s="13">
        <v>1</v>
      </c>
      <c r="AQ37" s="15" t="s">
        <v>49</v>
      </c>
      <c r="AR37" s="15"/>
      <c r="AS37" s="13"/>
      <c r="AT37" s="12"/>
      <c r="AU37" s="12"/>
      <c r="AV37" s="13">
        <f t="shared" si="51"/>
        <v>678</v>
      </c>
      <c r="AW37" s="13" t="s">
        <v>739</v>
      </c>
      <c r="AX37" s="13" t="s">
        <v>420</v>
      </c>
      <c r="AY37" s="13" t="s">
        <v>421</v>
      </c>
      <c r="AZ37" s="15" t="s">
        <v>334</v>
      </c>
      <c r="BA37" s="15" t="s">
        <v>154</v>
      </c>
      <c r="BB37" s="21">
        <v>1</v>
      </c>
      <c r="BC37" s="21">
        <f t="shared" si="52"/>
        <v>678</v>
      </c>
      <c r="BD37" s="17" t="s">
        <v>740</v>
      </c>
      <c r="BE37" s="17" t="s">
        <v>391</v>
      </c>
      <c r="BF37" s="17" t="s">
        <v>391</v>
      </c>
      <c r="BG37" s="21" t="s">
        <v>738</v>
      </c>
      <c r="BH37" s="21" t="str">
        <f t="shared" si="53"/>
        <v>678_1</v>
      </c>
      <c r="BI37" s="21"/>
      <c r="BJ37" s="21" t="str">
        <f t="shared" si="54"/>
        <v>10000000678</v>
      </c>
      <c r="BK37" s="17" t="s">
        <v>51</v>
      </c>
      <c r="BL37" s="17" t="s">
        <v>54</v>
      </c>
      <c r="BM37" s="21" t="s">
        <v>741</v>
      </c>
      <c r="BN37" s="17" t="s">
        <v>51</v>
      </c>
      <c r="BO37" s="21" t="str">
        <f t="shared" si="55"/>
        <v>S05S678</v>
      </c>
      <c r="BP37" s="17" t="s">
        <v>409</v>
      </c>
      <c r="BQ37" s="17" t="s">
        <v>409</v>
      </c>
      <c r="BR37" s="21" t="s">
        <v>161</v>
      </c>
      <c r="BS37" s="17" t="s">
        <v>202</v>
      </c>
      <c r="BT37" s="17" t="s">
        <v>160</v>
      </c>
      <c r="BU37" s="17" t="s">
        <v>393</v>
      </c>
      <c r="BV37" s="17" t="s">
        <v>51</v>
      </c>
      <c r="BW37" s="17" t="s">
        <v>154</v>
      </c>
      <c r="BX37" s="17"/>
      <c r="BY37" s="17"/>
      <c r="BZ37" s="17" t="s">
        <v>157</v>
      </c>
      <c r="CA37" s="17" t="s">
        <v>269</v>
      </c>
      <c r="CB37" s="17" t="s">
        <v>47</v>
      </c>
      <c r="CC37" s="17" t="s">
        <v>742</v>
      </c>
      <c r="CD37" s="17" t="s">
        <v>392</v>
      </c>
      <c r="CE37" s="17" t="s">
        <v>396</v>
      </c>
      <c r="CF37" s="17" t="s">
        <v>398</v>
      </c>
      <c r="CG37" s="17" t="s">
        <v>743</v>
      </c>
      <c r="CH37" s="17" t="s">
        <v>159</v>
      </c>
      <c r="CI37" s="11"/>
      <c r="CJ37" s="11"/>
      <c r="CK37" s="12"/>
      <c r="CL37" s="12"/>
      <c r="CM37" s="12"/>
      <c r="CN37" s="11"/>
      <c r="CO37" s="11"/>
      <c r="CP37" s="12"/>
      <c r="CQ37" s="11"/>
      <c r="CR37" s="11"/>
      <c r="CS37" s="12"/>
      <c r="CT37" s="28"/>
      <c r="CU37" s="11"/>
      <c r="CV37" s="12"/>
      <c r="CW37" s="12"/>
      <c r="CX37" s="12"/>
      <c r="CY37" s="12"/>
      <c r="CZ37" s="12"/>
      <c r="DA37" s="12"/>
      <c r="DB37" s="11"/>
      <c r="DC37" s="12"/>
      <c r="DD37" s="12"/>
      <c r="DE37" s="12"/>
      <c r="DF37" s="12"/>
      <c r="DG37" s="12"/>
      <c r="DH37" s="12"/>
      <c r="DI37" s="12"/>
      <c r="DJ37" s="12"/>
      <c r="DK37" s="12"/>
      <c r="DL37" s="40"/>
      <c r="DM37" s="40"/>
      <c r="DN37" s="41" t="str">
        <f t="shared" si="38"/>
        <v>DS_Pass-678</v>
      </c>
      <c r="DO37" s="40"/>
      <c r="DP37" s="40"/>
      <c r="DQ37" s="40"/>
      <c r="DR37" s="41"/>
      <c r="DS37" s="41"/>
      <c r="DT37" s="40"/>
      <c r="DU37" s="40"/>
      <c r="DV37" s="40"/>
      <c r="DW37" s="41"/>
      <c r="DX37" s="40"/>
      <c r="DY37" s="40"/>
      <c r="DZ37" s="40" t="s">
        <v>409</v>
      </c>
      <c r="EA37" s="138"/>
      <c r="EB37" s="40"/>
      <c r="EC37" s="40"/>
      <c r="ED37" s="17"/>
      <c r="EE37" s="2"/>
      <c r="EF37" s="139"/>
    </row>
    <row r="38" spans="1:136" s="140" customFormat="1">
      <c r="A38" s="219" t="s">
        <v>917</v>
      </c>
      <c r="B38" s="219" t="s">
        <v>892</v>
      </c>
      <c r="C38" s="219" t="s">
        <v>865</v>
      </c>
      <c r="D38" s="13">
        <f>'Run Parameters'!$B$1 + ROW()-1</f>
        <v>679</v>
      </c>
      <c r="E38" s="15" t="s">
        <v>47</v>
      </c>
      <c r="F38" s="13" t="s">
        <v>738</v>
      </c>
      <c r="G38" s="13" t="str">
        <f t="shared" si="39"/>
        <v>Access Dtls-679</v>
      </c>
      <c r="H38" s="15" t="s">
        <v>275</v>
      </c>
      <c r="I38" s="13" t="str">
        <f>("MR. Test_37_NMEX5_"&amp;D38&amp;"")</f>
        <v>MR. Test_37_NMEX5_679</v>
      </c>
      <c r="J38" s="13"/>
      <c r="K38" s="19" t="s">
        <v>425</v>
      </c>
      <c r="L38" s="13" t="str">
        <f t="shared" si="40"/>
        <v>Cust. Ref-679</v>
      </c>
      <c r="M38" s="15" t="s">
        <v>48</v>
      </c>
      <c r="N38" s="15" t="s">
        <v>425</v>
      </c>
      <c r="O38" s="13"/>
      <c r="P38" s="13" t="str">
        <f t="shared" si="41"/>
        <v>SN-679</v>
      </c>
      <c r="Q38" s="13" t="str">
        <f t="shared" si="42"/>
        <v>SI-679</v>
      </c>
      <c r="R38" s="13" t="str">
        <f t="shared" si="43"/>
        <v>SE-679</v>
      </c>
      <c r="S38" s="135" t="str">
        <f t="shared" si="44"/>
        <v>Prev_RA-679</v>
      </c>
      <c r="T38" s="135" t="str">
        <f t="shared" si="45"/>
        <v>Prev_Comms-679</v>
      </c>
      <c r="U38" s="17" t="s">
        <v>75</v>
      </c>
      <c r="V38" s="15" t="s">
        <v>401</v>
      </c>
      <c r="W38" s="17" t="s">
        <v>75</v>
      </c>
      <c r="X38" s="15" t="s">
        <v>396</v>
      </c>
      <c r="Y38" s="13" t="str">
        <f t="shared" si="46"/>
        <v>Forward Add-679</v>
      </c>
      <c r="Z38" s="15" t="s">
        <v>401</v>
      </c>
      <c r="AA38" s="136" t="str">
        <f>'Run Parameters'!$B$2</f>
        <v>2018-08-13 08:00</v>
      </c>
      <c r="AB38" s="223" t="str">
        <f>'Run Parameters'!B$3</f>
        <v>2018-08-13 18:00</v>
      </c>
      <c r="AC38" s="26">
        <f>('Run Parameters'!$B$2) - 7</f>
        <v>43318.333333333336</v>
      </c>
      <c r="AD38" s="17" t="s">
        <v>75</v>
      </c>
      <c r="AE38" s="13" t="str">
        <f t="shared" si="47"/>
        <v>LAST_METER-679</v>
      </c>
      <c r="AF38" s="136" t="str">
        <f>'Run Parameters'!$B$2</f>
        <v>2018-08-13 08:00</v>
      </c>
      <c r="AG38" s="13" t="str">
        <f>'Run Parameters'!B$4</f>
        <v>AUTOTEST2</v>
      </c>
      <c r="AH38" s="135" t="str">
        <f t="shared" si="48"/>
        <v>Site_Contact_679</v>
      </c>
      <c r="AI38" s="136" t="str">
        <f>'Run Parameters'!B$2</f>
        <v>2018-08-13 08:00</v>
      </c>
      <c r="AJ38" s="223" t="str">
        <f>'Run Parameters'!B$3</f>
        <v>2018-08-13 18:00</v>
      </c>
      <c r="AK38" s="13" t="s">
        <v>396</v>
      </c>
      <c r="AL38" s="135" t="str">
        <f t="shared" si="49"/>
        <v>01159679</v>
      </c>
      <c r="AM38" s="13" t="str">
        <f t="shared" si="50"/>
        <v>0115679</v>
      </c>
      <c r="AN38" s="15"/>
      <c r="AO38" s="15"/>
      <c r="AP38" s="13">
        <v>1</v>
      </c>
      <c r="AQ38" s="15" t="s">
        <v>49</v>
      </c>
      <c r="AR38" s="15"/>
      <c r="AS38" s="13"/>
      <c r="AT38" s="12"/>
      <c r="AU38" s="12"/>
      <c r="AV38" s="13">
        <f t="shared" si="51"/>
        <v>679</v>
      </c>
      <c r="AW38" s="13" t="s">
        <v>739</v>
      </c>
      <c r="AX38" s="13" t="s">
        <v>420</v>
      </c>
      <c r="AY38" s="13" t="s">
        <v>421</v>
      </c>
      <c r="AZ38" s="15" t="s">
        <v>334</v>
      </c>
      <c r="BA38" s="15" t="s">
        <v>154</v>
      </c>
      <c r="BB38" s="21">
        <v>1</v>
      </c>
      <c r="BC38" s="21">
        <f t="shared" si="52"/>
        <v>679</v>
      </c>
      <c r="BD38" s="17" t="s">
        <v>740</v>
      </c>
      <c r="BE38" s="17" t="s">
        <v>391</v>
      </c>
      <c r="BF38" s="17" t="s">
        <v>391</v>
      </c>
      <c r="BG38" s="21" t="s">
        <v>738</v>
      </c>
      <c r="BH38" s="21" t="str">
        <f t="shared" si="53"/>
        <v>679_1</v>
      </c>
      <c r="BI38" s="21"/>
      <c r="BJ38" s="21" t="str">
        <f t="shared" si="54"/>
        <v>10000000679</v>
      </c>
      <c r="BK38" s="17" t="s">
        <v>51</v>
      </c>
      <c r="BL38" s="17" t="s">
        <v>54</v>
      </c>
      <c r="BM38" s="21" t="s">
        <v>741</v>
      </c>
      <c r="BN38" s="17" t="s">
        <v>51</v>
      </c>
      <c r="BO38" s="21" t="str">
        <f t="shared" si="55"/>
        <v>S05S679</v>
      </c>
      <c r="BP38" s="17" t="s">
        <v>409</v>
      </c>
      <c r="BQ38" s="17" t="s">
        <v>409</v>
      </c>
      <c r="BR38" s="21" t="s">
        <v>161</v>
      </c>
      <c r="BS38" s="17" t="s">
        <v>202</v>
      </c>
      <c r="BT38" s="17" t="s">
        <v>160</v>
      </c>
      <c r="BU38" s="17" t="s">
        <v>393</v>
      </c>
      <c r="BV38" s="17" t="s">
        <v>51</v>
      </c>
      <c r="BW38" s="17" t="s">
        <v>154</v>
      </c>
      <c r="BX38" s="17"/>
      <c r="BY38" s="17"/>
      <c r="BZ38" s="17" t="s">
        <v>157</v>
      </c>
      <c r="CA38" s="17" t="s">
        <v>269</v>
      </c>
      <c r="CB38" s="17" t="s">
        <v>47</v>
      </c>
      <c r="CC38" s="17" t="s">
        <v>742</v>
      </c>
      <c r="CD38" s="17" t="s">
        <v>392</v>
      </c>
      <c r="CE38" s="17" t="s">
        <v>396</v>
      </c>
      <c r="CF38" s="17" t="s">
        <v>398</v>
      </c>
      <c r="CG38" s="17" t="s">
        <v>743</v>
      </c>
      <c r="CH38" s="17" t="s">
        <v>159</v>
      </c>
      <c r="CI38" s="11"/>
      <c r="CJ38" s="11"/>
      <c r="CK38" s="12"/>
      <c r="CL38" s="12"/>
      <c r="CM38" s="12"/>
      <c r="CN38" s="11"/>
      <c r="CO38" s="11"/>
      <c r="CP38" s="12"/>
      <c r="CQ38" s="11"/>
      <c r="CR38" s="11"/>
      <c r="CS38" s="12"/>
      <c r="CT38" s="28"/>
      <c r="CU38" s="11"/>
      <c r="CV38" s="12"/>
      <c r="CW38" s="12"/>
      <c r="CX38" s="12"/>
      <c r="CY38" s="12"/>
      <c r="CZ38" s="12"/>
      <c r="DA38" s="12"/>
      <c r="DB38" s="11"/>
      <c r="DC38" s="12"/>
      <c r="DD38" s="12"/>
      <c r="DE38" s="12"/>
      <c r="DF38" s="12"/>
      <c r="DG38" s="12"/>
      <c r="DH38" s="12"/>
      <c r="DI38" s="12"/>
      <c r="DJ38" s="12"/>
      <c r="DK38" s="12"/>
      <c r="DL38" s="40"/>
      <c r="DM38" s="40"/>
      <c r="DN38" s="41" t="str">
        <f t="shared" si="38"/>
        <v>DS_Pass-679</v>
      </c>
      <c r="DO38" s="40"/>
      <c r="DP38" s="40"/>
      <c r="DQ38" s="40"/>
      <c r="DR38" s="41"/>
      <c r="DS38" s="41"/>
      <c r="DT38" s="40"/>
      <c r="DU38" s="40"/>
      <c r="DV38" s="40"/>
      <c r="DW38" s="41"/>
      <c r="DX38" s="40"/>
      <c r="DY38" s="40"/>
      <c r="DZ38" s="40" t="s">
        <v>409</v>
      </c>
      <c r="EA38" s="138"/>
      <c r="EB38" s="40"/>
      <c r="EC38" s="40"/>
      <c r="ED38" s="17"/>
      <c r="EE38" s="2"/>
      <c r="EF38" s="139"/>
    </row>
    <row r="39" spans="1:136" s="140" customFormat="1">
      <c r="A39" s="219" t="s">
        <v>918</v>
      </c>
      <c r="B39" s="219" t="s">
        <v>868</v>
      </c>
      <c r="C39" s="219" t="s">
        <v>865</v>
      </c>
      <c r="D39" s="13">
        <f>'Run Parameters'!$B$1 + ROW()-1</f>
        <v>680</v>
      </c>
      <c r="E39" s="15" t="s">
        <v>47</v>
      </c>
      <c r="F39" s="13" t="s">
        <v>738</v>
      </c>
      <c r="G39" s="13" t="str">
        <f t="shared" si="39"/>
        <v>Access Dtls-680</v>
      </c>
      <c r="H39" s="15" t="s">
        <v>275</v>
      </c>
      <c r="I39" s="13" t="str">
        <f>("MR. Test_38_NMEX5_"&amp;D39&amp;"")</f>
        <v>MR. Test_38_NMEX5_680</v>
      </c>
      <c r="J39" s="13"/>
      <c r="K39" s="19" t="s">
        <v>425</v>
      </c>
      <c r="L39" s="13" t="str">
        <f t="shared" si="40"/>
        <v>Cust. Ref-680</v>
      </c>
      <c r="M39" s="15" t="s">
        <v>48</v>
      </c>
      <c r="N39" s="15" t="s">
        <v>425</v>
      </c>
      <c r="O39" s="13"/>
      <c r="P39" s="13" t="str">
        <f t="shared" si="41"/>
        <v>SN-680</v>
      </c>
      <c r="Q39" s="13" t="str">
        <f t="shared" si="42"/>
        <v>SI-680</v>
      </c>
      <c r="R39" s="13" t="str">
        <f t="shared" si="43"/>
        <v>SE-680</v>
      </c>
      <c r="S39" s="135" t="str">
        <f t="shared" si="44"/>
        <v>Prev_RA-680</v>
      </c>
      <c r="T39" s="135" t="str">
        <f t="shared" si="45"/>
        <v>Prev_Comms-680</v>
      </c>
      <c r="U39" s="17" t="s">
        <v>75</v>
      </c>
      <c r="V39" s="15" t="s">
        <v>401</v>
      </c>
      <c r="W39" s="17" t="s">
        <v>75</v>
      </c>
      <c r="X39" s="15" t="s">
        <v>396</v>
      </c>
      <c r="Y39" s="13" t="str">
        <f t="shared" si="46"/>
        <v>Forward Add-680</v>
      </c>
      <c r="Z39" s="15" t="s">
        <v>401</v>
      </c>
      <c r="AA39" s="136" t="str">
        <f>'Run Parameters'!$B$2</f>
        <v>2018-08-13 08:00</v>
      </c>
      <c r="AB39" s="223" t="str">
        <f>'Run Parameters'!B$3</f>
        <v>2018-08-13 18:00</v>
      </c>
      <c r="AC39" s="26">
        <f>('Run Parameters'!$B$2) - 7</f>
        <v>43318.333333333336</v>
      </c>
      <c r="AD39" s="17" t="s">
        <v>75</v>
      </c>
      <c r="AE39" s="13" t="str">
        <f t="shared" si="47"/>
        <v>LAST_METER-680</v>
      </c>
      <c r="AF39" s="136" t="str">
        <f>'Run Parameters'!$B$2</f>
        <v>2018-08-13 08:00</v>
      </c>
      <c r="AG39" s="13" t="str">
        <f>'Run Parameters'!B$4</f>
        <v>AUTOTEST2</v>
      </c>
      <c r="AH39" s="135" t="str">
        <f t="shared" si="48"/>
        <v>Site_Contact_680</v>
      </c>
      <c r="AI39" s="136" t="str">
        <f>'Run Parameters'!B$2</f>
        <v>2018-08-13 08:00</v>
      </c>
      <c r="AJ39" s="223" t="str">
        <f>'Run Parameters'!B$3</f>
        <v>2018-08-13 18:00</v>
      </c>
      <c r="AK39" s="13" t="s">
        <v>396</v>
      </c>
      <c r="AL39" s="135" t="str">
        <f t="shared" si="49"/>
        <v>01159680</v>
      </c>
      <c r="AM39" s="13" t="str">
        <f t="shared" si="50"/>
        <v>0115680</v>
      </c>
      <c r="AN39" s="15"/>
      <c r="AO39" s="15"/>
      <c r="AP39" s="13">
        <v>1</v>
      </c>
      <c r="AQ39" s="15" t="s">
        <v>49</v>
      </c>
      <c r="AR39" s="15"/>
      <c r="AS39" s="13"/>
      <c r="AT39" s="12"/>
      <c r="AU39" s="12"/>
      <c r="AV39" s="13">
        <f t="shared" si="51"/>
        <v>680</v>
      </c>
      <c r="AW39" s="13" t="s">
        <v>739</v>
      </c>
      <c r="AX39" s="13" t="s">
        <v>420</v>
      </c>
      <c r="AY39" s="13" t="s">
        <v>421</v>
      </c>
      <c r="AZ39" s="15" t="s">
        <v>334</v>
      </c>
      <c r="BA39" s="15" t="s">
        <v>154</v>
      </c>
      <c r="BB39" s="21">
        <v>1</v>
      </c>
      <c r="BC39" s="21">
        <f t="shared" si="52"/>
        <v>680</v>
      </c>
      <c r="BD39" s="17" t="s">
        <v>740</v>
      </c>
      <c r="BE39" s="17" t="s">
        <v>391</v>
      </c>
      <c r="BF39" s="17" t="s">
        <v>391</v>
      </c>
      <c r="BG39" s="21" t="s">
        <v>738</v>
      </c>
      <c r="BH39" s="21" t="str">
        <f t="shared" si="53"/>
        <v>680_1</v>
      </c>
      <c r="BI39" s="21"/>
      <c r="BJ39" s="21" t="str">
        <f t="shared" si="54"/>
        <v>10000000680</v>
      </c>
      <c r="BK39" s="17" t="s">
        <v>51</v>
      </c>
      <c r="BL39" s="17" t="s">
        <v>54</v>
      </c>
      <c r="BM39" s="21" t="s">
        <v>741</v>
      </c>
      <c r="BN39" s="17" t="s">
        <v>51</v>
      </c>
      <c r="BO39" s="21" t="str">
        <f t="shared" si="55"/>
        <v>S05S680</v>
      </c>
      <c r="BP39" s="17" t="s">
        <v>409</v>
      </c>
      <c r="BQ39" s="17" t="s">
        <v>409</v>
      </c>
      <c r="BR39" s="21" t="s">
        <v>161</v>
      </c>
      <c r="BS39" s="17" t="s">
        <v>202</v>
      </c>
      <c r="BT39" s="17" t="s">
        <v>160</v>
      </c>
      <c r="BU39" s="17" t="s">
        <v>393</v>
      </c>
      <c r="BV39" s="17" t="s">
        <v>51</v>
      </c>
      <c r="BW39" s="17" t="s">
        <v>154</v>
      </c>
      <c r="BX39" s="17"/>
      <c r="BY39" s="17"/>
      <c r="BZ39" s="17" t="s">
        <v>157</v>
      </c>
      <c r="CA39" s="17" t="s">
        <v>269</v>
      </c>
      <c r="CB39" s="17" t="s">
        <v>47</v>
      </c>
      <c r="CC39" s="17" t="s">
        <v>742</v>
      </c>
      <c r="CD39" s="17" t="s">
        <v>392</v>
      </c>
      <c r="CE39" s="17" t="s">
        <v>396</v>
      </c>
      <c r="CF39" s="17" t="s">
        <v>398</v>
      </c>
      <c r="CG39" s="17" t="s">
        <v>743</v>
      </c>
      <c r="CH39" s="17" t="s">
        <v>159</v>
      </c>
      <c r="CI39" s="11"/>
      <c r="CJ39" s="11"/>
      <c r="CK39" s="12"/>
      <c r="CL39" s="12"/>
      <c r="CM39" s="12"/>
      <c r="CN39" s="11"/>
      <c r="CO39" s="11"/>
      <c r="CP39" s="12"/>
      <c r="CQ39" s="11"/>
      <c r="CR39" s="11"/>
      <c r="CS39" s="12"/>
      <c r="CT39" s="28"/>
      <c r="CU39" s="11"/>
      <c r="CV39" s="12"/>
      <c r="CW39" s="12"/>
      <c r="CX39" s="12"/>
      <c r="CY39" s="12"/>
      <c r="CZ39" s="12"/>
      <c r="DA39" s="12"/>
      <c r="DB39" s="11"/>
      <c r="DC39" s="12"/>
      <c r="DD39" s="12"/>
      <c r="DE39" s="12"/>
      <c r="DF39" s="12"/>
      <c r="DG39" s="12"/>
      <c r="DH39" s="12"/>
      <c r="DI39" s="12"/>
      <c r="DJ39" s="12"/>
      <c r="DK39" s="12"/>
      <c r="DL39" s="40"/>
      <c r="DM39" s="40"/>
      <c r="DN39" s="41" t="str">
        <f t="shared" si="38"/>
        <v>DS_Pass-680</v>
      </c>
      <c r="DO39" s="40"/>
      <c r="DP39" s="40"/>
      <c r="DQ39" s="40"/>
      <c r="DR39" s="41"/>
      <c r="DS39" s="41"/>
      <c r="DT39" s="40"/>
      <c r="DU39" s="40"/>
      <c r="DV39" s="40"/>
      <c r="DW39" s="41"/>
      <c r="DX39" s="40"/>
      <c r="DY39" s="40"/>
      <c r="DZ39" s="40" t="s">
        <v>409</v>
      </c>
      <c r="EA39" s="138"/>
      <c r="EB39" s="40"/>
      <c r="EC39" s="40"/>
      <c r="ED39" s="17"/>
      <c r="EE39" s="2"/>
      <c r="EF39" s="139"/>
    </row>
    <row r="40" spans="1:136" s="140" customFormat="1">
      <c r="A40" s="219" t="s">
        <v>919</v>
      </c>
      <c r="B40" s="219" t="s">
        <v>892</v>
      </c>
      <c r="C40" s="219" t="s">
        <v>865</v>
      </c>
      <c r="D40" s="13">
        <f>'Run Parameters'!$B$1 + ROW()-1</f>
        <v>681</v>
      </c>
      <c r="E40" s="15" t="s">
        <v>47</v>
      </c>
      <c r="F40" s="13" t="s">
        <v>738</v>
      </c>
      <c r="G40" s="13" t="str">
        <f t="shared" si="39"/>
        <v>Access Dtls-681</v>
      </c>
      <c r="H40" s="15" t="s">
        <v>275</v>
      </c>
      <c r="I40" s="13" t="str">
        <f>("MR. Test_39_NMEX5_"&amp;D40&amp;"")</f>
        <v>MR. Test_39_NMEX5_681</v>
      </c>
      <c r="J40" s="13"/>
      <c r="K40" s="19" t="s">
        <v>425</v>
      </c>
      <c r="L40" s="13" t="str">
        <f t="shared" si="40"/>
        <v>Cust. Ref-681</v>
      </c>
      <c r="M40" s="15" t="s">
        <v>48</v>
      </c>
      <c r="N40" s="15" t="s">
        <v>425</v>
      </c>
      <c r="O40" s="13"/>
      <c r="P40" s="13" t="str">
        <f t="shared" si="41"/>
        <v>SN-681</v>
      </c>
      <c r="Q40" s="13" t="str">
        <f t="shared" si="42"/>
        <v>SI-681</v>
      </c>
      <c r="R40" s="13" t="str">
        <f t="shared" si="43"/>
        <v>SE-681</v>
      </c>
      <c r="S40" s="135" t="str">
        <f t="shared" si="44"/>
        <v>Prev_RA-681</v>
      </c>
      <c r="T40" s="135" t="str">
        <f t="shared" si="45"/>
        <v>Prev_Comms-681</v>
      </c>
      <c r="U40" s="17" t="s">
        <v>75</v>
      </c>
      <c r="V40" s="15" t="s">
        <v>401</v>
      </c>
      <c r="W40" s="17" t="s">
        <v>75</v>
      </c>
      <c r="X40" s="15" t="s">
        <v>396</v>
      </c>
      <c r="Y40" s="13" t="str">
        <f t="shared" si="46"/>
        <v>Forward Add-681</v>
      </c>
      <c r="Z40" s="15" t="s">
        <v>401</v>
      </c>
      <c r="AA40" s="136" t="str">
        <f>'Run Parameters'!$B$2</f>
        <v>2018-08-13 08:00</v>
      </c>
      <c r="AB40" s="223" t="str">
        <f>'Run Parameters'!B$3</f>
        <v>2018-08-13 18:00</v>
      </c>
      <c r="AC40" s="26">
        <f>('Run Parameters'!$B$2) - 7</f>
        <v>43318.333333333336</v>
      </c>
      <c r="AD40" s="17" t="s">
        <v>75</v>
      </c>
      <c r="AE40" s="13" t="str">
        <f t="shared" si="47"/>
        <v>LAST_METER-681</v>
      </c>
      <c r="AF40" s="136" t="str">
        <f>'Run Parameters'!$B$2</f>
        <v>2018-08-13 08:00</v>
      </c>
      <c r="AG40" s="13" t="str">
        <f>'Run Parameters'!B$4</f>
        <v>AUTOTEST2</v>
      </c>
      <c r="AH40" s="135" t="str">
        <f t="shared" si="48"/>
        <v>Site_Contact_681</v>
      </c>
      <c r="AI40" s="136" t="str">
        <f>'Run Parameters'!B$2</f>
        <v>2018-08-13 08:00</v>
      </c>
      <c r="AJ40" s="223" t="str">
        <f>'Run Parameters'!B$3</f>
        <v>2018-08-13 18:00</v>
      </c>
      <c r="AK40" s="13" t="s">
        <v>396</v>
      </c>
      <c r="AL40" s="135" t="str">
        <f t="shared" si="49"/>
        <v>01159681</v>
      </c>
      <c r="AM40" s="13" t="str">
        <f t="shared" si="50"/>
        <v>0115681</v>
      </c>
      <c r="AN40" s="15"/>
      <c r="AO40" s="15"/>
      <c r="AP40" s="13">
        <v>1</v>
      </c>
      <c r="AQ40" s="15" t="s">
        <v>49</v>
      </c>
      <c r="AR40" s="15"/>
      <c r="AS40" s="13"/>
      <c r="AT40" s="12"/>
      <c r="AU40" s="12"/>
      <c r="AV40" s="13">
        <f t="shared" si="51"/>
        <v>681</v>
      </c>
      <c r="AW40" s="13" t="s">
        <v>739</v>
      </c>
      <c r="AX40" s="13" t="s">
        <v>420</v>
      </c>
      <c r="AY40" s="13" t="s">
        <v>421</v>
      </c>
      <c r="AZ40" s="15" t="s">
        <v>334</v>
      </c>
      <c r="BA40" s="15" t="s">
        <v>154</v>
      </c>
      <c r="BB40" s="21">
        <v>1</v>
      </c>
      <c r="BC40" s="21">
        <f t="shared" si="52"/>
        <v>681</v>
      </c>
      <c r="BD40" s="17" t="s">
        <v>740</v>
      </c>
      <c r="BE40" s="17" t="s">
        <v>391</v>
      </c>
      <c r="BF40" s="17" t="s">
        <v>391</v>
      </c>
      <c r="BG40" s="21" t="s">
        <v>738</v>
      </c>
      <c r="BH40" s="21" t="str">
        <f t="shared" si="53"/>
        <v>681_1</v>
      </c>
      <c r="BI40" s="21"/>
      <c r="BJ40" s="21" t="str">
        <f t="shared" si="54"/>
        <v>10000000681</v>
      </c>
      <c r="BK40" s="17" t="s">
        <v>51</v>
      </c>
      <c r="BL40" s="17" t="s">
        <v>54</v>
      </c>
      <c r="BM40" s="21" t="s">
        <v>741</v>
      </c>
      <c r="BN40" s="17" t="s">
        <v>51</v>
      </c>
      <c r="BO40" s="21" t="str">
        <f t="shared" si="55"/>
        <v>S05S681</v>
      </c>
      <c r="BP40" s="17" t="s">
        <v>409</v>
      </c>
      <c r="BQ40" s="17" t="s">
        <v>409</v>
      </c>
      <c r="BR40" s="21" t="s">
        <v>161</v>
      </c>
      <c r="BS40" s="17" t="s">
        <v>202</v>
      </c>
      <c r="BT40" s="17" t="s">
        <v>160</v>
      </c>
      <c r="BU40" s="17" t="s">
        <v>393</v>
      </c>
      <c r="BV40" s="17" t="s">
        <v>51</v>
      </c>
      <c r="BW40" s="17" t="s">
        <v>154</v>
      </c>
      <c r="BX40" s="17"/>
      <c r="BY40" s="17"/>
      <c r="BZ40" s="17" t="s">
        <v>157</v>
      </c>
      <c r="CA40" s="17" t="s">
        <v>269</v>
      </c>
      <c r="CB40" s="17" t="s">
        <v>47</v>
      </c>
      <c r="CC40" s="17" t="s">
        <v>742</v>
      </c>
      <c r="CD40" s="17" t="s">
        <v>392</v>
      </c>
      <c r="CE40" s="17" t="s">
        <v>396</v>
      </c>
      <c r="CF40" s="17" t="s">
        <v>398</v>
      </c>
      <c r="CG40" s="17" t="s">
        <v>743</v>
      </c>
      <c r="CH40" s="17" t="s">
        <v>159</v>
      </c>
      <c r="CI40" s="11"/>
      <c r="CJ40" s="11"/>
      <c r="CK40" s="12"/>
      <c r="CL40" s="12"/>
      <c r="CM40" s="12"/>
      <c r="CN40" s="11"/>
      <c r="CO40" s="11"/>
      <c r="CP40" s="12"/>
      <c r="CQ40" s="11"/>
      <c r="CR40" s="11"/>
      <c r="CS40" s="12"/>
      <c r="CT40" s="28"/>
      <c r="CU40" s="11"/>
      <c r="CV40" s="12"/>
      <c r="CW40" s="12"/>
      <c r="CX40" s="12"/>
      <c r="CY40" s="12"/>
      <c r="CZ40" s="12"/>
      <c r="DA40" s="12"/>
      <c r="DB40" s="11"/>
      <c r="DC40" s="12"/>
      <c r="DD40" s="12"/>
      <c r="DE40" s="12"/>
      <c r="DF40" s="12"/>
      <c r="DG40" s="12"/>
      <c r="DH40" s="12"/>
      <c r="DI40" s="12"/>
      <c r="DJ40" s="12"/>
      <c r="DK40" s="12"/>
      <c r="DL40" s="40"/>
      <c r="DM40" s="40"/>
      <c r="DN40" s="41" t="str">
        <f t="shared" si="38"/>
        <v>DS_Pass-681</v>
      </c>
      <c r="DO40" s="40"/>
      <c r="DP40" s="40"/>
      <c r="DQ40" s="40"/>
      <c r="DR40" s="41"/>
      <c r="DS40" s="41"/>
      <c r="DT40" s="40"/>
      <c r="DU40" s="40"/>
      <c r="DV40" s="40"/>
      <c r="DW40" s="41"/>
      <c r="DX40" s="40"/>
      <c r="DY40" s="40"/>
      <c r="DZ40" s="40" t="s">
        <v>409</v>
      </c>
      <c r="EA40" s="138"/>
      <c r="EB40" s="40"/>
      <c r="EC40" s="40"/>
      <c r="ED40" s="17"/>
      <c r="EE40" s="2"/>
      <c r="EF40" s="139"/>
    </row>
    <row r="41" spans="1:136" s="140" customFormat="1">
      <c r="A41" s="219" t="s">
        <v>1090</v>
      </c>
      <c r="B41" s="219" t="s">
        <v>892</v>
      </c>
      <c r="C41" s="219" t="s">
        <v>865</v>
      </c>
      <c r="D41" s="13">
        <f>'Run Parameters'!$B$1 + ROW()-1</f>
        <v>682</v>
      </c>
      <c r="E41" s="15" t="s">
        <v>47</v>
      </c>
      <c r="F41" s="13" t="s">
        <v>738</v>
      </c>
      <c r="G41" s="13" t="str">
        <f t="shared" si="39"/>
        <v>Access Dtls-682</v>
      </c>
      <c r="H41" s="15" t="s">
        <v>275</v>
      </c>
      <c r="I41" s="13" t="str">
        <f>("MR. Test_40_NMEX5_"&amp;D41&amp;"")</f>
        <v>MR. Test_40_NMEX5_682</v>
      </c>
      <c r="J41" s="13"/>
      <c r="K41" s="19" t="s">
        <v>425</v>
      </c>
      <c r="L41" s="13" t="str">
        <f t="shared" si="40"/>
        <v>Cust. Ref-682</v>
      </c>
      <c r="M41" s="15" t="s">
        <v>48</v>
      </c>
      <c r="N41" s="15" t="s">
        <v>425</v>
      </c>
      <c r="O41" s="13"/>
      <c r="P41" s="13" t="str">
        <f t="shared" si="41"/>
        <v>SN-682</v>
      </c>
      <c r="Q41" s="13" t="str">
        <f t="shared" si="42"/>
        <v>SI-682</v>
      </c>
      <c r="R41" s="13" t="str">
        <f t="shared" si="43"/>
        <v>SE-682</v>
      </c>
      <c r="S41" s="135" t="str">
        <f t="shared" si="44"/>
        <v>Prev_RA-682</v>
      </c>
      <c r="T41" s="135" t="str">
        <f t="shared" si="45"/>
        <v>Prev_Comms-682</v>
      </c>
      <c r="U41" s="17" t="s">
        <v>75</v>
      </c>
      <c r="V41" s="15" t="s">
        <v>401</v>
      </c>
      <c r="W41" s="17" t="s">
        <v>75</v>
      </c>
      <c r="X41" s="15" t="s">
        <v>1081</v>
      </c>
      <c r="Y41" s="13" t="str">
        <f t="shared" si="46"/>
        <v>Forward Add-682</v>
      </c>
      <c r="Z41" s="15" t="s">
        <v>401</v>
      </c>
      <c r="AA41" s="136" t="str">
        <f>'Run Parameters'!$B$2</f>
        <v>2018-08-13 08:00</v>
      </c>
      <c r="AB41" s="223" t="str">
        <f>'Run Parameters'!B$3</f>
        <v>2018-08-13 18:00</v>
      </c>
      <c r="AC41" s="26">
        <f>('Run Parameters'!$B$2) - 7</f>
        <v>43318.333333333336</v>
      </c>
      <c r="AD41" s="17" t="s">
        <v>75</v>
      </c>
      <c r="AE41" s="13" t="str">
        <f t="shared" si="47"/>
        <v>LAST_METER-682</v>
      </c>
      <c r="AF41" s="136" t="str">
        <f>'Run Parameters'!$B$2</f>
        <v>2018-08-13 08:00</v>
      </c>
      <c r="AG41" s="13" t="str">
        <f>'Run Parameters'!B$4</f>
        <v>AUTOTEST2</v>
      </c>
      <c r="AH41" s="135" t="str">
        <f t="shared" si="48"/>
        <v>Site_Contact_682</v>
      </c>
      <c r="AI41" s="136" t="str">
        <f>'Run Parameters'!B$2</f>
        <v>2018-08-13 08:00</v>
      </c>
      <c r="AJ41" s="223" t="str">
        <f>'Run Parameters'!B$3</f>
        <v>2018-08-13 18:00</v>
      </c>
      <c r="AK41" s="13" t="s">
        <v>1081</v>
      </c>
      <c r="AL41" s="135" t="str">
        <f t="shared" si="49"/>
        <v>01159682</v>
      </c>
      <c r="AM41" s="13" t="str">
        <f t="shared" si="50"/>
        <v>0115682</v>
      </c>
      <c r="AN41" s="15"/>
      <c r="AO41" s="15"/>
      <c r="AP41" s="13">
        <v>1</v>
      </c>
      <c r="AQ41" s="15" t="s">
        <v>49</v>
      </c>
      <c r="AR41" s="15"/>
      <c r="AS41" s="13"/>
      <c r="AT41" s="12"/>
      <c r="AU41" s="12"/>
      <c r="AV41" s="13">
        <f t="shared" si="51"/>
        <v>682</v>
      </c>
      <c r="AW41" s="13" t="s">
        <v>739</v>
      </c>
      <c r="AX41" s="13" t="s">
        <v>420</v>
      </c>
      <c r="AY41" s="13" t="s">
        <v>421</v>
      </c>
      <c r="AZ41" s="15" t="s">
        <v>334</v>
      </c>
      <c r="BA41" s="15" t="s">
        <v>154</v>
      </c>
      <c r="BB41" s="21">
        <v>1</v>
      </c>
      <c r="BC41" s="21">
        <f t="shared" si="52"/>
        <v>682</v>
      </c>
      <c r="BD41" s="17" t="s">
        <v>1094</v>
      </c>
      <c r="BE41" s="17" t="s">
        <v>391</v>
      </c>
      <c r="BF41" s="17" t="s">
        <v>391</v>
      </c>
      <c r="BG41" s="21" t="s">
        <v>738</v>
      </c>
      <c r="BH41" s="21" t="str">
        <f t="shared" si="53"/>
        <v>682_1</v>
      </c>
      <c r="BI41" s="21"/>
      <c r="BJ41" s="21" t="str">
        <f t="shared" si="54"/>
        <v>10000000682</v>
      </c>
      <c r="BK41" s="17" t="s">
        <v>51</v>
      </c>
      <c r="BL41" s="17" t="s">
        <v>54</v>
      </c>
      <c r="BM41" s="21" t="s">
        <v>741</v>
      </c>
      <c r="BN41" s="17" t="s">
        <v>51</v>
      </c>
      <c r="BO41" s="21" t="str">
        <f t="shared" si="55"/>
        <v>S05S682</v>
      </c>
      <c r="BP41" s="17" t="s">
        <v>409</v>
      </c>
      <c r="BQ41" s="17" t="s">
        <v>409</v>
      </c>
      <c r="BR41" s="21" t="s">
        <v>161</v>
      </c>
      <c r="BS41" s="17" t="s">
        <v>202</v>
      </c>
      <c r="BT41" s="17" t="s">
        <v>160</v>
      </c>
      <c r="BU41" s="17" t="s">
        <v>393</v>
      </c>
      <c r="BV41" s="17" t="s">
        <v>51</v>
      </c>
      <c r="BW41" s="17" t="s">
        <v>154</v>
      </c>
      <c r="BX41" s="17"/>
      <c r="BY41" s="17"/>
      <c r="BZ41" s="17" t="s">
        <v>157</v>
      </c>
      <c r="CA41" s="17" t="s">
        <v>269</v>
      </c>
      <c r="CB41" s="17" t="s">
        <v>47</v>
      </c>
      <c r="CC41" s="17" t="s">
        <v>742</v>
      </c>
      <c r="CD41" s="17" t="s">
        <v>392</v>
      </c>
      <c r="CE41" s="17" t="s">
        <v>1081</v>
      </c>
      <c r="CF41" s="17" t="s">
        <v>398</v>
      </c>
      <c r="CG41" s="17" t="s">
        <v>743</v>
      </c>
      <c r="CH41" s="17" t="s">
        <v>159</v>
      </c>
      <c r="CI41" s="11"/>
      <c r="CJ41" s="11"/>
      <c r="CK41" s="12"/>
      <c r="CL41" s="12"/>
      <c r="CM41" s="12"/>
      <c r="CN41" s="11"/>
      <c r="CO41" s="11"/>
      <c r="CP41" s="12"/>
      <c r="CQ41" s="11"/>
      <c r="CR41" s="11"/>
      <c r="CS41" s="12"/>
      <c r="CT41" s="28"/>
      <c r="CU41" s="11"/>
      <c r="CV41" s="12"/>
      <c r="CW41" s="12"/>
      <c r="CX41" s="12"/>
      <c r="CY41" s="12"/>
      <c r="CZ41" s="12"/>
      <c r="DA41" s="12"/>
      <c r="DB41" s="11"/>
      <c r="DC41" s="12"/>
      <c r="DD41" s="12"/>
      <c r="DE41" s="12"/>
      <c r="DF41" s="12"/>
      <c r="DG41" s="12"/>
      <c r="DH41" s="12"/>
      <c r="DI41" s="12"/>
      <c r="DJ41" s="12"/>
      <c r="DK41" s="12"/>
      <c r="DL41" s="40"/>
      <c r="DM41" s="40"/>
      <c r="DN41" s="41" t="str">
        <f t="shared" si="38"/>
        <v>DS_Pass-682</v>
      </c>
      <c r="DO41" s="40"/>
      <c r="DP41" s="40"/>
      <c r="DQ41" s="40"/>
      <c r="DR41" s="41"/>
      <c r="DS41" s="41"/>
      <c r="DT41" s="40"/>
      <c r="DU41" s="40"/>
      <c r="DV41" s="40"/>
      <c r="DW41" s="41"/>
      <c r="DX41" s="40"/>
      <c r="DY41" s="40"/>
      <c r="DZ41" s="40" t="s">
        <v>409</v>
      </c>
      <c r="EA41" s="138"/>
      <c r="EB41" s="40"/>
      <c r="EC41" s="40"/>
      <c r="ED41" s="17"/>
      <c r="EE41" s="2"/>
      <c r="EF41" s="139"/>
    </row>
    <row r="42" spans="1:136" s="140" customFormat="1">
      <c r="A42" s="219" t="s">
        <v>949</v>
      </c>
      <c r="B42" s="219" t="s">
        <v>892</v>
      </c>
      <c r="C42" s="219" t="s">
        <v>865</v>
      </c>
      <c r="D42" s="13">
        <f>'Run Parameters'!$B$1 + ROW()-1</f>
        <v>683</v>
      </c>
      <c r="E42" s="15" t="s">
        <v>47</v>
      </c>
      <c r="F42" s="13" t="s">
        <v>947</v>
      </c>
      <c r="G42" s="13" t="str">
        <f>("Access Dtls-" &amp; D42)</f>
        <v>Access Dtls-683</v>
      </c>
      <c r="H42" s="15" t="s">
        <v>275</v>
      </c>
      <c r="I42" s="13" t="str">
        <f>("MR. Test_41_FLTY2_"&amp;D42&amp;"")</f>
        <v>MR. Test_41_FLTY2_683</v>
      </c>
      <c r="J42" s="13"/>
      <c r="K42" s="19" t="s">
        <v>425</v>
      </c>
      <c r="L42" s="13" t="str">
        <f>("Cust. Ref-" &amp; D42)</f>
        <v>Cust. Ref-683</v>
      </c>
      <c r="M42" s="15" t="s">
        <v>48</v>
      </c>
      <c r="N42" s="15" t="s">
        <v>425</v>
      </c>
      <c r="O42" s="13"/>
      <c r="P42" s="13" t="str">
        <f>("SN-" &amp; D42)</f>
        <v>SN-683</v>
      </c>
      <c r="Q42" s="13" t="str">
        <f>("SI-" &amp; D42)</f>
        <v>SI-683</v>
      </c>
      <c r="R42" s="13" t="str">
        <f>("SE-" &amp; D42)</f>
        <v>SE-683</v>
      </c>
      <c r="S42" s="135" t="str">
        <f>("Prev_RA-" &amp; D42)</f>
        <v>Prev_RA-683</v>
      </c>
      <c r="T42" s="135" t="str">
        <f>("Prev_Comms-" &amp; D42)</f>
        <v>Prev_Comms-683</v>
      </c>
      <c r="U42" s="17" t="s">
        <v>75</v>
      </c>
      <c r="V42" s="15" t="s">
        <v>401</v>
      </c>
      <c r="W42" s="17" t="s">
        <v>75</v>
      </c>
      <c r="X42" s="15" t="s">
        <v>396</v>
      </c>
      <c r="Y42" s="13" t="str">
        <f>("Forward Add-" &amp; D42)</f>
        <v>Forward Add-683</v>
      </c>
      <c r="Z42" s="15" t="s">
        <v>401</v>
      </c>
      <c r="AA42" s="136" t="str">
        <f>'Run Parameters'!$B$2</f>
        <v>2018-08-13 08:00</v>
      </c>
      <c r="AB42" s="223" t="str">
        <f>'Run Parameters'!B$3</f>
        <v>2018-08-13 18:00</v>
      </c>
      <c r="AC42" s="26">
        <f>('Run Parameters'!$B$2) - 7</f>
        <v>43318.333333333336</v>
      </c>
      <c r="AD42" s="17" t="s">
        <v>75</v>
      </c>
      <c r="AE42" s="13" t="str">
        <f>("LAST_METER-" &amp; D42)</f>
        <v>LAST_METER-683</v>
      </c>
      <c r="AF42" s="136" t="str">
        <f>'Run Parameters'!$B$2</f>
        <v>2018-08-13 08:00</v>
      </c>
      <c r="AG42" s="13" t="str">
        <f>'Run Parameters'!B$4</f>
        <v>AUTOTEST2</v>
      </c>
      <c r="AH42" s="135" t="str">
        <f>("Site_Contact_" &amp; D42)</f>
        <v>Site_Contact_683</v>
      </c>
      <c r="AI42" s="136" t="str">
        <f>'Run Parameters'!B$2</f>
        <v>2018-08-13 08:00</v>
      </c>
      <c r="AJ42" s="223" t="str">
        <f>'Run Parameters'!B$3</f>
        <v>2018-08-13 18:00</v>
      </c>
      <c r="AK42" s="13" t="s">
        <v>396</v>
      </c>
      <c r="AL42" s="135" t="str">
        <f>"01159" &amp; D42</f>
        <v>01159683</v>
      </c>
      <c r="AM42" s="13" t="str">
        <f>("0115" &amp; D42)</f>
        <v>0115683</v>
      </c>
      <c r="AN42" s="15"/>
      <c r="AO42" s="15"/>
      <c r="AP42" s="13">
        <v>1</v>
      </c>
      <c r="AQ42" s="15" t="s">
        <v>49</v>
      </c>
      <c r="AR42" s="15"/>
      <c r="AS42" s="13"/>
      <c r="AT42" s="12"/>
      <c r="AU42" s="12"/>
      <c r="AV42" s="13">
        <f>D42</f>
        <v>683</v>
      </c>
      <c r="AW42" s="13" t="s">
        <v>945</v>
      </c>
      <c r="AX42" s="13" t="s">
        <v>420</v>
      </c>
      <c r="AY42" s="13" t="s">
        <v>421</v>
      </c>
      <c r="AZ42" s="15" t="s">
        <v>334</v>
      </c>
      <c r="BA42" s="15" t="s">
        <v>154</v>
      </c>
      <c r="BB42" s="21">
        <v>1</v>
      </c>
      <c r="BC42" s="21">
        <f>D42</f>
        <v>683</v>
      </c>
      <c r="BD42" s="17" t="s">
        <v>948</v>
      </c>
      <c r="BE42" s="17" t="s">
        <v>391</v>
      </c>
      <c r="BF42" s="17" t="s">
        <v>391</v>
      </c>
      <c r="BG42" s="21" t="s">
        <v>947</v>
      </c>
      <c r="BH42" s="21" t="str">
        <f>BC42&amp;"_"&amp;BB42</f>
        <v>683_1</v>
      </c>
      <c r="BI42" s="21"/>
      <c r="BJ42" s="21" t="str">
        <f>"10000000" &amp; D42</f>
        <v>10000000683</v>
      </c>
      <c r="BK42" s="17" t="s">
        <v>51</v>
      </c>
      <c r="BL42" s="17" t="s">
        <v>54</v>
      </c>
      <c r="BM42" s="21" t="s">
        <v>741</v>
      </c>
      <c r="BN42" s="17" t="s">
        <v>51</v>
      </c>
      <c r="BO42" s="21" t="str">
        <f>"S05S" &amp; D42</f>
        <v>S05S683</v>
      </c>
      <c r="BP42" s="17" t="s">
        <v>409</v>
      </c>
      <c r="BQ42" s="17" t="s">
        <v>409</v>
      </c>
      <c r="BR42" s="21" t="s">
        <v>161</v>
      </c>
      <c r="BS42" s="17" t="s">
        <v>202</v>
      </c>
      <c r="BT42" s="17" t="s">
        <v>160</v>
      </c>
      <c r="BU42" s="17" t="s">
        <v>393</v>
      </c>
      <c r="BV42" s="17" t="s">
        <v>51</v>
      </c>
      <c r="BW42" s="17" t="s">
        <v>154</v>
      </c>
      <c r="BX42" s="17"/>
      <c r="BY42" s="17"/>
      <c r="BZ42" s="17" t="s">
        <v>157</v>
      </c>
      <c r="CA42" s="17" t="s">
        <v>269</v>
      </c>
      <c r="CB42" s="17" t="s">
        <v>47</v>
      </c>
      <c r="CC42" s="17" t="s">
        <v>742</v>
      </c>
      <c r="CD42" s="17" t="s">
        <v>392</v>
      </c>
      <c r="CE42" s="17" t="s">
        <v>396</v>
      </c>
      <c r="CF42" s="17" t="s">
        <v>398</v>
      </c>
      <c r="CG42" s="17" t="s">
        <v>946</v>
      </c>
      <c r="CH42" s="17" t="s">
        <v>159</v>
      </c>
      <c r="CI42" s="11"/>
      <c r="CJ42" s="11"/>
      <c r="CK42" s="12"/>
      <c r="CL42" s="12"/>
      <c r="CM42" s="12"/>
      <c r="CN42" s="11"/>
      <c r="CO42" s="11"/>
      <c r="CP42" s="12"/>
      <c r="CQ42" s="11"/>
      <c r="CR42" s="11"/>
      <c r="CS42" s="12"/>
      <c r="CT42" s="28"/>
      <c r="CU42" s="11"/>
      <c r="CV42" s="12"/>
      <c r="CW42" s="12"/>
      <c r="CX42" s="12"/>
      <c r="CY42" s="12"/>
      <c r="CZ42" s="12"/>
      <c r="DA42" s="12"/>
      <c r="DB42" s="11"/>
      <c r="DC42" s="12"/>
      <c r="DD42" s="12"/>
      <c r="DE42" s="12"/>
      <c r="DF42" s="12"/>
      <c r="DG42" s="12"/>
      <c r="DH42" s="12"/>
      <c r="DI42" s="12"/>
      <c r="DJ42" s="12"/>
      <c r="DK42" s="12"/>
      <c r="DL42" s="40"/>
      <c r="DM42" s="40"/>
      <c r="DN42" s="41" t="str">
        <f t="shared" si="38"/>
        <v>DS_Pass-683</v>
      </c>
      <c r="DO42" s="40"/>
      <c r="DP42" s="40"/>
      <c r="DQ42" s="40"/>
      <c r="DR42" s="41"/>
      <c r="DS42" s="41"/>
      <c r="DT42" s="40"/>
      <c r="DU42" s="40"/>
      <c r="DV42" s="40"/>
      <c r="DW42" s="41"/>
      <c r="DX42" s="40"/>
      <c r="DY42" s="40"/>
      <c r="DZ42" s="40" t="s">
        <v>409</v>
      </c>
      <c r="EA42" s="138"/>
      <c r="EB42" s="40"/>
      <c r="EC42" s="40"/>
      <c r="ED42" s="17"/>
      <c r="EE42" s="2"/>
      <c r="EF42" s="139"/>
    </row>
    <row r="43" spans="1:136" s="140" customFormat="1">
      <c r="A43" s="219" t="s">
        <v>950</v>
      </c>
      <c r="B43" s="219" t="s">
        <v>868</v>
      </c>
      <c r="C43" s="219" t="s">
        <v>865</v>
      </c>
      <c r="D43" s="13">
        <f>'Run Parameters'!$B$1 + ROW()-1</f>
        <v>684</v>
      </c>
      <c r="E43" s="15" t="s">
        <v>47</v>
      </c>
      <c r="F43" s="13" t="s">
        <v>947</v>
      </c>
      <c r="G43" s="13" t="str">
        <f t="shared" ref="G43:G53" si="56">("Access Dtls-" &amp; D43)</f>
        <v>Access Dtls-684</v>
      </c>
      <c r="H43" s="15" t="s">
        <v>275</v>
      </c>
      <c r="I43" s="13" t="str">
        <f>("MR. Test_42_FLTY2_"&amp;D43&amp;"")</f>
        <v>MR. Test_42_FLTY2_684</v>
      </c>
      <c r="J43" s="13"/>
      <c r="K43" s="19" t="s">
        <v>425</v>
      </c>
      <c r="L43" s="13" t="str">
        <f t="shared" ref="L43:L53" si="57">("Cust. Ref-" &amp; D43)</f>
        <v>Cust. Ref-684</v>
      </c>
      <c r="M43" s="15" t="s">
        <v>48</v>
      </c>
      <c r="N43" s="15" t="s">
        <v>425</v>
      </c>
      <c r="O43" s="13"/>
      <c r="P43" s="13" t="str">
        <f t="shared" ref="P43:P53" si="58">("SN-" &amp; D43)</f>
        <v>SN-684</v>
      </c>
      <c r="Q43" s="13" t="str">
        <f t="shared" ref="Q43:Q53" si="59">("SI-" &amp; D43)</f>
        <v>SI-684</v>
      </c>
      <c r="R43" s="13" t="str">
        <f t="shared" ref="R43:R53" si="60">("SE-" &amp; D43)</f>
        <v>SE-684</v>
      </c>
      <c r="S43" s="135" t="str">
        <f t="shared" ref="S43:S53" si="61">("Prev_RA-" &amp; D43)</f>
        <v>Prev_RA-684</v>
      </c>
      <c r="T43" s="135" t="str">
        <f t="shared" ref="T43:T53" si="62">("Prev_Comms-" &amp; D43)</f>
        <v>Prev_Comms-684</v>
      </c>
      <c r="U43" s="17" t="s">
        <v>75</v>
      </c>
      <c r="V43" s="15" t="s">
        <v>401</v>
      </c>
      <c r="W43" s="17" t="s">
        <v>75</v>
      </c>
      <c r="X43" s="15" t="s">
        <v>396</v>
      </c>
      <c r="Y43" s="13" t="str">
        <f t="shared" ref="Y43:Y53" si="63">("Forward Add-" &amp; D43)</f>
        <v>Forward Add-684</v>
      </c>
      <c r="Z43" s="15" t="s">
        <v>401</v>
      </c>
      <c r="AA43" s="136" t="str">
        <f>'Run Parameters'!$B$2</f>
        <v>2018-08-13 08:00</v>
      </c>
      <c r="AB43" s="223" t="str">
        <f>'Run Parameters'!B$3</f>
        <v>2018-08-13 18:00</v>
      </c>
      <c r="AC43" s="26">
        <f>('Run Parameters'!$B$2) - 7</f>
        <v>43318.333333333336</v>
      </c>
      <c r="AD43" s="17" t="s">
        <v>75</v>
      </c>
      <c r="AE43" s="13" t="str">
        <f t="shared" ref="AE43:AE53" si="64">("LAST_METER-" &amp; D43)</f>
        <v>LAST_METER-684</v>
      </c>
      <c r="AF43" s="136" t="str">
        <f>'Run Parameters'!$B$2</f>
        <v>2018-08-13 08:00</v>
      </c>
      <c r="AG43" s="13" t="str">
        <f>'Run Parameters'!B$4</f>
        <v>AUTOTEST2</v>
      </c>
      <c r="AH43" s="135" t="str">
        <f t="shared" ref="AH43:AH53" si="65">("Site_Contact_" &amp; D43)</f>
        <v>Site_Contact_684</v>
      </c>
      <c r="AI43" s="136" t="str">
        <f>'Run Parameters'!B$2</f>
        <v>2018-08-13 08:00</v>
      </c>
      <c r="AJ43" s="223" t="str">
        <f>'Run Parameters'!B$3</f>
        <v>2018-08-13 18:00</v>
      </c>
      <c r="AK43" s="13" t="s">
        <v>396</v>
      </c>
      <c r="AL43" s="135" t="str">
        <f t="shared" ref="AL43:AL53" si="66">"01159" &amp; D43</f>
        <v>01159684</v>
      </c>
      <c r="AM43" s="13" t="str">
        <f t="shared" ref="AM43:AM53" si="67">("0115" &amp; D43)</f>
        <v>0115684</v>
      </c>
      <c r="AN43" s="15"/>
      <c r="AO43" s="15"/>
      <c r="AP43" s="13">
        <v>1</v>
      </c>
      <c r="AQ43" s="15" t="s">
        <v>49</v>
      </c>
      <c r="AR43" s="15"/>
      <c r="AS43" s="13"/>
      <c r="AT43" s="12"/>
      <c r="AU43" s="12"/>
      <c r="AV43" s="13">
        <f t="shared" ref="AV43:AV53" si="68">D43</f>
        <v>684</v>
      </c>
      <c r="AW43" s="13" t="s">
        <v>945</v>
      </c>
      <c r="AX43" s="13" t="s">
        <v>420</v>
      </c>
      <c r="AY43" s="13" t="s">
        <v>421</v>
      </c>
      <c r="AZ43" s="15" t="s">
        <v>334</v>
      </c>
      <c r="BA43" s="15" t="s">
        <v>154</v>
      </c>
      <c r="BB43" s="21">
        <v>1</v>
      </c>
      <c r="BC43" s="21">
        <f t="shared" ref="BC43:BC53" si="69">D43</f>
        <v>684</v>
      </c>
      <c r="BD43" s="17" t="s">
        <v>948</v>
      </c>
      <c r="BE43" s="17" t="s">
        <v>391</v>
      </c>
      <c r="BF43" s="17" t="s">
        <v>391</v>
      </c>
      <c r="BG43" s="21" t="s">
        <v>947</v>
      </c>
      <c r="BH43" s="21" t="str">
        <f t="shared" ref="BH43:BH53" si="70">BC43&amp;"_"&amp;BB43</f>
        <v>684_1</v>
      </c>
      <c r="BI43" s="21"/>
      <c r="BJ43" s="21" t="str">
        <f t="shared" ref="BJ43:BJ53" si="71">"10000000" &amp; D43</f>
        <v>10000000684</v>
      </c>
      <c r="BK43" s="17" t="s">
        <v>51</v>
      </c>
      <c r="BL43" s="17" t="s">
        <v>54</v>
      </c>
      <c r="BM43" s="21" t="s">
        <v>741</v>
      </c>
      <c r="BN43" s="17" t="s">
        <v>51</v>
      </c>
      <c r="BO43" s="21" t="str">
        <f t="shared" ref="BO43:BO53" si="72">"S05S" &amp; D43</f>
        <v>S05S684</v>
      </c>
      <c r="BP43" s="17" t="s">
        <v>409</v>
      </c>
      <c r="BQ43" s="17" t="s">
        <v>409</v>
      </c>
      <c r="BR43" s="21" t="s">
        <v>161</v>
      </c>
      <c r="BS43" s="17" t="s">
        <v>202</v>
      </c>
      <c r="BT43" s="17" t="s">
        <v>160</v>
      </c>
      <c r="BU43" s="17" t="s">
        <v>393</v>
      </c>
      <c r="BV43" s="17" t="s">
        <v>51</v>
      </c>
      <c r="BW43" s="17" t="s">
        <v>154</v>
      </c>
      <c r="BX43" s="17"/>
      <c r="BY43" s="17"/>
      <c r="BZ43" s="17" t="s">
        <v>157</v>
      </c>
      <c r="CA43" s="17" t="s">
        <v>269</v>
      </c>
      <c r="CB43" s="17" t="s">
        <v>47</v>
      </c>
      <c r="CC43" s="17" t="s">
        <v>742</v>
      </c>
      <c r="CD43" s="17" t="s">
        <v>392</v>
      </c>
      <c r="CE43" s="17" t="s">
        <v>396</v>
      </c>
      <c r="CF43" s="17" t="s">
        <v>398</v>
      </c>
      <c r="CG43" s="17" t="s">
        <v>946</v>
      </c>
      <c r="CH43" s="17" t="s">
        <v>159</v>
      </c>
      <c r="CI43" s="11"/>
      <c r="CJ43" s="11"/>
      <c r="CK43" s="12"/>
      <c r="CL43" s="12"/>
      <c r="CM43" s="12"/>
      <c r="CN43" s="11"/>
      <c r="CO43" s="11"/>
      <c r="CP43" s="12"/>
      <c r="CQ43" s="11"/>
      <c r="CR43" s="11"/>
      <c r="CS43" s="12"/>
      <c r="CT43" s="28"/>
      <c r="CU43" s="11"/>
      <c r="CV43" s="12"/>
      <c r="CW43" s="12"/>
      <c r="CX43" s="12"/>
      <c r="CY43" s="12"/>
      <c r="CZ43" s="12"/>
      <c r="DA43" s="12"/>
      <c r="DB43" s="11"/>
      <c r="DC43" s="12"/>
      <c r="DD43" s="12"/>
      <c r="DE43" s="12"/>
      <c r="DF43" s="12"/>
      <c r="DG43" s="12"/>
      <c r="DH43" s="12"/>
      <c r="DI43" s="12"/>
      <c r="DJ43" s="12"/>
      <c r="DK43" s="12"/>
      <c r="DL43" s="40"/>
      <c r="DM43" s="40"/>
      <c r="DN43" s="41" t="str">
        <f t="shared" si="38"/>
        <v>DS_Pass-684</v>
      </c>
      <c r="DO43" s="40"/>
      <c r="DP43" s="40"/>
      <c r="DQ43" s="40"/>
      <c r="DR43" s="41"/>
      <c r="DS43" s="41"/>
      <c r="DT43" s="40"/>
      <c r="DU43" s="40"/>
      <c r="DV43" s="40"/>
      <c r="DW43" s="41"/>
      <c r="DX43" s="40"/>
      <c r="DY43" s="40"/>
      <c r="DZ43" s="40" t="s">
        <v>409</v>
      </c>
      <c r="EA43" s="138"/>
      <c r="EB43" s="40"/>
      <c r="EC43" s="40"/>
      <c r="ED43" s="17"/>
      <c r="EE43" s="2"/>
      <c r="EF43" s="139"/>
    </row>
    <row r="44" spans="1:136" s="140" customFormat="1">
      <c r="A44" s="219" t="s">
        <v>951</v>
      </c>
      <c r="B44" s="219" t="s">
        <v>892</v>
      </c>
      <c r="C44" s="219" t="s">
        <v>865</v>
      </c>
      <c r="D44" s="13">
        <f>'Run Parameters'!$B$1 + ROW()-1</f>
        <v>685</v>
      </c>
      <c r="E44" s="15" t="s">
        <v>47</v>
      </c>
      <c r="F44" s="13" t="s">
        <v>947</v>
      </c>
      <c r="G44" s="13" t="str">
        <f t="shared" si="56"/>
        <v>Access Dtls-685</v>
      </c>
      <c r="H44" s="15" t="s">
        <v>275</v>
      </c>
      <c r="I44" s="13" t="str">
        <f>("MR. Test_43_FLTY2_"&amp;D44&amp;"")</f>
        <v>MR. Test_43_FLTY2_685</v>
      </c>
      <c r="J44" s="13"/>
      <c r="K44" s="19" t="s">
        <v>425</v>
      </c>
      <c r="L44" s="13" t="str">
        <f t="shared" si="57"/>
        <v>Cust. Ref-685</v>
      </c>
      <c r="M44" s="15" t="s">
        <v>48</v>
      </c>
      <c r="N44" s="15" t="s">
        <v>425</v>
      </c>
      <c r="O44" s="13"/>
      <c r="P44" s="13" t="str">
        <f t="shared" si="58"/>
        <v>SN-685</v>
      </c>
      <c r="Q44" s="13" t="str">
        <f t="shared" si="59"/>
        <v>SI-685</v>
      </c>
      <c r="R44" s="13" t="str">
        <f t="shared" si="60"/>
        <v>SE-685</v>
      </c>
      <c r="S44" s="135" t="str">
        <f t="shared" si="61"/>
        <v>Prev_RA-685</v>
      </c>
      <c r="T44" s="135" t="str">
        <f t="shared" si="62"/>
        <v>Prev_Comms-685</v>
      </c>
      <c r="U44" s="17" t="s">
        <v>75</v>
      </c>
      <c r="V44" s="15" t="s">
        <v>401</v>
      </c>
      <c r="W44" s="17" t="s">
        <v>75</v>
      </c>
      <c r="X44" s="15" t="s">
        <v>396</v>
      </c>
      <c r="Y44" s="13" t="str">
        <f t="shared" si="63"/>
        <v>Forward Add-685</v>
      </c>
      <c r="Z44" s="15" t="s">
        <v>401</v>
      </c>
      <c r="AA44" s="136" t="str">
        <f>'Run Parameters'!$B$2</f>
        <v>2018-08-13 08:00</v>
      </c>
      <c r="AB44" s="223" t="str">
        <f>'Run Parameters'!B$3</f>
        <v>2018-08-13 18:00</v>
      </c>
      <c r="AC44" s="26">
        <f>('Run Parameters'!$B$2) - 7</f>
        <v>43318.333333333336</v>
      </c>
      <c r="AD44" s="17" t="s">
        <v>75</v>
      </c>
      <c r="AE44" s="13" t="str">
        <f t="shared" si="64"/>
        <v>LAST_METER-685</v>
      </c>
      <c r="AF44" s="136" t="str">
        <f>'Run Parameters'!$B$2</f>
        <v>2018-08-13 08:00</v>
      </c>
      <c r="AG44" s="13" t="str">
        <f>'Run Parameters'!B$4</f>
        <v>AUTOTEST2</v>
      </c>
      <c r="AH44" s="135" t="str">
        <f t="shared" si="65"/>
        <v>Site_Contact_685</v>
      </c>
      <c r="AI44" s="136" t="str">
        <f>'Run Parameters'!B$2</f>
        <v>2018-08-13 08:00</v>
      </c>
      <c r="AJ44" s="223" t="str">
        <f>'Run Parameters'!B$3</f>
        <v>2018-08-13 18:00</v>
      </c>
      <c r="AK44" s="13" t="s">
        <v>396</v>
      </c>
      <c r="AL44" s="135" t="str">
        <f t="shared" si="66"/>
        <v>01159685</v>
      </c>
      <c r="AM44" s="13" t="str">
        <f t="shared" si="67"/>
        <v>0115685</v>
      </c>
      <c r="AN44" s="15"/>
      <c r="AO44" s="15"/>
      <c r="AP44" s="13">
        <v>1</v>
      </c>
      <c r="AQ44" s="15" t="s">
        <v>49</v>
      </c>
      <c r="AR44" s="15"/>
      <c r="AS44" s="13"/>
      <c r="AT44" s="12"/>
      <c r="AU44" s="12"/>
      <c r="AV44" s="13">
        <f t="shared" si="68"/>
        <v>685</v>
      </c>
      <c r="AW44" s="13" t="s">
        <v>945</v>
      </c>
      <c r="AX44" s="13" t="s">
        <v>420</v>
      </c>
      <c r="AY44" s="13" t="s">
        <v>421</v>
      </c>
      <c r="AZ44" s="15" t="s">
        <v>334</v>
      </c>
      <c r="BA44" s="15" t="s">
        <v>154</v>
      </c>
      <c r="BB44" s="21">
        <v>1</v>
      </c>
      <c r="BC44" s="21">
        <f t="shared" si="69"/>
        <v>685</v>
      </c>
      <c r="BD44" s="17" t="s">
        <v>948</v>
      </c>
      <c r="BE44" s="17" t="s">
        <v>391</v>
      </c>
      <c r="BF44" s="17" t="s">
        <v>391</v>
      </c>
      <c r="BG44" s="21" t="s">
        <v>947</v>
      </c>
      <c r="BH44" s="21" t="str">
        <f t="shared" si="70"/>
        <v>685_1</v>
      </c>
      <c r="BI44" s="21"/>
      <c r="BJ44" s="21" t="str">
        <f t="shared" si="71"/>
        <v>10000000685</v>
      </c>
      <c r="BK44" s="17" t="s">
        <v>51</v>
      </c>
      <c r="BL44" s="17" t="s">
        <v>54</v>
      </c>
      <c r="BM44" s="21" t="s">
        <v>741</v>
      </c>
      <c r="BN44" s="17" t="s">
        <v>51</v>
      </c>
      <c r="BO44" s="21" t="str">
        <f t="shared" si="72"/>
        <v>S05S685</v>
      </c>
      <c r="BP44" s="17" t="s">
        <v>409</v>
      </c>
      <c r="BQ44" s="17" t="s">
        <v>409</v>
      </c>
      <c r="BR44" s="21" t="s">
        <v>161</v>
      </c>
      <c r="BS44" s="17" t="s">
        <v>202</v>
      </c>
      <c r="BT44" s="17" t="s">
        <v>160</v>
      </c>
      <c r="BU44" s="17" t="s">
        <v>393</v>
      </c>
      <c r="BV44" s="17" t="s">
        <v>51</v>
      </c>
      <c r="BW44" s="17" t="s">
        <v>154</v>
      </c>
      <c r="BX44" s="17"/>
      <c r="BY44" s="17"/>
      <c r="BZ44" s="17" t="s">
        <v>157</v>
      </c>
      <c r="CA44" s="17" t="s">
        <v>269</v>
      </c>
      <c r="CB44" s="17" t="s">
        <v>47</v>
      </c>
      <c r="CC44" s="17" t="s">
        <v>742</v>
      </c>
      <c r="CD44" s="17" t="s">
        <v>392</v>
      </c>
      <c r="CE44" s="17" t="s">
        <v>396</v>
      </c>
      <c r="CF44" s="17" t="s">
        <v>398</v>
      </c>
      <c r="CG44" s="17" t="s">
        <v>946</v>
      </c>
      <c r="CH44" s="17" t="s">
        <v>159</v>
      </c>
      <c r="CI44" s="11"/>
      <c r="CJ44" s="11"/>
      <c r="CK44" s="12"/>
      <c r="CL44" s="12"/>
      <c r="CM44" s="12"/>
      <c r="CN44" s="11"/>
      <c r="CO44" s="11"/>
      <c r="CP44" s="12"/>
      <c r="CQ44" s="11"/>
      <c r="CR44" s="11"/>
      <c r="CS44" s="12"/>
      <c r="CT44" s="28"/>
      <c r="CU44" s="11"/>
      <c r="CV44" s="12"/>
      <c r="CW44" s="12"/>
      <c r="CX44" s="12"/>
      <c r="CY44" s="12"/>
      <c r="CZ44" s="12"/>
      <c r="DA44" s="12"/>
      <c r="DB44" s="11"/>
      <c r="DC44" s="12"/>
      <c r="DD44" s="12"/>
      <c r="DE44" s="12"/>
      <c r="DF44" s="12"/>
      <c r="DG44" s="12"/>
      <c r="DH44" s="12"/>
      <c r="DI44" s="12"/>
      <c r="DJ44" s="12"/>
      <c r="DK44" s="12"/>
      <c r="DL44" s="40"/>
      <c r="DM44" s="40"/>
      <c r="DN44" s="41" t="str">
        <f t="shared" si="38"/>
        <v>DS_Pass-685</v>
      </c>
      <c r="DO44" s="40"/>
      <c r="DP44" s="40"/>
      <c r="DQ44" s="40"/>
      <c r="DR44" s="41"/>
      <c r="DS44" s="41"/>
      <c r="DT44" s="40"/>
      <c r="DU44" s="40"/>
      <c r="DV44" s="40"/>
      <c r="DW44" s="41"/>
      <c r="DX44" s="40"/>
      <c r="DY44" s="40"/>
      <c r="DZ44" s="40" t="s">
        <v>409</v>
      </c>
      <c r="EA44" s="138"/>
      <c r="EB44" s="40"/>
      <c r="EC44" s="40"/>
      <c r="ED44" s="17"/>
      <c r="EE44" s="2"/>
      <c r="EF44" s="139"/>
    </row>
    <row r="45" spans="1:136" s="140" customFormat="1">
      <c r="A45" s="219" t="s">
        <v>952</v>
      </c>
      <c r="B45" s="219" t="s">
        <v>868</v>
      </c>
      <c r="C45" s="219" t="s">
        <v>865</v>
      </c>
      <c r="D45" s="13">
        <f>'Run Parameters'!$B$1 + ROW()-1</f>
        <v>686</v>
      </c>
      <c r="E45" s="15" t="s">
        <v>47</v>
      </c>
      <c r="F45" s="13" t="s">
        <v>947</v>
      </c>
      <c r="G45" s="13" t="str">
        <f t="shared" si="56"/>
        <v>Access Dtls-686</v>
      </c>
      <c r="H45" s="15" t="s">
        <v>275</v>
      </c>
      <c r="I45" s="13" t="str">
        <f>("MR. Test_44_FLTY2_"&amp;D45&amp;"")</f>
        <v>MR. Test_44_FLTY2_686</v>
      </c>
      <c r="J45" s="13"/>
      <c r="K45" s="19" t="s">
        <v>425</v>
      </c>
      <c r="L45" s="13" t="str">
        <f t="shared" si="57"/>
        <v>Cust. Ref-686</v>
      </c>
      <c r="M45" s="15" t="s">
        <v>48</v>
      </c>
      <c r="N45" s="15" t="s">
        <v>425</v>
      </c>
      <c r="O45" s="13"/>
      <c r="P45" s="13" t="str">
        <f t="shared" si="58"/>
        <v>SN-686</v>
      </c>
      <c r="Q45" s="13" t="str">
        <f t="shared" si="59"/>
        <v>SI-686</v>
      </c>
      <c r="R45" s="13" t="str">
        <f t="shared" si="60"/>
        <v>SE-686</v>
      </c>
      <c r="S45" s="135" t="str">
        <f t="shared" si="61"/>
        <v>Prev_RA-686</v>
      </c>
      <c r="T45" s="135" t="str">
        <f t="shared" si="62"/>
        <v>Prev_Comms-686</v>
      </c>
      <c r="U45" s="17" t="s">
        <v>75</v>
      </c>
      <c r="V45" s="15" t="s">
        <v>401</v>
      </c>
      <c r="W45" s="17" t="s">
        <v>75</v>
      </c>
      <c r="X45" s="15" t="s">
        <v>396</v>
      </c>
      <c r="Y45" s="13" t="str">
        <f t="shared" si="63"/>
        <v>Forward Add-686</v>
      </c>
      <c r="Z45" s="15" t="s">
        <v>401</v>
      </c>
      <c r="AA45" s="136" t="str">
        <f>'Run Parameters'!$B$2</f>
        <v>2018-08-13 08:00</v>
      </c>
      <c r="AB45" s="223" t="str">
        <f>'Run Parameters'!B$3</f>
        <v>2018-08-13 18:00</v>
      </c>
      <c r="AC45" s="26">
        <f>('Run Parameters'!$B$2) - 7</f>
        <v>43318.333333333336</v>
      </c>
      <c r="AD45" s="17" t="s">
        <v>75</v>
      </c>
      <c r="AE45" s="13" t="str">
        <f t="shared" si="64"/>
        <v>LAST_METER-686</v>
      </c>
      <c r="AF45" s="136" t="str">
        <f>'Run Parameters'!$B$2</f>
        <v>2018-08-13 08:00</v>
      </c>
      <c r="AG45" s="13" t="str">
        <f>'Run Parameters'!B$4</f>
        <v>AUTOTEST2</v>
      </c>
      <c r="AH45" s="135" t="str">
        <f t="shared" si="65"/>
        <v>Site_Contact_686</v>
      </c>
      <c r="AI45" s="136" t="str">
        <f>'Run Parameters'!B$2</f>
        <v>2018-08-13 08:00</v>
      </c>
      <c r="AJ45" s="223" t="str">
        <f>'Run Parameters'!B$3</f>
        <v>2018-08-13 18:00</v>
      </c>
      <c r="AK45" s="13" t="s">
        <v>396</v>
      </c>
      <c r="AL45" s="135" t="str">
        <f t="shared" si="66"/>
        <v>01159686</v>
      </c>
      <c r="AM45" s="13" t="str">
        <f t="shared" si="67"/>
        <v>0115686</v>
      </c>
      <c r="AN45" s="15"/>
      <c r="AO45" s="15"/>
      <c r="AP45" s="13">
        <v>1</v>
      </c>
      <c r="AQ45" s="15" t="s">
        <v>49</v>
      </c>
      <c r="AR45" s="15"/>
      <c r="AS45" s="13"/>
      <c r="AT45" s="12"/>
      <c r="AU45" s="12"/>
      <c r="AV45" s="13">
        <f t="shared" si="68"/>
        <v>686</v>
      </c>
      <c r="AW45" s="13" t="s">
        <v>945</v>
      </c>
      <c r="AX45" s="13" t="s">
        <v>420</v>
      </c>
      <c r="AY45" s="13" t="s">
        <v>421</v>
      </c>
      <c r="AZ45" s="15" t="s">
        <v>334</v>
      </c>
      <c r="BA45" s="15" t="s">
        <v>154</v>
      </c>
      <c r="BB45" s="21">
        <v>1</v>
      </c>
      <c r="BC45" s="21">
        <f t="shared" si="69"/>
        <v>686</v>
      </c>
      <c r="BD45" s="17" t="s">
        <v>948</v>
      </c>
      <c r="BE45" s="17" t="s">
        <v>391</v>
      </c>
      <c r="BF45" s="17" t="s">
        <v>391</v>
      </c>
      <c r="BG45" s="21" t="s">
        <v>947</v>
      </c>
      <c r="BH45" s="21" t="str">
        <f t="shared" si="70"/>
        <v>686_1</v>
      </c>
      <c r="BI45" s="21"/>
      <c r="BJ45" s="21" t="str">
        <f t="shared" si="71"/>
        <v>10000000686</v>
      </c>
      <c r="BK45" s="17" t="s">
        <v>51</v>
      </c>
      <c r="BL45" s="17" t="s">
        <v>54</v>
      </c>
      <c r="BM45" s="21" t="s">
        <v>741</v>
      </c>
      <c r="BN45" s="17" t="s">
        <v>51</v>
      </c>
      <c r="BO45" s="21" t="str">
        <f t="shared" si="72"/>
        <v>S05S686</v>
      </c>
      <c r="BP45" s="17" t="s">
        <v>409</v>
      </c>
      <c r="BQ45" s="17" t="s">
        <v>409</v>
      </c>
      <c r="BR45" s="21" t="s">
        <v>161</v>
      </c>
      <c r="BS45" s="17" t="s">
        <v>202</v>
      </c>
      <c r="BT45" s="17" t="s">
        <v>160</v>
      </c>
      <c r="BU45" s="17" t="s">
        <v>393</v>
      </c>
      <c r="BV45" s="17" t="s">
        <v>51</v>
      </c>
      <c r="BW45" s="17" t="s">
        <v>154</v>
      </c>
      <c r="BX45" s="17"/>
      <c r="BY45" s="17"/>
      <c r="BZ45" s="17" t="s">
        <v>157</v>
      </c>
      <c r="CA45" s="17" t="s">
        <v>269</v>
      </c>
      <c r="CB45" s="17" t="s">
        <v>47</v>
      </c>
      <c r="CC45" s="17" t="s">
        <v>742</v>
      </c>
      <c r="CD45" s="17" t="s">
        <v>392</v>
      </c>
      <c r="CE45" s="17" t="s">
        <v>396</v>
      </c>
      <c r="CF45" s="17" t="s">
        <v>398</v>
      </c>
      <c r="CG45" s="17" t="s">
        <v>946</v>
      </c>
      <c r="CH45" s="17" t="s">
        <v>159</v>
      </c>
      <c r="CI45" s="11"/>
      <c r="CJ45" s="11"/>
      <c r="CK45" s="12"/>
      <c r="CL45" s="12"/>
      <c r="CM45" s="12"/>
      <c r="CN45" s="11"/>
      <c r="CO45" s="11"/>
      <c r="CP45" s="12"/>
      <c r="CQ45" s="11"/>
      <c r="CR45" s="11"/>
      <c r="CS45" s="12"/>
      <c r="CT45" s="28"/>
      <c r="CU45" s="11"/>
      <c r="CV45" s="12"/>
      <c r="CW45" s="12"/>
      <c r="CX45" s="12"/>
      <c r="CY45" s="12"/>
      <c r="CZ45" s="12"/>
      <c r="DA45" s="12"/>
      <c r="DB45" s="11"/>
      <c r="DC45" s="12"/>
      <c r="DD45" s="12"/>
      <c r="DE45" s="12"/>
      <c r="DF45" s="12"/>
      <c r="DG45" s="12"/>
      <c r="DH45" s="12"/>
      <c r="DI45" s="12"/>
      <c r="DJ45" s="12"/>
      <c r="DK45" s="12"/>
      <c r="DL45" s="40"/>
      <c r="DM45" s="40"/>
      <c r="DN45" s="41" t="str">
        <f t="shared" si="38"/>
        <v>DS_Pass-686</v>
      </c>
      <c r="DO45" s="40"/>
      <c r="DP45" s="40"/>
      <c r="DQ45" s="40"/>
      <c r="DR45" s="41"/>
      <c r="DS45" s="41"/>
      <c r="DT45" s="40"/>
      <c r="DU45" s="40"/>
      <c r="DV45" s="40"/>
      <c r="DW45" s="41"/>
      <c r="DX45" s="40"/>
      <c r="DY45" s="40"/>
      <c r="DZ45" s="40" t="s">
        <v>409</v>
      </c>
      <c r="EA45" s="138"/>
      <c r="EB45" s="40"/>
      <c r="EC45" s="40"/>
      <c r="ED45" s="17"/>
      <c r="EE45" s="2"/>
      <c r="EF45" s="139"/>
    </row>
    <row r="46" spans="1:136" s="140" customFormat="1">
      <c r="A46" s="219" t="s">
        <v>953</v>
      </c>
      <c r="B46" s="219" t="s">
        <v>892</v>
      </c>
      <c r="C46" s="219" t="s">
        <v>865</v>
      </c>
      <c r="D46" s="13">
        <f>'Run Parameters'!$B$1 + ROW()-1</f>
        <v>687</v>
      </c>
      <c r="E46" s="15" t="s">
        <v>47</v>
      </c>
      <c r="F46" s="13" t="s">
        <v>947</v>
      </c>
      <c r="G46" s="13" t="str">
        <f t="shared" si="56"/>
        <v>Access Dtls-687</v>
      </c>
      <c r="H46" s="15" t="s">
        <v>275</v>
      </c>
      <c r="I46" s="13" t="str">
        <f>("MR. Test_45_FLTY2_"&amp;D46&amp;"")</f>
        <v>MR. Test_45_FLTY2_687</v>
      </c>
      <c r="J46" s="13"/>
      <c r="K46" s="19" t="s">
        <v>425</v>
      </c>
      <c r="L46" s="13" t="str">
        <f t="shared" si="57"/>
        <v>Cust. Ref-687</v>
      </c>
      <c r="M46" s="15" t="s">
        <v>48</v>
      </c>
      <c r="N46" s="15" t="s">
        <v>425</v>
      </c>
      <c r="O46" s="13"/>
      <c r="P46" s="13" t="str">
        <f t="shared" si="58"/>
        <v>SN-687</v>
      </c>
      <c r="Q46" s="13" t="str">
        <f t="shared" si="59"/>
        <v>SI-687</v>
      </c>
      <c r="R46" s="13" t="str">
        <f t="shared" si="60"/>
        <v>SE-687</v>
      </c>
      <c r="S46" s="135" t="str">
        <f t="shared" si="61"/>
        <v>Prev_RA-687</v>
      </c>
      <c r="T46" s="135" t="str">
        <f t="shared" si="62"/>
        <v>Prev_Comms-687</v>
      </c>
      <c r="U46" s="17" t="s">
        <v>75</v>
      </c>
      <c r="V46" s="15" t="s">
        <v>401</v>
      </c>
      <c r="W46" s="17" t="s">
        <v>75</v>
      </c>
      <c r="X46" s="15" t="s">
        <v>396</v>
      </c>
      <c r="Y46" s="13" t="str">
        <f t="shared" si="63"/>
        <v>Forward Add-687</v>
      </c>
      <c r="Z46" s="15" t="s">
        <v>401</v>
      </c>
      <c r="AA46" s="136" t="str">
        <f>'Run Parameters'!$B$2</f>
        <v>2018-08-13 08:00</v>
      </c>
      <c r="AB46" s="223" t="str">
        <f>'Run Parameters'!B$3</f>
        <v>2018-08-13 18:00</v>
      </c>
      <c r="AC46" s="26">
        <f>('Run Parameters'!$B$2) - 7</f>
        <v>43318.333333333336</v>
      </c>
      <c r="AD46" s="17" t="s">
        <v>75</v>
      </c>
      <c r="AE46" s="13" t="str">
        <f t="shared" si="64"/>
        <v>LAST_METER-687</v>
      </c>
      <c r="AF46" s="136" t="str">
        <f>'Run Parameters'!$B$2</f>
        <v>2018-08-13 08:00</v>
      </c>
      <c r="AG46" s="13" t="str">
        <f>'Run Parameters'!B$4</f>
        <v>AUTOTEST2</v>
      </c>
      <c r="AH46" s="135" t="str">
        <f t="shared" si="65"/>
        <v>Site_Contact_687</v>
      </c>
      <c r="AI46" s="136" t="str">
        <f>'Run Parameters'!B$2</f>
        <v>2018-08-13 08:00</v>
      </c>
      <c r="AJ46" s="223" t="str">
        <f>'Run Parameters'!B$3</f>
        <v>2018-08-13 18:00</v>
      </c>
      <c r="AK46" s="13" t="s">
        <v>396</v>
      </c>
      <c r="AL46" s="135" t="str">
        <f t="shared" si="66"/>
        <v>01159687</v>
      </c>
      <c r="AM46" s="13" t="str">
        <f t="shared" si="67"/>
        <v>0115687</v>
      </c>
      <c r="AN46" s="15"/>
      <c r="AO46" s="15"/>
      <c r="AP46" s="13">
        <v>1</v>
      </c>
      <c r="AQ46" s="15" t="s">
        <v>49</v>
      </c>
      <c r="AR46" s="15"/>
      <c r="AS46" s="13"/>
      <c r="AT46" s="12"/>
      <c r="AU46" s="12"/>
      <c r="AV46" s="13">
        <f t="shared" si="68"/>
        <v>687</v>
      </c>
      <c r="AW46" s="13" t="s">
        <v>945</v>
      </c>
      <c r="AX46" s="13" t="s">
        <v>420</v>
      </c>
      <c r="AY46" s="13" t="s">
        <v>421</v>
      </c>
      <c r="AZ46" s="15" t="s">
        <v>334</v>
      </c>
      <c r="BA46" s="15" t="s">
        <v>154</v>
      </c>
      <c r="BB46" s="21">
        <v>1</v>
      </c>
      <c r="BC46" s="21">
        <f t="shared" si="69"/>
        <v>687</v>
      </c>
      <c r="BD46" s="17" t="s">
        <v>948</v>
      </c>
      <c r="BE46" s="17" t="s">
        <v>391</v>
      </c>
      <c r="BF46" s="17" t="s">
        <v>391</v>
      </c>
      <c r="BG46" s="21" t="s">
        <v>947</v>
      </c>
      <c r="BH46" s="21" t="str">
        <f t="shared" si="70"/>
        <v>687_1</v>
      </c>
      <c r="BI46" s="21"/>
      <c r="BJ46" s="21" t="str">
        <f t="shared" si="71"/>
        <v>10000000687</v>
      </c>
      <c r="BK46" s="17" t="s">
        <v>51</v>
      </c>
      <c r="BL46" s="17" t="s">
        <v>54</v>
      </c>
      <c r="BM46" s="21" t="s">
        <v>741</v>
      </c>
      <c r="BN46" s="17" t="s">
        <v>51</v>
      </c>
      <c r="BO46" s="21" t="str">
        <f t="shared" si="72"/>
        <v>S05S687</v>
      </c>
      <c r="BP46" s="17" t="s">
        <v>409</v>
      </c>
      <c r="BQ46" s="17" t="s">
        <v>409</v>
      </c>
      <c r="BR46" s="21" t="s">
        <v>161</v>
      </c>
      <c r="BS46" s="17" t="s">
        <v>202</v>
      </c>
      <c r="BT46" s="17" t="s">
        <v>160</v>
      </c>
      <c r="BU46" s="17" t="s">
        <v>393</v>
      </c>
      <c r="BV46" s="17" t="s">
        <v>51</v>
      </c>
      <c r="BW46" s="17" t="s">
        <v>154</v>
      </c>
      <c r="BX46" s="17"/>
      <c r="BY46" s="17"/>
      <c r="BZ46" s="17" t="s">
        <v>157</v>
      </c>
      <c r="CA46" s="17" t="s">
        <v>269</v>
      </c>
      <c r="CB46" s="17" t="s">
        <v>47</v>
      </c>
      <c r="CC46" s="17" t="s">
        <v>742</v>
      </c>
      <c r="CD46" s="17" t="s">
        <v>392</v>
      </c>
      <c r="CE46" s="17" t="s">
        <v>396</v>
      </c>
      <c r="CF46" s="17" t="s">
        <v>398</v>
      </c>
      <c r="CG46" s="17" t="s">
        <v>946</v>
      </c>
      <c r="CH46" s="17" t="s">
        <v>159</v>
      </c>
      <c r="CI46" s="11"/>
      <c r="CJ46" s="11"/>
      <c r="CK46" s="12"/>
      <c r="CL46" s="12"/>
      <c r="CM46" s="12"/>
      <c r="CN46" s="11"/>
      <c r="CO46" s="11"/>
      <c r="CP46" s="12"/>
      <c r="CQ46" s="11"/>
      <c r="CR46" s="11"/>
      <c r="CS46" s="12"/>
      <c r="CT46" s="28"/>
      <c r="CU46" s="11"/>
      <c r="CV46" s="12"/>
      <c r="CW46" s="12"/>
      <c r="CX46" s="12"/>
      <c r="CY46" s="12"/>
      <c r="CZ46" s="12"/>
      <c r="DA46" s="12"/>
      <c r="DB46" s="11"/>
      <c r="DC46" s="12"/>
      <c r="DD46" s="12"/>
      <c r="DE46" s="12"/>
      <c r="DF46" s="12"/>
      <c r="DG46" s="12"/>
      <c r="DH46" s="12"/>
      <c r="DI46" s="12"/>
      <c r="DJ46" s="12"/>
      <c r="DK46" s="12"/>
      <c r="DL46" s="40"/>
      <c r="DM46" s="40"/>
      <c r="DN46" s="41" t="str">
        <f t="shared" si="38"/>
        <v>DS_Pass-687</v>
      </c>
      <c r="DO46" s="40"/>
      <c r="DP46" s="40"/>
      <c r="DQ46" s="40"/>
      <c r="DR46" s="41"/>
      <c r="DS46" s="41"/>
      <c r="DT46" s="40"/>
      <c r="DU46" s="40"/>
      <c r="DV46" s="40"/>
      <c r="DW46" s="41"/>
      <c r="DX46" s="40"/>
      <c r="DY46" s="40"/>
      <c r="DZ46" s="40" t="s">
        <v>409</v>
      </c>
      <c r="EA46" s="138"/>
      <c r="EB46" s="40"/>
      <c r="EC46" s="40"/>
      <c r="ED46" s="17"/>
      <c r="EE46" s="2"/>
      <c r="EF46" s="139"/>
    </row>
    <row r="47" spans="1:136" s="140" customFormat="1">
      <c r="A47" s="219" t="s">
        <v>956</v>
      </c>
      <c r="B47" s="219" t="s">
        <v>868</v>
      </c>
      <c r="C47" s="219" t="s">
        <v>865</v>
      </c>
      <c r="D47" s="13">
        <f>'Run Parameters'!$B$1 + ROW()-1</f>
        <v>688</v>
      </c>
      <c r="E47" s="15" t="s">
        <v>47</v>
      </c>
      <c r="F47" s="13" t="s">
        <v>947</v>
      </c>
      <c r="G47" s="13" t="str">
        <f t="shared" si="56"/>
        <v>Access Dtls-688</v>
      </c>
      <c r="H47" s="15" t="s">
        <v>275</v>
      </c>
      <c r="I47" s="13" t="str">
        <f>("MR. Test_46_FLTY2_"&amp;D47&amp;"")</f>
        <v>MR. Test_46_FLTY2_688</v>
      </c>
      <c r="J47" s="13"/>
      <c r="K47" s="19" t="s">
        <v>425</v>
      </c>
      <c r="L47" s="13" t="str">
        <f t="shared" si="57"/>
        <v>Cust. Ref-688</v>
      </c>
      <c r="M47" s="15" t="s">
        <v>48</v>
      </c>
      <c r="N47" s="15" t="s">
        <v>425</v>
      </c>
      <c r="O47" s="13"/>
      <c r="P47" s="13" t="str">
        <f t="shared" si="58"/>
        <v>SN-688</v>
      </c>
      <c r="Q47" s="13" t="str">
        <f t="shared" si="59"/>
        <v>SI-688</v>
      </c>
      <c r="R47" s="13" t="str">
        <f t="shared" si="60"/>
        <v>SE-688</v>
      </c>
      <c r="S47" s="135" t="str">
        <f t="shared" si="61"/>
        <v>Prev_RA-688</v>
      </c>
      <c r="T47" s="135" t="str">
        <f t="shared" si="62"/>
        <v>Prev_Comms-688</v>
      </c>
      <c r="U47" s="17" t="s">
        <v>75</v>
      </c>
      <c r="V47" s="15" t="s">
        <v>401</v>
      </c>
      <c r="W47" s="17" t="s">
        <v>75</v>
      </c>
      <c r="X47" s="15" t="s">
        <v>396</v>
      </c>
      <c r="Y47" s="13" t="str">
        <f t="shared" si="63"/>
        <v>Forward Add-688</v>
      </c>
      <c r="Z47" s="15" t="s">
        <v>401</v>
      </c>
      <c r="AA47" s="136" t="str">
        <f>'Run Parameters'!$B$2</f>
        <v>2018-08-13 08:00</v>
      </c>
      <c r="AB47" s="223" t="str">
        <f>'Run Parameters'!B$3</f>
        <v>2018-08-13 18:00</v>
      </c>
      <c r="AC47" s="26">
        <f>('Run Parameters'!$B$2) - 7</f>
        <v>43318.333333333336</v>
      </c>
      <c r="AD47" s="17" t="s">
        <v>75</v>
      </c>
      <c r="AE47" s="13" t="str">
        <f t="shared" si="64"/>
        <v>LAST_METER-688</v>
      </c>
      <c r="AF47" s="136" t="str">
        <f>'Run Parameters'!$B$2</f>
        <v>2018-08-13 08:00</v>
      </c>
      <c r="AG47" s="13" t="str">
        <f>'Run Parameters'!B$4</f>
        <v>AUTOTEST2</v>
      </c>
      <c r="AH47" s="135" t="str">
        <f t="shared" si="65"/>
        <v>Site_Contact_688</v>
      </c>
      <c r="AI47" s="136" t="str">
        <f>'Run Parameters'!B$2</f>
        <v>2018-08-13 08:00</v>
      </c>
      <c r="AJ47" s="223" t="str">
        <f>'Run Parameters'!B$3</f>
        <v>2018-08-13 18:00</v>
      </c>
      <c r="AK47" s="13" t="s">
        <v>396</v>
      </c>
      <c r="AL47" s="135" t="str">
        <f t="shared" si="66"/>
        <v>01159688</v>
      </c>
      <c r="AM47" s="13" t="str">
        <f t="shared" si="67"/>
        <v>0115688</v>
      </c>
      <c r="AN47" s="15"/>
      <c r="AO47" s="15"/>
      <c r="AP47" s="13">
        <v>1</v>
      </c>
      <c r="AQ47" s="15" t="s">
        <v>49</v>
      </c>
      <c r="AR47" s="15"/>
      <c r="AS47" s="13"/>
      <c r="AT47" s="12"/>
      <c r="AU47" s="12"/>
      <c r="AV47" s="13">
        <f t="shared" si="68"/>
        <v>688</v>
      </c>
      <c r="AW47" s="13" t="s">
        <v>945</v>
      </c>
      <c r="AX47" s="13" t="s">
        <v>420</v>
      </c>
      <c r="AY47" s="13" t="s">
        <v>421</v>
      </c>
      <c r="AZ47" s="15" t="s">
        <v>334</v>
      </c>
      <c r="BA47" s="15" t="s">
        <v>154</v>
      </c>
      <c r="BB47" s="21">
        <v>1</v>
      </c>
      <c r="BC47" s="21">
        <f t="shared" si="69"/>
        <v>688</v>
      </c>
      <c r="BD47" s="17" t="s">
        <v>948</v>
      </c>
      <c r="BE47" s="17" t="s">
        <v>391</v>
      </c>
      <c r="BF47" s="17" t="s">
        <v>391</v>
      </c>
      <c r="BG47" s="21" t="s">
        <v>947</v>
      </c>
      <c r="BH47" s="21" t="str">
        <f t="shared" si="70"/>
        <v>688_1</v>
      </c>
      <c r="BI47" s="21"/>
      <c r="BJ47" s="21" t="str">
        <f t="shared" si="71"/>
        <v>10000000688</v>
      </c>
      <c r="BK47" s="17" t="s">
        <v>51</v>
      </c>
      <c r="BL47" s="17" t="s">
        <v>54</v>
      </c>
      <c r="BM47" s="21" t="s">
        <v>741</v>
      </c>
      <c r="BN47" s="17" t="s">
        <v>51</v>
      </c>
      <c r="BO47" s="21" t="str">
        <f t="shared" si="72"/>
        <v>S05S688</v>
      </c>
      <c r="BP47" s="17" t="s">
        <v>409</v>
      </c>
      <c r="BQ47" s="17" t="s">
        <v>409</v>
      </c>
      <c r="BR47" s="21" t="s">
        <v>161</v>
      </c>
      <c r="BS47" s="17" t="s">
        <v>202</v>
      </c>
      <c r="BT47" s="17" t="s">
        <v>160</v>
      </c>
      <c r="BU47" s="17" t="s">
        <v>393</v>
      </c>
      <c r="BV47" s="17" t="s">
        <v>51</v>
      </c>
      <c r="BW47" s="17" t="s">
        <v>154</v>
      </c>
      <c r="BX47" s="17"/>
      <c r="BY47" s="17"/>
      <c r="BZ47" s="17" t="s">
        <v>157</v>
      </c>
      <c r="CA47" s="17" t="s">
        <v>269</v>
      </c>
      <c r="CB47" s="17" t="s">
        <v>47</v>
      </c>
      <c r="CC47" s="17" t="s">
        <v>742</v>
      </c>
      <c r="CD47" s="17" t="s">
        <v>392</v>
      </c>
      <c r="CE47" s="17" t="s">
        <v>396</v>
      </c>
      <c r="CF47" s="17" t="s">
        <v>398</v>
      </c>
      <c r="CG47" s="17" t="s">
        <v>946</v>
      </c>
      <c r="CH47" s="17" t="s">
        <v>159</v>
      </c>
      <c r="CI47" s="11"/>
      <c r="CJ47" s="11"/>
      <c r="CK47" s="12"/>
      <c r="CL47" s="12"/>
      <c r="CM47" s="12"/>
      <c r="CN47" s="11"/>
      <c r="CO47" s="11"/>
      <c r="CP47" s="12"/>
      <c r="CQ47" s="11"/>
      <c r="CR47" s="11"/>
      <c r="CS47" s="12"/>
      <c r="CT47" s="28"/>
      <c r="CU47" s="11"/>
      <c r="CV47" s="12"/>
      <c r="CW47" s="12"/>
      <c r="CX47" s="12"/>
      <c r="CY47" s="12"/>
      <c r="CZ47" s="12"/>
      <c r="DA47" s="12"/>
      <c r="DB47" s="11"/>
      <c r="DC47" s="12"/>
      <c r="DD47" s="12"/>
      <c r="DE47" s="12"/>
      <c r="DF47" s="12"/>
      <c r="DG47" s="12"/>
      <c r="DH47" s="12"/>
      <c r="DI47" s="12"/>
      <c r="DJ47" s="12"/>
      <c r="DK47" s="12"/>
      <c r="DL47" s="40"/>
      <c r="DM47" s="40"/>
      <c r="DN47" s="41" t="str">
        <f t="shared" si="38"/>
        <v>DS_Pass-688</v>
      </c>
      <c r="DO47" s="40"/>
      <c r="DP47" s="40"/>
      <c r="DQ47" s="40"/>
      <c r="DR47" s="41"/>
      <c r="DS47" s="41"/>
      <c r="DT47" s="40"/>
      <c r="DU47" s="40"/>
      <c r="DV47" s="40"/>
      <c r="DW47" s="41"/>
      <c r="DX47" s="40"/>
      <c r="DY47" s="40"/>
      <c r="DZ47" s="40" t="s">
        <v>409</v>
      </c>
      <c r="EA47" s="138"/>
      <c r="EB47" s="40"/>
      <c r="EC47" s="40"/>
      <c r="ED47" s="17"/>
      <c r="EE47" s="2"/>
      <c r="EF47" s="139"/>
    </row>
    <row r="48" spans="1:136" s="140" customFormat="1">
      <c r="A48" s="219" t="s">
        <v>954</v>
      </c>
      <c r="B48" s="219" t="s">
        <v>892</v>
      </c>
      <c r="C48" s="219" t="s">
        <v>865</v>
      </c>
      <c r="D48" s="13">
        <f>'Run Parameters'!$B$1 + ROW()-1</f>
        <v>689</v>
      </c>
      <c r="E48" s="15" t="s">
        <v>47</v>
      </c>
      <c r="F48" s="13" t="s">
        <v>947</v>
      </c>
      <c r="G48" s="13" t="str">
        <f t="shared" si="56"/>
        <v>Access Dtls-689</v>
      </c>
      <c r="H48" s="15" t="s">
        <v>275</v>
      </c>
      <c r="I48" s="13" t="str">
        <f>("MR. Test_47_FLTY2_"&amp;D48&amp;"")</f>
        <v>MR. Test_47_FLTY2_689</v>
      </c>
      <c r="J48" s="13"/>
      <c r="K48" s="19" t="s">
        <v>425</v>
      </c>
      <c r="L48" s="13" t="str">
        <f t="shared" si="57"/>
        <v>Cust. Ref-689</v>
      </c>
      <c r="M48" s="15" t="s">
        <v>48</v>
      </c>
      <c r="N48" s="15" t="s">
        <v>425</v>
      </c>
      <c r="O48" s="13"/>
      <c r="P48" s="13" t="str">
        <f t="shared" si="58"/>
        <v>SN-689</v>
      </c>
      <c r="Q48" s="13" t="str">
        <f t="shared" si="59"/>
        <v>SI-689</v>
      </c>
      <c r="R48" s="13" t="str">
        <f t="shared" si="60"/>
        <v>SE-689</v>
      </c>
      <c r="S48" s="135" t="str">
        <f t="shared" si="61"/>
        <v>Prev_RA-689</v>
      </c>
      <c r="T48" s="135" t="str">
        <f t="shared" si="62"/>
        <v>Prev_Comms-689</v>
      </c>
      <c r="U48" s="17" t="s">
        <v>75</v>
      </c>
      <c r="V48" s="15" t="s">
        <v>401</v>
      </c>
      <c r="W48" s="17" t="s">
        <v>75</v>
      </c>
      <c r="X48" s="15" t="s">
        <v>396</v>
      </c>
      <c r="Y48" s="13" t="str">
        <f t="shared" si="63"/>
        <v>Forward Add-689</v>
      </c>
      <c r="Z48" s="15" t="s">
        <v>401</v>
      </c>
      <c r="AA48" s="136" t="str">
        <f>'Run Parameters'!$B$2</f>
        <v>2018-08-13 08:00</v>
      </c>
      <c r="AB48" s="223" t="str">
        <f>'Run Parameters'!B$3</f>
        <v>2018-08-13 18:00</v>
      </c>
      <c r="AC48" s="26">
        <f>('Run Parameters'!$B$2) - 7</f>
        <v>43318.333333333336</v>
      </c>
      <c r="AD48" s="17" t="s">
        <v>75</v>
      </c>
      <c r="AE48" s="13" t="str">
        <f t="shared" si="64"/>
        <v>LAST_METER-689</v>
      </c>
      <c r="AF48" s="136" t="str">
        <f>'Run Parameters'!$B$2</f>
        <v>2018-08-13 08:00</v>
      </c>
      <c r="AG48" s="13" t="str">
        <f>'Run Parameters'!B$4</f>
        <v>AUTOTEST2</v>
      </c>
      <c r="AH48" s="135" t="str">
        <f t="shared" si="65"/>
        <v>Site_Contact_689</v>
      </c>
      <c r="AI48" s="136" t="str">
        <f>'Run Parameters'!B$2</f>
        <v>2018-08-13 08:00</v>
      </c>
      <c r="AJ48" s="223" t="str">
        <f>'Run Parameters'!B$3</f>
        <v>2018-08-13 18:00</v>
      </c>
      <c r="AK48" s="13" t="s">
        <v>396</v>
      </c>
      <c r="AL48" s="135" t="str">
        <f t="shared" si="66"/>
        <v>01159689</v>
      </c>
      <c r="AM48" s="13" t="str">
        <f t="shared" si="67"/>
        <v>0115689</v>
      </c>
      <c r="AN48" s="15"/>
      <c r="AO48" s="15"/>
      <c r="AP48" s="13">
        <v>1</v>
      </c>
      <c r="AQ48" s="15" t="s">
        <v>49</v>
      </c>
      <c r="AR48" s="15"/>
      <c r="AS48" s="13"/>
      <c r="AT48" s="12"/>
      <c r="AU48" s="12"/>
      <c r="AV48" s="13">
        <f t="shared" si="68"/>
        <v>689</v>
      </c>
      <c r="AW48" s="13" t="s">
        <v>945</v>
      </c>
      <c r="AX48" s="13" t="s">
        <v>420</v>
      </c>
      <c r="AY48" s="13" t="s">
        <v>421</v>
      </c>
      <c r="AZ48" s="15" t="s">
        <v>334</v>
      </c>
      <c r="BA48" s="15" t="s">
        <v>154</v>
      </c>
      <c r="BB48" s="21">
        <v>1</v>
      </c>
      <c r="BC48" s="21">
        <f t="shared" si="69"/>
        <v>689</v>
      </c>
      <c r="BD48" s="17" t="s">
        <v>948</v>
      </c>
      <c r="BE48" s="17" t="s">
        <v>391</v>
      </c>
      <c r="BF48" s="17" t="s">
        <v>391</v>
      </c>
      <c r="BG48" s="21" t="s">
        <v>947</v>
      </c>
      <c r="BH48" s="21" t="str">
        <f t="shared" si="70"/>
        <v>689_1</v>
      </c>
      <c r="BI48" s="21"/>
      <c r="BJ48" s="21" t="str">
        <f t="shared" si="71"/>
        <v>10000000689</v>
      </c>
      <c r="BK48" s="17" t="s">
        <v>51</v>
      </c>
      <c r="BL48" s="17" t="s">
        <v>54</v>
      </c>
      <c r="BM48" s="21" t="s">
        <v>741</v>
      </c>
      <c r="BN48" s="17" t="s">
        <v>51</v>
      </c>
      <c r="BO48" s="21" t="str">
        <f t="shared" si="72"/>
        <v>S05S689</v>
      </c>
      <c r="BP48" s="17" t="s">
        <v>409</v>
      </c>
      <c r="BQ48" s="17" t="s">
        <v>409</v>
      </c>
      <c r="BR48" s="21" t="s">
        <v>161</v>
      </c>
      <c r="BS48" s="17" t="s">
        <v>202</v>
      </c>
      <c r="BT48" s="17" t="s">
        <v>160</v>
      </c>
      <c r="BU48" s="17" t="s">
        <v>393</v>
      </c>
      <c r="BV48" s="17" t="s">
        <v>51</v>
      </c>
      <c r="BW48" s="17" t="s">
        <v>154</v>
      </c>
      <c r="BX48" s="17"/>
      <c r="BY48" s="17"/>
      <c r="BZ48" s="17" t="s">
        <v>157</v>
      </c>
      <c r="CA48" s="17" t="s">
        <v>269</v>
      </c>
      <c r="CB48" s="17" t="s">
        <v>47</v>
      </c>
      <c r="CC48" s="17" t="s">
        <v>742</v>
      </c>
      <c r="CD48" s="17" t="s">
        <v>392</v>
      </c>
      <c r="CE48" s="17" t="s">
        <v>396</v>
      </c>
      <c r="CF48" s="17" t="s">
        <v>398</v>
      </c>
      <c r="CG48" s="17" t="s">
        <v>946</v>
      </c>
      <c r="CH48" s="17" t="s">
        <v>159</v>
      </c>
      <c r="CI48" s="11"/>
      <c r="CJ48" s="11"/>
      <c r="CK48" s="12"/>
      <c r="CL48" s="12"/>
      <c r="CM48" s="12"/>
      <c r="CN48" s="11"/>
      <c r="CO48" s="11"/>
      <c r="CP48" s="12"/>
      <c r="CQ48" s="11"/>
      <c r="CR48" s="11"/>
      <c r="CS48" s="12"/>
      <c r="CT48" s="28"/>
      <c r="CU48" s="11"/>
      <c r="CV48" s="12"/>
      <c r="CW48" s="12"/>
      <c r="CX48" s="12"/>
      <c r="CY48" s="12"/>
      <c r="CZ48" s="12"/>
      <c r="DA48" s="12"/>
      <c r="DB48" s="11"/>
      <c r="DC48" s="12"/>
      <c r="DD48" s="12"/>
      <c r="DE48" s="12"/>
      <c r="DF48" s="12"/>
      <c r="DG48" s="12"/>
      <c r="DH48" s="12"/>
      <c r="DI48" s="12"/>
      <c r="DJ48" s="12"/>
      <c r="DK48" s="12"/>
      <c r="DL48" s="40"/>
      <c r="DM48" s="40"/>
      <c r="DN48" s="41" t="str">
        <f t="shared" si="38"/>
        <v>DS_Pass-689</v>
      </c>
      <c r="DO48" s="40"/>
      <c r="DP48" s="40"/>
      <c r="DQ48" s="40"/>
      <c r="DR48" s="41"/>
      <c r="DS48" s="41"/>
      <c r="DT48" s="40"/>
      <c r="DU48" s="40"/>
      <c r="DV48" s="40"/>
      <c r="DW48" s="41"/>
      <c r="DX48" s="40"/>
      <c r="DY48" s="40"/>
      <c r="DZ48" s="40" t="s">
        <v>409</v>
      </c>
      <c r="EA48" s="138"/>
      <c r="EB48" s="40"/>
      <c r="EC48" s="40"/>
      <c r="ED48" s="17"/>
      <c r="EE48" s="2"/>
      <c r="EF48" s="139"/>
    </row>
    <row r="49" spans="1:136" s="140" customFormat="1">
      <c r="A49" s="219" t="s">
        <v>955</v>
      </c>
      <c r="B49" s="219" t="s">
        <v>868</v>
      </c>
      <c r="C49" s="219" t="s">
        <v>865</v>
      </c>
      <c r="D49" s="13">
        <f>'Run Parameters'!$B$1 + ROW()-1</f>
        <v>690</v>
      </c>
      <c r="E49" s="15" t="s">
        <v>47</v>
      </c>
      <c r="F49" s="13" t="s">
        <v>947</v>
      </c>
      <c r="G49" s="13" t="str">
        <f t="shared" si="56"/>
        <v>Access Dtls-690</v>
      </c>
      <c r="H49" s="15" t="s">
        <v>275</v>
      </c>
      <c r="I49" s="13" t="str">
        <f>("MR. Test_48_FLTY2_"&amp;D49&amp;"")</f>
        <v>MR. Test_48_FLTY2_690</v>
      </c>
      <c r="J49" s="13"/>
      <c r="K49" s="19" t="s">
        <v>425</v>
      </c>
      <c r="L49" s="13" t="str">
        <f t="shared" si="57"/>
        <v>Cust. Ref-690</v>
      </c>
      <c r="M49" s="15" t="s">
        <v>48</v>
      </c>
      <c r="N49" s="15" t="s">
        <v>425</v>
      </c>
      <c r="O49" s="13"/>
      <c r="P49" s="13" t="str">
        <f t="shared" si="58"/>
        <v>SN-690</v>
      </c>
      <c r="Q49" s="13" t="str">
        <f t="shared" si="59"/>
        <v>SI-690</v>
      </c>
      <c r="R49" s="13" t="str">
        <f t="shared" si="60"/>
        <v>SE-690</v>
      </c>
      <c r="S49" s="135" t="str">
        <f t="shared" si="61"/>
        <v>Prev_RA-690</v>
      </c>
      <c r="T49" s="135" t="str">
        <f t="shared" si="62"/>
        <v>Prev_Comms-690</v>
      </c>
      <c r="U49" s="17" t="s">
        <v>75</v>
      </c>
      <c r="V49" s="15" t="s">
        <v>401</v>
      </c>
      <c r="W49" s="17" t="s">
        <v>75</v>
      </c>
      <c r="X49" s="15" t="s">
        <v>396</v>
      </c>
      <c r="Y49" s="13" t="str">
        <f t="shared" si="63"/>
        <v>Forward Add-690</v>
      </c>
      <c r="Z49" s="15" t="s">
        <v>401</v>
      </c>
      <c r="AA49" s="136" t="str">
        <f>'Run Parameters'!$B$2</f>
        <v>2018-08-13 08:00</v>
      </c>
      <c r="AB49" s="223" t="str">
        <f>'Run Parameters'!B$3</f>
        <v>2018-08-13 18:00</v>
      </c>
      <c r="AC49" s="26">
        <f>('Run Parameters'!$B$2) - 7</f>
        <v>43318.333333333336</v>
      </c>
      <c r="AD49" s="17" t="s">
        <v>75</v>
      </c>
      <c r="AE49" s="13" t="str">
        <f t="shared" si="64"/>
        <v>LAST_METER-690</v>
      </c>
      <c r="AF49" s="136" t="str">
        <f>'Run Parameters'!$B$2</f>
        <v>2018-08-13 08:00</v>
      </c>
      <c r="AG49" s="13" t="str">
        <f>'Run Parameters'!B$4</f>
        <v>AUTOTEST2</v>
      </c>
      <c r="AH49" s="135" t="str">
        <f t="shared" si="65"/>
        <v>Site_Contact_690</v>
      </c>
      <c r="AI49" s="136" t="str">
        <f>'Run Parameters'!B$2</f>
        <v>2018-08-13 08:00</v>
      </c>
      <c r="AJ49" s="223" t="str">
        <f>'Run Parameters'!B$3</f>
        <v>2018-08-13 18:00</v>
      </c>
      <c r="AK49" s="13" t="s">
        <v>396</v>
      </c>
      <c r="AL49" s="135" t="str">
        <f t="shared" si="66"/>
        <v>01159690</v>
      </c>
      <c r="AM49" s="13" t="str">
        <f t="shared" si="67"/>
        <v>0115690</v>
      </c>
      <c r="AN49" s="15"/>
      <c r="AO49" s="15"/>
      <c r="AP49" s="13">
        <v>1</v>
      </c>
      <c r="AQ49" s="15" t="s">
        <v>49</v>
      </c>
      <c r="AR49" s="15"/>
      <c r="AS49" s="13"/>
      <c r="AT49" s="12"/>
      <c r="AU49" s="12"/>
      <c r="AV49" s="13">
        <f t="shared" si="68"/>
        <v>690</v>
      </c>
      <c r="AW49" s="13" t="s">
        <v>945</v>
      </c>
      <c r="AX49" s="13" t="s">
        <v>420</v>
      </c>
      <c r="AY49" s="13" t="s">
        <v>421</v>
      </c>
      <c r="AZ49" s="15" t="s">
        <v>334</v>
      </c>
      <c r="BA49" s="15" t="s">
        <v>154</v>
      </c>
      <c r="BB49" s="21">
        <v>1</v>
      </c>
      <c r="BC49" s="21">
        <f t="shared" si="69"/>
        <v>690</v>
      </c>
      <c r="BD49" s="17" t="s">
        <v>948</v>
      </c>
      <c r="BE49" s="17" t="s">
        <v>391</v>
      </c>
      <c r="BF49" s="17" t="s">
        <v>391</v>
      </c>
      <c r="BG49" s="21" t="s">
        <v>947</v>
      </c>
      <c r="BH49" s="21" t="str">
        <f t="shared" si="70"/>
        <v>690_1</v>
      </c>
      <c r="BI49" s="21"/>
      <c r="BJ49" s="21" t="str">
        <f t="shared" si="71"/>
        <v>10000000690</v>
      </c>
      <c r="BK49" s="17" t="s">
        <v>51</v>
      </c>
      <c r="BL49" s="17" t="s">
        <v>54</v>
      </c>
      <c r="BM49" s="21" t="s">
        <v>741</v>
      </c>
      <c r="BN49" s="17" t="s">
        <v>51</v>
      </c>
      <c r="BO49" s="21" t="str">
        <f t="shared" si="72"/>
        <v>S05S690</v>
      </c>
      <c r="BP49" s="17" t="s">
        <v>409</v>
      </c>
      <c r="BQ49" s="17" t="s">
        <v>409</v>
      </c>
      <c r="BR49" s="21" t="s">
        <v>161</v>
      </c>
      <c r="BS49" s="17" t="s">
        <v>202</v>
      </c>
      <c r="BT49" s="17" t="s">
        <v>160</v>
      </c>
      <c r="BU49" s="17" t="s">
        <v>393</v>
      </c>
      <c r="BV49" s="17" t="s">
        <v>51</v>
      </c>
      <c r="BW49" s="17" t="s">
        <v>154</v>
      </c>
      <c r="BX49" s="17"/>
      <c r="BY49" s="17"/>
      <c r="BZ49" s="17" t="s">
        <v>157</v>
      </c>
      <c r="CA49" s="17" t="s">
        <v>269</v>
      </c>
      <c r="CB49" s="17" t="s">
        <v>47</v>
      </c>
      <c r="CC49" s="17" t="s">
        <v>742</v>
      </c>
      <c r="CD49" s="17" t="s">
        <v>392</v>
      </c>
      <c r="CE49" s="17" t="s">
        <v>396</v>
      </c>
      <c r="CF49" s="17" t="s">
        <v>398</v>
      </c>
      <c r="CG49" s="17" t="s">
        <v>946</v>
      </c>
      <c r="CH49" s="17" t="s">
        <v>159</v>
      </c>
      <c r="CI49" s="11"/>
      <c r="CJ49" s="11"/>
      <c r="CK49" s="12"/>
      <c r="CL49" s="12"/>
      <c r="CM49" s="12"/>
      <c r="CN49" s="11"/>
      <c r="CO49" s="11"/>
      <c r="CP49" s="12"/>
      <c r="CQ49" s="11"/>
      <c r="CR49" s="11"/>
      <c r="CS49" s="12"/>
      <c r="CT49" s="28"/>
      <c r="CU49" s="11"/>
      <c r="CV49" s="12"/>
      <c r="CW49" s="12"/>
      <c r="CX49" s="12"/>
      <c r="CY49" s="12"/>
      <c r="CZ49" s="12"/>
      <c r="DA49" s="12"/>
      <c r="DB49" s="11"/>
      <c r="DC49" s="12"/>
      <c r="DD49" s="12"/>
      <c r="DE49" s="12"/>
      <c r="DF49" s="12"/>
      <c r="DG49" s="12"/>
      <c r="DH49" s="12"/>
      <c r="DI49" s="12"/>
      <c r="DJ49" s="12"/>
      <c r="DK49" s="12"/>
      <c r="DL49" s="40"/>
      <c r="DM49" s="40"/>
      <c r="DN49" s="41" t="str">
        <f t="shared" si="38"/>
        <v>DS_Pass-690</v>
      </c>
      <c r="DO49" s="40"/>
      <c r="DP49" s="40"/>
      <c r="DQ49" s="40"/>
      <c r="DR49" s="41"/>
      <c r="DS49" s="41"/>
      <c r="DT49" s="40"/>
      <c r="DU49" s="40"/>
      <c r="DV49" s="40"/>
      <c r="DW49" s="41"/>
      <c r="DX49" s="40"/>
      <c r="DY49" s="40"/>
      <c r="DZ49" s="40" t="s">
        <v>409</v>
      </c>
      <c r="EA49" s="138"/>
      <c r="EB49" s="40"/>
      <c r="EC49" s="40"/>
      <c r="ED49" s="17"/>
      <c r="EE49" s="2"/>
      <c r="EF49" s="139"/>
    </row>
    <row r="50" spans="1:136" s="140" customFormat="1">
      <c r="A50" s="219" t="s">
        <v>957</v>
      </c>
      <c r="B50" s="219" t="s">
        <v>892</v>
      </c>
      <c r="C50" s="219" t="s">
        <v>865</v>
      </c>
      <c r="D50" s="13">
        <f>'Run Parameters'!$B$1 + ROW()-1</f>
        <v>691</v>
      </c>
      <c r="E50" s="15" t="s">
        <v>47</v>
      </c>
      <c r="F50" s="13" t="s">
        <v>947</v>
      </c>
      <c r="G50" s="13" t="str">
        <f t="shared" si="56"/>
        <v>Access Dtls-691</v>
      </c>
      <c r="H50" s="15" t="s">
        <v>275</v>
      </c>
      <c r="I50" s="13" t="str">
        <f>("MR. Test_49_FLTY2_"&amp;D50&amp;"")</f>
        <v>MR. Test_49_FLTY2_691</v>
      </c>
      <c r="J50" s="13"/>
      <c r="K50" s="19" t="s">
        <v>425</v>
      </c>
      <c r="L50" s="13" t="str">
        <f t="shared" si="57"/>
        <v>Cust. Ref-691</v>
      </c>
      <c r="M50" s="15" t="s">
        <v>48</v>
      </c>
      <c r="N50" s="15" t="s">
        <v>425</v>
      </c>
      <c r="O50" s="13"/>
      <c r="P50" s="13" t="str">
        <f t="shared" si="58"/>
        <v>SN-691</v>
      </c>
      <c r="Q50" s="13" t="str">
        <f t="shared" si="59"/>
        <v>SI-691</v>
      </c>
      <c r="R50" s="13" t="str">
        <f t="shared" si="60"/>
        <v>SE-691</v>
      </c>
      <c r="S50" s="135" t="str">
        <f t="shared" si="61"/>
        <v>Prev_RA-691</v>
      </c>
      <c r="T50" s="135" t="str">
        <f t="shared" si="62"/>
        <v>Prev_Comms-691</v>
      </c>
      <c r="U50" s="17" t="s">
        <v>75</v>
      </c>
      <c r="V50" s="15" t="s">
        <v>401</v>
      </c>
      <c r="W50" s="17" t="s">
        <v>75</v>
      </c>
      <c r="X50" s="15" t="s">
        <v>396</v>
      </c>
      <c r="Y50" s="13" t="str">
        <f t="shared" si="63"/>
        <v>Forward Add-691</v>
      </c>
      <c r="Z50" s="15" t="s">
        <v>401</v>
      </c>
      <c r="AA50" s="136" t="str">
        <f>'Run Parameters'!$B$2</f>
        <v>2018-08-13 08:00</v>
      </c>
      <c r="AB50" s="223" t="str">
        <f>'Run Parameters'!B$3</f>
        <v>2018-08-13 18:00</v>
      </c>
      <c r="AC50" s="26">
        <f>('Run Parameters'!$B$2) - 7</f>
        <v>43318.333333333336</v>
      </c>
      <c r="AD50" s="17" t="s">
        <v>75</v>
      </c>
      <c r="AE50" s="13" t="str">
        <f t="shared" si="64"/>
        <v>LAST_METER-691</v>
      </c>
      <c r="AF50" s="136" t="str">
        <f>'Run Parameters'!$B$2</f>
        <v>2018-08-13 08:00</v>
      </c>
      <c r="AG50" s="13" t="str">
        <f>'Run Parameters'!B$4</f>
        <v>AUTOTEST2</v>
      </c>
      <c r="AH50" s="135" t="str">
        <f t="shared" si="65"/>
        <v>Site_Contact_691</v>
      </c>
      <c r="AI50" s="136" t="str">
        <f>'Run Parameters'!B$2</f>
        <v>2018-08-13 08:00</v>
      </c>
      <c r="AJ50" s="223" t="str">
        <f>'Run Parameters'!B$3</f>
        <v>2018-08-13 18:00</v>
      </c>
      <c r="AK50" s="13" t="s">
        <v>396</v>
      </c>
      <c r="AL50" s="135" t="str">
        <f t="shared" si="66"/>
        <v>01159691</v>
      </c>
      <c r="AM50" s="13" t="str">
        <f t="shared" si="67"/>
        <v>0115691</v>
      </c>
      <c r="AN50" s="15"/>
      <c r="AO50" s="15"/>
      <c r="AP50" s="13">
        <v>1</v>
      </c>
      <c r="AQ50" s="15" t="s">
        <v>49</v>
      </c>
      <c r="AR50" s="15"/>
      <c r="AS50" s="13"/>
      <c r="AT50" s="12"/>
      <c r="AU50" s="12"/>
      <c r="AV50" s="13">
        <f t="shared" si="68"/>
        <v>691</v>
      </c>
      <c r="AW50" s="13" t="s">
        <v>945</v>
      </c>
      <c r="AX50" s="13" t="s">
        <v>420</v>
      </c>
      <c r="AY50" s="13" t="s">
        <v>421</v>
      </c>
      <c r="AZ50" s="15" t="s">
        <v>334</v>
      </c>
      <c r="BA50" s="15" t="s">
        <v>154</v>
      </c>
      <c r="BB50" s="21">
        <v>1</v>
      </c>
      <c r="BC50" s="21">
        <f t="shared" si="69"/>
        <v>691</v>
      </c>
      <c r="BD50" s="17" t="s">
        <v>948</v>
      </c>
      <c r="BE50" s="17" t="s">
        <v>391</v>
      </c>
      <c r="BF50" s="17" t="s">
        <v>391</v>
      </c>
      <c r="BG50" s="21" t="s">
        <v>947</v>
      </c>
      <c r="BH50" s="21" t="str">
        <f t="shared" si="70"/>
        <v>691_1</v>
      </c>
      <c r="BI50" s="21"/>
      <c r="BJ50" s="21" t="str">
        <f t="shared" si="71"/>
        <v>10000000691</v>
      </c>
      <c r="BK50" s="17" t="s">
        <v>51</v>
      </c>
      <c r="BL50" s="17" t="s">
        <v>54</v>
      </c>
      <c r="BM50" s="21" t="s">
        <v>741</v>
      </c>
      <c r="BN50" s="17" t="s">
        <v>51</v>
      </c>
      <c r="BO50" s="21" t="str">
        <f t="shared" si="72"/>
        <v>S05S691</v>
      </c>
      <c r="BP50" s="17" t="s">
        <v>409</v>
      </c>
      <c r="BQ50" s="17" t="s">
        <v>409</v>
      </c>
      <c r="BR50" s="21" t="s">
        <v>161</v>
      </c>
      <c r="BS50" s="17" t="s">
        <v>202</v>
      </c>
      <c r="BT50" s="17" t="s">
        <v>160</v>
      </c>
      <c r="BU50" s="17" t="s">
        <v>393</v>
      </c>
      <c r="BV50" s="17" t="s">
        <v>51</v>
      </c>
      <c r="BW50" s="17" t="s">
        <v>154</v>
      </c>
      <c r="BX50" s="17"/>
      <c r="BY50" s="17"/>
      <c r="BZ50" s="17" t="s">
        <v>157</v>
      </c>
      <c r="CA50" s="17" t="s">
        <v>269</v>
      </c>
      <c r="CB50" s="17" t="s">
        <v>47</v>
      </c>
      <c r="CC50" s="17" t="s">
        <v>742</v>
      </c>
      <c r="CD50" s="17" t="s">
        <v>392</v>
      </c>
      <c r="CE50" s="17" t="s">
        <v>396</v>
      </c>
      <c r="CF50" s="17" t="s">
        <v>398</v>
      </c>
      <c r="CG50" s="17" t="s">
        <v>946</v>
      </c>
      <c r="CH50" s="17" t="s">
        <v>159</v>
      </c>
      <c r="CI50" s="11"/>
      <c r="CJ50" s="11"/>
      <c r="CK50" s="12"/>
      <c r="CL50" s="12"/>
      <c r="CM50" s="12"/>
      <c r="CN50" s="11"/>
      <c r="CO50" s="11"/>
      <c r="CP50" s="12"/>
      <c r="CQ50" s="11"/>
      <c r="CR50" s="11"/>
      <c r="CS50" s="12"/>
      <c r="CT50" s="28"/>
      <c r="CU50" s="11"/>
      <c r="CV50" s="12"/>
      <c r="CW50" s="12"/>
      <c r="CX50" s="12"/>
      <c r="CY50" s="12"/>
      <c r="CZ50" s="12"/>
      <c r="DA50" s="12"/>
      <c r="DB50" s="11"/>
      <c r="DC50" s="12"/>
      <c r="DD50" s="12"/>
      <c r="DE50" s="12"/>
      <c r="DF50" s="12"/>
      <c r="DG50" s="12"/>
      <c r="DH50" s="12"/>
      <c r="DI50" s="12"/>
      <c r="DJ50" s="12"/>
      <c r="DK50" s="12"/>
      <c r="DL50" s="40"/>
      <c r="DM50" s="40"/>
      <c r="DN50" s="41" t="str">
        <f t="shared" si="38"/>
        <v>DS_Pass-691</v>
      </c>
      <c r="DO50" s="40"/>
      <c r="DP50" s="40"/>
      <c r="DQ50" s="40"/>
      <c r="DR50" s="41"/>
      <c r="DS50" s="41"/>
      <c r="DT50" s="40"/>
      <c r="DU50" s="40"/>
      <c r="DV50" s="40"/>
      <c r="DW50" s="41"/>
      <c r="DX50" s="40"/>
      <c r="DY50" s="40"/>
      <c r="DZ50" s="40" t="s">
        <v>409</v>
      </c>
      <c r="EA50" s="138"/>
      <c r="EB50" s="40"/>
      <c r="EC50" s="40"/>
      <c r="ED50" s="17"/>
      <c r="EE50" s="2"/>
      <c r="EF50" s="139"/>
    </row>
    <row r="51" spans="1:136" s="140" customFormat="1">
      <c r="A51" s="219" t="s">
        <v>958</v>
      </c>
      <c r="B51" s="219" t="s">
        <v>868</v>
      </c>
      <c r="C51" s="219" t="s">
        <v>865</v>
      </c>
      <c r="D51" s="13">
        <f>'Run Parameters'!$B$1 + ROW()-1</f>
        <v>692</v>
      </c>
      <c r="E51" s="15" t="s">
        <v>47</v>
      </c>
      <c r="F51" s="13" t="s">
        <v>947</v>
      </c>
      <c r="G51" s="13" t="str">
        <f t="shared" si="56"/>
        <v>Access Dtls-692</v>
      </c>
      <c r="H51" s="15" t="s">
        <v>275</v>
      </c>
      <c r="I51" s="13" t="str">
        <f>("MR. Test_50_FLTY2_"&amp;D51&amp;"")</f>
        <v>MR. Test_50_FLTY2_692</v>
      </c>
      <c r="J51" s="13"/>
      <c r="K51" s="19" t="s">
        <v>425</v>
      </c>
      <c r="L51" s="13" t="str">
        <f t="shared" si="57"/>
        <v>Cust. Ref-692</v>
      </c>
      <c r="M51" s="15" t="s">
        <v>48</v>
      </c>
      <c r="N51" s="15" t="s">
        <v>425</v>
      </c>
      <c r="O51" s="13"/>
      <c r="P51" s="13" t="str">
        <f t="shared" si="58"/>
        <v>SN-692</v>
      </c>
      <c r="Q51" s="13" t="str">
        <f t="shared" si="59"/>
        <v>SI-692</v>
      </c>
      <c r="R51" s="13" t="str">
        <f t="shared" si="60"/>
        <v>SE-692</v>
      </c>
      <c r="S51" s="135" t="str">
        <f t="shared" si="61"/>
        <v>Prev_RA-692</v>
      </c>
      <c r="T51" s="135" t="str">
        <f t="shared" si="62"/>
        <v>Prev_Comms-692</v>
      </c>
      <c r="U51" s="17" t="s">
        <v>75</v>
      </c>
      <c r="V51" s="15" t="s">
        <v>401</v>
      </c>
      <c r="W51" s="17" t="s">
        <v>75</v>
      </c>
      <c r="X51" s="15" t="s">
        <v>396</v>
      </c>
      <c r="Y51" s="13" t="str">
        <f t="shared" si="63"/>
        <v>Forward Add-692</v>
      </c>
      <c r="Z51" s="15" t="s">
        <v>401</v>
      </c>
      <c r="AA51" s="136" t="str">
        <f>'Run Parameters'!$B$2</f>
        <v>2018-08-13 08:00</v>
      </c>
      <c r="AB51" s="223" t="str">
        <f>'Run Parameters'!B$3</f>
        <v>2018-08-13 18:00</v>
      </c>
      <c r="AC51" s="26">
        <f>('Run Parameters'!$B$2) - 7</f>
        <v>43318.333333333336</v>
      </c>
      <c r="AD51" s="17" t="s">
        <v>75</v>
      </c>
      <c r="AE51" s="13" t="str">
        <f t="shared" si="64"/>
        <v>LAST_METER-692</v>
      </c>
      <c r="AF51" s="136" t="str">
        <f>'Run Parameters'!$B$2</f>
        <v>2018-08-13 08:00</v>
      </c>
      <c r="AG51" s="13" t="str">
        <f>'Run Parameters'!B$4</f>
        <v>AUTOTEST2</v>
      </c>
      <c r="AH51" s="135" t="str">
        <f t="shared" si="65"/>
        <v>Site_Contact_692</v>
      </c>
      <c r="AI51" s="136" t="str">
        <f>'Run Parameters'!B$2</f>
        <v>2018-08-13 08:00</v>
      </c>
      <c r="AJ51" s="223" t="str">
        <f>'Run Parameters'!B$3</f>
        <v>2018-08-13 18:00</v>
      </c>
      <c r="AK51" s="13" t="s">
        <v>396</v>
      </c>
      <c r="AL51" s="135" t="str">
        <f t="shared" si="66"/>
        <v>01159692</v>
      </c>
      <c r="AM51" s="13" t="str">
        <f t="shared" si="67"/>
        <v>0115692</v>
      </c>
      <c r="AN51" s="15"/>
      <c r="AO51" s="15"/>
      <c r="AP51" s="13">
        <v>1</v>
      </c>
      <c r="AQ51" s="15" t="s">
        <v>49</v>
      </c>
      <c r="AR51" s="15"/>
      <c r="AS51" s="13"/>
      <c r="AT51" s="12"/>
      <c r="AU51" s="12"/>
      <c r="AV51" s="13">
        <f t="shared" si="68"/>
        <v>692</v>
      </c>
      <c r="AW51" s="13" t="s">
        <v>945</v>
      </c>
      <c r="AX51" s="13" t="s">
        <v>420</v>
      </c>
      <c r="AY51" s="13" t="s">
        <v>421</v>
      </c>
      <c r="AZ51" s="15" t="s">
        <v>334</v>
      </c>
      <c r="BA51" s="15" t="s">
        <v>154</v>
      </c>
      <c r="BB51" s="21">
        <v>1</v>
      </c>
      <c r="BC51" s="21">
        <f t="shared" si="69"/>
        <v>692</v>
      </c>
      <c r="BD51" s="17" t="s">
        <v>948</v>
      </c>
      <c r="BE51" s="17" t="s">
        <v>391</v>
      </c>
      <c r="BF51" s="17" t="s">
        <v>391</v>
      </c>
      <c r="BG51" s="21" t="s">
        <v>947</v>
      </c>
      <c r="BH51" s="21" t="str">
        <f t="shared" si="70"/>
        <v>692_1</v>
      </c>
      <c r="BI51" s="21"/>
      <c r="BJ51" s="21" t="str">
        <f t="shared" si="71"/>
        <v>10000000692</v>
      </c>
      <c r="BK51" s="17" t="s">
        <v>51</v>
      </c>
      <c r="BL51" s="17" t="s">
        <v>54</v>
      </c>
      <c r="BM51" s="21" t="s">
        <v>741</v>
      </c>
      <c r="BN51" s="17" t="s">
        <v>51</v>
      </c>
      <c r="BO51" s="21" t="str">
        <f t="shared" si="72"/>
        <v>S05S692</v>
      </c>
      <c r="BP51" s="17" t="s">
        <v>409</v>
      </c>
      <c r="BQ51" s="17" t="s">
        <v>409</v>
      </c>
      <c r="BR51" s="21" t="s">
        <v>161</v>
      </c>
      <c r="BS51" s="17" t="s">
        <v>202</v>
      </c>
      <c r="BT51" s="17" t="s">
        <v>160</v>
      </c>
      <c r="BU51" s="17" t="s">
        <v>393</v>
      </c>
      <c r="BV51" s="17" t="s">
        <v>51</v>
      </c>
      <c r="BW51" s="17" t="s">
        <v>154</v>
      </c>
      <c r="BX51" s="17"/>
      <c r="BY51" s="17"/>
      <c r="BZ51" s="17" t="s">
        <v>157</v>
      </c>
      <c r="CA51" s="17" t="s">
        <v>269</v>
      </c>
      <c r="CB51" s="17" t="s">
        <v>47</v>
      </c>
      <c r="CC51" s="17" t="s">
        <v>742</v>
      </c>
      <c r="CD51" s="17" t="s">
        <v>392</v>
      </c>
      <c r="CE51" s="17" t="s">
        <v>396</v>
      </c>
      <c r="CF51" s="17" t="s">
        <v>398</v>
      </c>
      <c r="CG51" s="17" t="s">
        <v>946</v>
      </c>
      <c r="CH51" s="17" t="s">
        <v>159</v>
      </c>
      <c r="CI51" s="11"/>
      <c r="CJ51" s="11"/>
      <c r="CK51" s="12"/>
      <c r="CL51" s="12"/>
      <c r="CM51" s="12"/>
      <c r="CN51" s="11"/>
      <c r="CO51" s="11"/>
      <c r="CP51" s="12"/>
      <c r="CQ51" s="11"/>
      <c r="CR51" s="11"/>
      <c r="CS51" s="12"/>
      <c r="CT51" s="28"/>
      <c r="CU51" s="11"/>
      <c r="CV51" s="12"/>
      <c r="CW51" s="12"/>
      <c r="CX51" s="12"/>
      <c r="CY51" s="12"/>
      <c r="CZ51" s="12"/>
      <c r="DA51" s="12"/>
      <c r="DB51" s="11"/>
      <c r="DC51" s="12"/>
      <c r="DD51" s="12"/>
      <c r="DE51" s="12"/>
      <c r="DF51" s="12"/>
      <c r="DG51" s="12"/>
      <c r="DH51" s="12"/>
      <c r="DI51" s="12"/>
      <c r="DJ51" s="12"/>
      <c r="DK51" s="12"/>
      <c r="DL51" s="40"/>
      <c r="DM51" s="40"/>
      <c r="DN51" s="41" t="str">
        <f t="shared" si="38"/>
        <v>DS_Pass-692</v>
      </c>
      <c r="DO51" s="40"/>
      <c r="DP51" s="40"/>
      <c r="DQ51" s="40"/>
      <c r="DR51" s="41"/>
      <c r="DS51" s="41"/>
      <c r="DT51" s="40"/>
      <c r="DU51" s="40"/>
      <c r="DV51" s="40"/>
      <c r="DW51" s="41"/>
      <c r="DX51" s="40"/>
      <c r="DY51" s="40"/>
      <c r="DZ51" s="40" t="s">
        <v>409</v>
      </c>
      <c r="EA51" s="138"/>
      <c r="EB51" s="40"/>
      <c r="EC51" s="40"/>
      <c r="ED51" s="17"/>
      <c r="EE51" s="2"/>
      <c r="EF51" s="139"/>
    </row>
    <row r="52" spans="1:136" s="140" customFormat="1">
      <c r="A52" s="219" t="s">
        <v>959</v>
      </c>
      <c r="B52" s="219" t="s">
        <v>892</v>
      </c>
      <c r="C52" s="219" t="s">
        <v>865</v>
      </c>
      <c r="D52" s="13">
        <f>'Run Parameters'!$B$1 + ROW()-1</f>
        <v>693</v>
      </c>
      <c r="E52" s="15" t="s">
        <v>47</v>
      </c>
      <c r="F52" s="13" t="s">
        <v>947</v>
      </c>
      <c r="G52" s="13" t="str">
        <f t="shared" si="56"/>
        <v>Access Dtls-693</v>
      </c>
      <c r="H52" s="15" t="s">
        <v>275</v>
      </c>
      <c r="I52" s="13" t="str">
        <f>("MR. Test_51_FLTY2_"&amp;D52&amp;"")</f>
        <v>MR. Test_51_FLTY2_693</v>
      </c>
      <c r="J52" s="13"/>
      <c r="K52" s="19" t="s">
        <v>425</v>
      </c>
      <c r="L52" s="13" t="str">
        <f t="shared" si="57"/>
        <v>Cust. Ref-693</v>
      </c>
      <c r="M52" s="15" t="s">
        <v>48</v>
      </c>
      <c r="N52" s="15" t="s">
        <v>425</v>
      </c>
      <c r="O52" s="13"/>
      <c r="P52" s="13" t="str">
        <f t="shared" si="58"/>
        <v>SN-693</v>
      </c>
      <c r="Q52" s="13" t="str">
        <f t="shared" si="59"/>
        <v>SI-693</v>
      </c>
      <c r="R52" s="13" t="str">
        <f t="shared" si="60"/>
        <v>SE-693</v>
      </c>
      <c r="S52" s="135" t="str">
        <f t="shared" si="61"/>
        <v>Prev_RA-693</v>
      </c>
      <c r="T52" s="135" t="str">
        <f t="shared" si="62"/>
        <v>Prev_Comms-693</v>
      </c>
      <c r="U52" s="17" t="s">
        <v>75</v>
      </c>
      <c r="V52" s="15" t="s">
        <v>401</v>
      </c>
      <c r="W52" s="17" t="s">
        <v>75</v>
      </c>
      <c r="X52" s="15" t="s">
        <v>396</v>
      </c>
      <c r="Y52" s="13" t="str">
        <f t="shared" si="63"/>
        <v>Forward Add-693</v>
      </c>
      <c r="Z52" s="15" t="s">
        <v>401</v>
      </c>
      <c r="AA52" s="136" t="str">
        <f>'Run Parameters'!$B$2</f>
        <v>2018-08-13 08:00</v>
      </c>
      <c r="AB52" s="223" t="str">
        <f>'Run Parameters'!B$3</f>
        <v>2018-08-13 18:00</v>
      </c>
      <c r="AC52" s="26">
        <f>('Run Parameters'!$B$2) - 7</f>
        <v>43318.333333333336</v>
      </c>
      <c r="AD52" s="17" t="s">
        <v>75</v>
      </c>
      <c r="AE52" s="13" t="str">
        <f t="shared" si="64"/>
        <v>LAST_METER-693</v>
      </c>
      <c r="AF52" s="136" t="str">
        <f>'Run Parameters'!$B$2</f>
        <v>2018-08-13 08:00</v>
      </c>
      <c r="AG52" s="13" t="str">
        <f>'Run Parameters'!B$4</f>
        <v>AUTOTEST2</v>
      </c>
      <c r="AH52" s="135" t="str">
        <f t="shared" si="65"/>
        <v>Site_Contact_693</v>
      </c>
      <c r="AI52" s="136" t="str">
        <f>'Run Parameters'!B$2</f>
        <v>2018-08-13 08:00</v>
      </c>
      <c r="AJ52" s="223" t="str">
        <f>'Run Parameters'!B$3</f>
        <v>2018-08-13 18:00</v>
      </c>
      <c r="AK52" s="13" t="s">
        <v>396</v>
      </c>
      <c r="AL52" s="135" t="str">
        <f t="shared" si="66"/>
        <v>01159693</v>
      </c>
      <c r="AM52" s="13" t="str">
        <f t="shared" si="67"/>
        <v>0115693</v>
      </c>
      <c r="AN52" s="15"/>
      <c r="AO52" s="15"/>
      <c r="AP52" s="13">
        <v>1</v>
      </c>
      <c r="AQ52" s="15" t="s">
        <v>49</v>
      </c>
      <c r="AR52" s="15"/>
      <c r="AS52" s="13"/>
      <c r="AT52" s="12"/>
      <c r="AU52" s="12"/>
      <c r="AV52" s="13">
        <f t="shared" si="68"/>
        <v>693</v>
      </c>
      <c r="AW52" s="13" t="s">
        <v>945</v>
      </c>
      <c r="AX52" s="13" t="s">
        <v>420</v>
      </c>
      <c r="AY52" s="13" t="s">
        <v>421</v>
      </c>
      <c r="AZ52" s="15" t="s">
        <v>334</v>
      </c>
      <c r="BA52" s="15" t="s">
        <v>154</v>
      </c>
      <c r="BB52" s="21">
        <v>1</v>
      </c>
      <c r="BC52" s="21">
        <f t="shared" si="69"/>
        <v>693</v>
      </c>
      <c r="BD52" s="17" t="s">
        <v>948</v>
      </c>
      <c r="BE52" s="17" t="s">
        <v>391</v>
      </c>
      <c r="BF52" s="17" t="s">
        <v>391</v>
      </c>
      <c r="BG52" s="21" t="s">
        <v>947</v>
      </c>
      <c r="BH52" s="21" t="str">
        <f t="shared" si="70"/>
        <v>693_1</v>
      </c>
      <c r="BI52" s="21"/>
      <c r="BJ52" s="21" t="str">
        <f t="shared" si="71"/>
        <v>10000000693</v>
      </c>
      <c r="BK52" s="17" t="s">
        <v>51</v>
      </c>
      <c r="BL52" s="17" t="s">
        <v>54</v>
      </c>
      <c r="BM52" s="21" t="s">
        <v>741</v>
      </c>
      <c r="BN52" s="17" t="s">
        <v>51</v>
      </c>
      <c r="BO52" s="21" t="str">
        <f t="shared" si="72"/>
        <v>S05S693</v>
      </c>
      <c r="BP52" s="17" t="s">
        <v>409</v>
      </c>
      <c r="BQ52" s="17" t="s">
        <v>409</v>
      </c>
      <c r="BR52" s="21" t="s">
        <v>161</v>
      </c>
      <c r="BS52" s="17" t="s">
        <v>202</v>
      </c>
      <c r="BT52" s="17" t="s">
        <v>160</v>
      </c>
      <c r="BU52" s="17" t="s">
        <v>393</v>
      </c>
      <c r="BV52" s="17" t="s">
        <v>51</v>
      </c>
      <c r="BW52" s="17" t="s">
        <v>154</v>
      </c>
      <c r="BX52" s="17"/>
      <c r="BY52" s="17"/>
      <c r="BZ52" s="17" t="s">
        <v>157</v>
      </c>
      <c r="CA52" s="17" t="s">
        <v>269</v>
      </c>
      <c r="CB52" s="17" t="s">
        <v>47</v>
      </c>
      <c r="CC52" s="17" t="s">
        <v>742</v>
      </c>
      <c r="CD52" s="17" t="s">
        <v>392</v>
      </c>
      <c r="CE52" s="17" t="s">
        <v>396</v>
      </c>
      <c r="CF52" s="17" t="s">
        <v>398</v>
      </c>
      <c r="CG52" s="17" t="s">
        <v>946</v>
      </c>
      <c r="CH52" s="17" t="s">
        <v>159</v>
      </c>
      <c r="CI52" s="11"/>
      <c r="CJ52" s="11"/>
      <c r="CK52" s="12"/>
      <c r="CL52" s="12"/>
      <c r="CM52" s="12"/>
      <c r="CN52" s="11"/>
      <c r="CO52" s="11"/>
      <c r="CP52" s="12"/>
      <c r="CQ52" s="11"/>
      <c r="CR52" s="11"/>
      <c r="CS52" s="12"/>
      <c r="CT52" s="28"/>
      <c r="CU52" s="11"/>
      <c r="CV52" s="12"/>
      <c r="CW52" s="12"/>
      <c r="CX52" s="12"/>
      <c r="CY52" s="12"/>
      <c r="CZ52" s="12"/>
      <c r="DA52" s="12"/>
      <c r="DB52" s="11"/>
      <c r="DC52" s="12"/>
      <c r="DD52" s="12"/>
      <c r="DE52" s="12"/>
      <c r="DF52" s="12"/>
      <c r="DG52" s="12"/>
      <c r="DH52" s="12"/>
      <c r="DI52" s="12"/>
      <c r="DJ52" s="12"/>
      <c r="DK52" s="12"/>
      <c r="DL52" s="40"/>
      <c r="DM52" s="40"/>
      <c r="DN52" s="41" t="str">
        <f t="shared" si="38"/>
        <v>DS_Pass-693</v>
      </c>
      <c r="DO52" s="40"/>
      <c r="DP52" s="40"/>
      <c r="DQ52" s="40"/>
      <c r="DR52" s="41"/>
      <c r="DS52" s="41"/>
      <c r="DT52" s="40"/>
      <c r="DU52" s="40"/>
      <c r="DV52" s="40"/>
      <c r="DW52" s="41"/>
      <c r="DX52" s="40"/>
      <c r="DY52" s="40"/>
      <c r="DZ52" s="40" t="s">
        <v>409</v>
      </c>
      <c r="EA52" s="138"/>
      <c r="EB52" s="40"/>
      <c r="EC52" s="40"/>
      <c r="ED52" s="17"/>
      <c r="EE52" s="2"/>
      <c r="EF52" s="139"/>
    </row>
    <row r="53" spans="1:136" s="140" customFormat="1">
      <c r="A53" s="219" t="s">
        <v>960</v>
      </c>
      <c r="B53" s="219" t="s">
        <v>868</v>
      </c>
      <c r="C53" s="219" t="s">
        <v>865</v>
      </c>
      <c r="D53" s="13">
        <f>'Run Parameters'!$B$1 + ROW()-1</f>
        <v>694</v>
      </c>
      <c r="E53" s="15" t="s">
        <v>47</v>
      </c>
      <c r="F53" s="13" t="s">
        <v>947</v>
      </c>
      <c r="G53" s="13" t="str">
        <f t="shared" si="56"/>
        <v>Access Dtls-694</v>
      </c>
      <c r="H53" s="15" t="s">
        <v>275</v>
      </c>
      <c r="I53" s="13" t="str">
        <f>("MR. Test_52_FLTY2_"&amp;D53&amp;"")</f>
        <v>MR. Test_52_FLTY2_694</v>
      </c>
      <c r="J53" s="13"/>
      <c r="K53" s="19" t="s">
        <v>425</v>
      </c>
      <c r="L53" s="13" t="str">
        <f t="shared" si="57"/>
        <v>Cust. Ref-694</v>
      </c>
      <c r="M53" s="15" t="s">
        <v>48</v>
      </c>
      <c r="N53" s="15" t="s">
        <v>425</v>
      </c>
      <c r="O53" s="13"/>
      <c r="P53" s="13" t="str">
        <f t="shared" si="58"/>
        <v>SN-694</v>
      </c>
      <c r="Q53" s="13" t="str">
        <f t="shared" si="59"/>
        <v>SI-694</v>
      </c>
      <c r="R53" s="13" t="str">
        <f t="shared" si="60"/>
        <v>SE-694</v>
      </c>
      <c r="S53" s="135" t="str">
        <f t="shared" si="61"/>
        <v>Prev_RA-694</v>
      </c>
      <c r="T53" s="135" t="str">
        <f t="shared" si="62"/>
        <v>Prev_Comms-694</v>
      </c>
      <c r="U53" s="17" t="s">
        <v>75</v>
      </c>
      <c r="V53" s="15" t="s">
        <v>401</v>
      </c>
      <c r="W53" s="17" t="s">
        <v>75</v>
      </c>
      <c r="X53" s="15" t="s">
        <v>396</v>
      </c>
      <c r="Y53" s="13" t="str">
        <f t="shared" si="63"/>
        <v>Forward Add-694</v>
      </c>
      <c r="Z53" s="15" t="s">
        <v>401</v>
      </c>
      <c r="AA53" s="136" t="str">
        <f>'Run Parameters'!$B$2</f>
        <v>2018-08-13 08:00</v>
      </c>
      <c r="AB53" s="223" t="str">
        <f>'Run Parameters'!B$3</f>
        <v>2018-08-13 18:00</v>
      </c>
      <c r="AC53" s="26">
        <f>('Run Parameters'!$B$2) - 7</f>
        <v>43318.333333333336</v>
      </c>
      <c r="AD53" s="17" t="s">
        <v>75</v>
      </c>
      <c r="AE53" s="13" t="str">
        <f t="shared" si="64"/>
        <v>LAST_METER-694</v>
      </c>
      <c r="AF53" s="136" t="str">
        <f>'Run Parameters'!$B$2</f>
        <v>2018-08-13 08:00</v>
      </c>
      <c r="AG53" s="13" t="str">
        <f>'Run Parameters'!B$4</f>
        <v>AUTOTEST2</v>
      </c>
      <c r="AH53" s="135" t="str">
        <f t="shared" si="65"/>
        <v>Site_Contact_694</v>
      </c>
      <c r="AI53" s="136" t="str">
        <f>'Run Parameters'!B$2</f>
        <v>2018-08-13 08:00</v>
      </c>
      <c r="AJ53" s="223" t="str">
        <f>'Run Parameters'!B$3</f>
        <v>2018-08-13 18:00</v>
      </c>
      <c r="AK53" s="13" t="s">
        <v>396</v>
      </c>
      <c r="AL53" s="135" t="str">
        <f t="shared" si="66"/>
        <v>01159694</v>
      </c>
      <c r="AM53" s="13" t="str">
        <f t="shared" si="67"/>
        <v>0115694</v>
      </c>
      <c r="AN53" s="15"/>
      <c r="AO53" s="15"/>
      <c r="AP53" s="13">
        <v>1</v>
      </c>
      <c r="AQ53" s="15" t="s">
        <v>49</v>
      </c>
      <c r="AR53" s="15"/>
      <c r="AS53" s="13"/>
      <c r="AT53" s="12"/>
      <c r="AU53" s="12"/>
      <c r="AV53" s="13">
        <f t="shared" si="68"/>
        <v>694</v>
      </c>
      <c r="AW53" s="13" t="s">
        <v>945</v>
      </c>
      <c r="AX53" s="13" t="s">
        <v>420</v>
      </c>
      <c r="AY53" s="13" t="s">
        <v>421</v>
      </c>
      <c r="AZ53" s="15" t="s">
        <v>334</v>
      </c>
      <c r="BA53" s="15" t="s">
        <v>154</v>
      </c>
      <c r="BB53" s="21">
        <v>1</v>
      </c>
      <c r="BC53" s="21">
        <f t="shared" si="69"/>
        <v>694</v>
      </c>
      <c r="BD53" s="17" t="s">
        <v>948</v>
      </c>
      <c r="BE53" s="17" t="s">
        <v>391</v>
      </c>
      <c r="BF53" s="17" t="s">
        <v>391</v>
      </c>
      <c r="BG53" s="21" t="s">
        <v>947</v>
      </c>
      <c r="BH53" s="21" t="str">
        <f t="shared" si="70"/>
        <v>694_1</v>
      </c>
      <c r="BI53" s="21"/>
      <c r="BJ53" s="21" t="str">
        <f t="shared" si="71"/>
        <v>10000000694</v>
      </c>
      <c r="BK53" s="17" t="s">
        <v>51</v>
      </c>
      <c r="BL53" s="17" t="s">
        <v>54</v>
      </c>
      <c r="BM53" s="21" t="s">
        <v>741</v>
      </c>
      <c r="BN53" s="17" t="s">
        <v>51</v>
      </c>
      <c r="BO53" s="21" t="str">
        <f t="shared" si="72"/>
        <v>S05S694</v>
      </c>
      <c r="BP53" s="17" t="s">
        <v>409</v>
      </c>
      <c r="BQ53" s="17" t="s">
        <v>409</v>
      </c>
      <c r="BR53" s="21" t="s">
        <v>161</v>
      </c>
      <c r="BS53" s="17" t="s">
        <v>202</v>
      </c>
      <c r="BT53" s="17" t="s">
        <v>160</v>
      </c>
      <c r="BU53" s="17" t="s">
        <v>393</v>
      </c>
      <c r="BV53" s="17" t="s">
        <v>51</v>
      </c>
      <c r="BW53" s="17" t="s">
        <v>154</v>
      </c>
      <c r="BX53" s="17"/>
      <c r="BY53" s="17"/>
      <c r="BZ53" s="17" t="s">
        <v>157</v>
      </c>
      <c r="CA53" s="17" t="s">
        <v>269</v>
      </c>
      <c r="CB53" s="17" t="s">
        <v>47</v>
      </c>
      <c r="CC53" s="17" t="s">
        <v>742</v>
      </c>
      <c r="CD53" s="17" t="s">
        <v>392</v>
      </c>
      <c r="CE53" s="17" t="s">
        <v>396</v>
      </c>
      <c r="CF53" s="17" t="s">
        <v>398</v>
      </c>
      <c r="CG53" s="17" t="s">
        <v>946</v>
      </c>
      <c r="CH53" s="17" t="s">
        <v>159</v>
      </c>
      <c r="CI53" s="11"/>
      <c r="CJ53" s="11"/>
      <c r="CK53" s="12"/>
      <c r="CL53" s="12"/>
      <c r="CM53" s="12"/>
      <c r="CN53" s="11"/>
      <c r="CO53" s="11"/>
      <c r="CP53" s="12"/>
      <c r="CQ53" s="11"/>
      <c r="CR53" s="11"/>
      <c r="CS53" s="12"/>
      <c r="CT53" s="28"/>
      <c r="CU53" s="11"/>
      <c r="CV53" s="12"/>
      <c r="CW53" s="12"/>
      <c r="CX53" s="12"/>
      <c r="CY53" s="12"/>
      <c r="CZ53" s="12"/>
      <c r="DA53" s="12"/>
      <c r="DB53" s="11"/>
      <c r="DC53" s="12"/>
      <c r="DD53" s="12"/>
      <c r="DE53" s="12"/>
      <c r="DF53" s="12"/>
      <c r="DG53" s="12"/>
      <c r="DH53" s="12"/>
      <c r="DI53" s="12"/>
      <c r="DJ53" s="12"/>
      <c r="DK53" s="12"/>
      <c r="DL53" s="40"/>
      <c r="DM53" s="40"/>
      <c r="DN53" s="41" t="str">
        <f t="shared" si="38"/>
        <v>DS_Pass-694</v>
      </c>
      <c r="DO53" s="40"/>
      <c r="DP53" s="40"/>
      <c r="DQ53" s="40"/>
      <c r="DR53" s="41"/>
      <c r="DS53" s="41"/>
      <c r="DT53" s="40"/>
      <c r="DU53" s="40"/>
      <c r="DV53" s="40"/>
      <c r="DW53" s="41"/>
      <c r="DX53" s="40"/>
      <c r="DY53" s="40"/>
      <c r="DZ53" s="40" t="s">
        <v>409</v>
      </c>
      <c r="EA53" s="138"/>
      <c r="EB53" s="40"/>
      <c r="EC53" s="40"/>
      <c r="ED53" s="17"/>
      <c r="EE53" s="2"/>
      <c r="EF53" s="139"/>
    </row>
    <row r="54" spans="1:136" s="140" customFormat="1">
      <c r="A54" s="219" t="s">
        <v>961</v>
      </c>
      <c r="B54" s="219" t="s">
        <v>892</v>
      </c>
      <c r="C54" s="219" t="s">
        <v>865</v>
      </c>
      <c r="D54" s="13">
        <f>'Run Parameters'!$B$1 + ROW()-1</f>
        <v>695</v>
      </c>
      <c r="E54" s="15" t="s">
        <v>47</v>
      </c>
      <c r="F54" s="13" t="s">
        <v>947</v>
      </c>
      <c r="G54" s="13" t="str">
        <f>("Access Dtls-" &amp; D54)</f>
        <v>Access Dtls-695</v>
      </c>
      <c r="H54" s="15" t="s">
        <v>275</v>
      </c>
      <c r="I54" s="13" t="str">
        <f>("MR. Test_53_FLTY2_"&amp;D54&amp;"")</f>
        <v>MR. Test_53_FLTY2_695</v>
      </c>
      <c r="J54" s="13"/>
      <c r="K54" s="19" t="s">
        <v>425</v>
      </c>
      <c r="L54" s="13" t="str">
        <f>("Cust. Ref-" &amp; D54)</f>
        <v>Cust. Ref-695</v>
      </c>
      <c r="M54" s="15" t="s">
        <v>48</v>
      </c>
      <c r="N54" s="15" t="s">
        <v>425</v>
      </c>
      <c r="O54" s="13"/>
      <c r="P54" s="13" t="str">
        <f>("SN-" &amp; D54)</f>
        <v>SN-695</v>
      </c>
      <c r="Q54" s="13" t="str">
        <f>("SI-" &amp; D54)</f>
        <v>SI-695</v>
      </c>
      <c r="R54" s="13" t="str">
        <f>("SE-" &amp; D54)</f>
        <v>SE-695</v>
      </c>
      <c r="S54" s="135" t="str">
        <f>("Prev_RA-" &amp; D54)</f>
        <v>Prev_RA-695</v>
      </c>
      <c r="T54" s="135" t="str">
        <f>("Prev_Comms-" &amp; D54)</f>
        <v>Prev_Comms-695</v>
      </c>
      <c r="U54" s="17" t="s">
        <v>75</v>
      </c>
      <c r="V54" s="15" t="s">
        <v>401</v>
      </c>
      <c r="W54" s="17" t="s">
        <v>75</v>
      </c>
      <c r="X54" s="15" t="s">
        <v>396</v>
      </c>
      <c r="Y54" s="13" t="str">
        <f>("Forward Add-" &amp; D54)</f>
        <v>Forward Add-695</v>
      </c>
      <c r="Z54" s="15" t="s">
        <v>401</v>
      </c>
      <c r="AA54" s="136" t="str">
        <f>'Run Parameters'!$B$2</f>
        <v>2018-08-13 08:00</v>
      </c>
      <c r="AB54" s="223" t="str">
        <f>'Run Parameters'!B$3</f>
        <v>2018-08-13 18:00</v>
      </c>
      <c r="AC54" s="26">
        <f>('Run Parameters'!$B$2) - 7</f>
        <v>43318.333333333336</v>
      </c>
      <c r="AD54" s="17" t="s">
        <v>75</v>
      </c>
      <c r="AE54" s="13" t="str">
        <f>("LAST_METER-" &amp; D54)</f>
        <v>LAST_METER-695</v>
      </c>
      <c r="AF54" s="136" t="str">
        <f>'Run Parameters'!$B$2</f>
        <v>2018-08-13 08:00</v>
      </c>
      <c r="AG54" s="13" t="str">
        <f>'Run Parameters'!B$4</f>
        <v>AUTOTEST2</v>
      </c>
      <c r="AH54" s="135" t="str">
        <f>("Site_Contact_" &amp; D54)</f>
        <v>Site_Contact_695</v>
      </c>
      <c r="AI54" s="136" t="str">
        <f>'Run Parameters'!B$2</f>
        <v>2018-08-13 08:00</v>
      </c>
      <c r="AJ54" s="223" t="str">
        <f>'Run Parameters'!B$3</f>
        <v>2018-08-13 18:00</v>
      </c>
      <c r="AK54" s="13" t="s">
        <v>396</v>
      </c>
      <c r="AL54" s="135" t="str">
        <f>"01159" &amp; D54</f>
        <v>01159695</v>
      </c>
      <c r="AM54" s="13" t="str">
        <f>("0115" &amp; D54)</f>
        <v>0115695</v>
      </c>
      <c r="AN54" s="15"/>
      <c r="AO54" s="15"/>
      <c r="AP54" s="13">
        <v>1</v>
      </c>
      <c r="AQ54" s="15" t="s">
        <v>49</v>
      </c>
      <c r="AR54" s="15"/>
      <c r="AS54" s="13"/>
      <c r="AT54" s="12"/>
      <c r="AU54" s="12"/>
      <c r="AV54" s="13">
        <f>D54</f>
        <v>695</v>
      </c>
      <c r="AW54" s="13" t="s">
        <v>945</v>
      </c>
      <c r="AX54" s="13" t="s">
        <v>420</v>
      </c>
      <c r="AY54" s="13" t="s">
        <v>421</v>
      </c>
      <c r="AZ54" s="15" t="s">
        <v>334</v>
      </c>
      <c r="BA54" s="15" t="s">
        <v>154</v>
      </c>
      <c r="BB54" s="21">
        <v>1</v>
      </c>
      <c r="BC54" s="21">
        <f>D54</f>
        <v>695</v>
      </c>
      <c r="BD54" s="17" t="s">
        <v>948</v>
      </c>
      <c r="BE54" s="17" t="s">
        <v>391</v>
      </c>
      <c r="BF54" s="17" t="s">
        <v>391</v>
      </c>
      <c r="BG54" s="21" t="s">
        <v>947</v>
      </c>
      <c r="BH54" s="21" t="str">
        <f>BC54&amp;"_"&amp;BB54</f>
        <v>695_1</v>
      </c>
      <c r="BI54" s="21"/>
      <c r="BJ54" s="21" t="str">
        <f>"10000000" &amp; D54</f>
        <v>10000000695</v>
      </c>
      <c r="BK54" s="17" t="s">
        <v>51</v>
      </c>
      <c r="BL54" s="17" t="s">
        <v>54</v>
      </c>
      <c r="BM54" s="21" t="s">
        <v>741</v>
      </c>
      <c r="BN54" s="17" t="s">
        <v>51</v>
      </c>
      <c r="BO54" s="21" t="str">
        <f>"S05S" &amp; D54</f>
        <v>S05S695</v>
      </c>
      <c r="BP54" s="17" t="s">
        <v>409</v>
      </c>
      <c r="BQ54" s="17" t="s">
        <v>409</v>
      </c>
      <c r="BR54" s="21" t="s">
        <v>161</v>
      </c>
      <c r="BS54" s="17" t="s">
        <v>202</v>
      </c>
      <c r="BT54" s="17" t="s">
        <v>160</v>
      </c>
      <c r="BU54" s="17" t="s">
        <v>393</v>
      </c>
      <c r="BV54" s="17" t="s">
        <v>51</v>
      </c>
      <c r="BW54" s="17" t="s">
        <v>154</v>
      </c>
      <c r="BX54" s="17"/>
      <c r="BY54" s="17"/>
      <c r="BZ54" s="17" t="s">
        <v>157</v>
      </c>
      <c r="CA54" s="17" t="s">
        <v>269</v>
      </c>
      <c r="CB54" s="17" t="s">
        <v>47</v>
      </c>
      <c r="CC54" s="17" t="s">
        <v>742</v>
      </c>
      <c r="CD54" s="17" t="s">
        <v>392</v>
      </c>
      <c r="CE54" s="17" t="s">
        <v>396</v>
      </c>
      <c r="CF54" s="17" t="s">
        <v>398</v>
      </c>
      <c r="CG54" s="17" t="s">
        <v>946</v>
      </c>
      <c r="CH54" s="17" t="s">
        <v>159</v>
      </c>
      <c r="CI54" s="11"/>
      <c r="CJ54" s="11"/>
      <c r="CK54" s="12"/>
      <c r="CL54" s="12"/>
      <c r="CM54" s="12"/>
      <c r="CN54" s="11"/>
      <c r="CO54" s="11"/>
      <c r="CP54" s="12"/>
      <c r="CQ54" s="11"/>
      <c r="CR54" s="11"/>
      <c r="CS54" s="12"/>
      <c r="CT54" s="28"/>
      <c r="CU54" s="11"/>
      <c r="CV54" s="12"/>
      <c r="CW54" s="12"/>
      <c r="CX54" s="12"/>
      <c r="CY54" s="12"/>
      <c r="CZ54" s="12"/>
      <c r="DA54" s="12"/>
      <c r="DB54" s="11"/>
      <c r="DC54" s="12"/>
      <c r="DD54" s="12"/>
      <c r="DE54" s="12"/>
      <c r="DF54" s="12"/>
      <c r="DG54" s="12"/>
      <c r="DH54" s="12"/>
      <c r="DI54" s="12"/>
      <c r="DJ54" s="12"/>
      <c r="DK54" s="12"/>
      <c r="DL54" s="40"/>
      <c r="DM54" s="40"/>
      <c r="DN54" s="41" t="str">
        <f t="shared" si="38"/>
        <v>DS_Pass-695</v>
      </c>
      <c r="DO54" s="40"/>
      <c r="DP54" s="40"/>
      <c r="DQ54" s="40"/>
      <c r="DR54" s="41"/>
      <c r="DS54" s="41"/>
      <c r="DT54" s="40"/>
      <c r="DU54" s="40"/>
      <c r="DV54" s="40"/>
      <c r="DW54" s="41"/>
      <c r="DX54" s="40"/>
      <c r="DY54" s="40"/>
      <c r="DZ54" s="40" t="s">
        <v>409</v>
      </c>
      <c r="EA54" s="138"/>
      <c r="EB54" s="40"/>
      <c r="EC54" s="40"/>
      <c r="ED54" s="17"/>
      <c r="EE54" s="2"/>
      <c r="EF54" s="139"/>
    </row>
    <row r="55" spans="1:136" s="140" customFormat="1">
      <c r="A55" s="219" t="s">
        <v>1088</v>
      </c>
      <c r="B55" s="219" t="s">
        <v>892</v>
      </c>
      <c r="C55" s="219" t="s">
        <v>865</v>
      </c>
      <c r="D55" s="13">
        <f>'Run Parameters'!$B$1 + ROW()-1</f>
        <v>696</v>
      </c>
      <c r="E55" s="15" t="s">
        <v>47</v>
      </c>
      <c r="F55" s="13" t="s">
        <v>947</v>
      </c>
      <c r="G55" s="13" t="str">
        <f>("Access Dtls-" &amp; D55)</f>
        <v>Access Dtls-696</v>
      </c>
      <c r="H55" s="15" t="s">
        <v>275</v>
      </c>
      <c r="I55" s="13" t="str">
        <f>("MR. Test_54_FLTY2_"&amp;D55&amp;"")</f>
        <v>MR. Test_54_FLTY2_696</v>
      </c>
      <c r="J55" s="13"/>
      <c r="K55" s="19" t="s">
        <v>425</v>
      </c>
      <c r="L55" s="13" t="str">
        <f>("Cust. Ref-" &amp; D55)</f>
        <v>Cust. Ref-696</v>
      </c>
      <c r="M55" s="15" t="s">
        <v>48</v>
      </c>
      <c r="N55" s="15" t="s">
        <v>425</v>
      </c>
      <c r="O55" s="13"/>
      <c r="P55" s="13" t="str">
        <f>("SN-" &amp; D55)</f>
        <v>SN-696</v>
      </c>
      <c r="Q55" s="13" t="str">
        <f>("SI-" &amp; D55)</f>
        <v>SI-696</v>
      </c>
      <c r="R55" s="13" t="str">
        <f>("SE-" &amp; D55)</f>
        <v>SE-696</v>
      </c>
      <c r="S55" s="135" t="str">
        <f>("Prev_RA-" &amp; D55)</f>
        <v>Prev_RA-696</v>
      </c>
      <c r="T55" s="135" t="str">
        <f>("Prev_Comms-" &amp; D55)</f>
        <v>Prev_Comms-696</v>
      </c>
      <c r="U55" s="17" t="s">
        <v>75</v>
      </c>
      <c r="V55" s="15" t="s">
        <v>401</v>
      </c>
      <c r="W55" s="17" t="s">
        <v>75</v>
      </c>
      <c r="X55" s="15" t="s">
        <v>1081</v>
      </c>
      <c r="Y55" s="13" t="str">
        <f>("Forward Add-" &amp; D55)</f>
        <v>Forward Add-696</v>
      </c>
      <c r="Z55" s="15" t="s">
        <v>401</v>
      </c>
      <c r="AA55" s="136" t="str">
        <f>'Run Parameters'!$B$2</f>
        <v>2018-08-13 08:00</v>
      </c>
      <c r="AB55" s="223" t="str">
        <f>'Run Parameters'!B$3</f>
        <v>2018-08-13 18:00</v>
      </c>
      <c r="AC55" s="26">
        <f>('Run Parameters'!$B$2) - 7</f>
        <v>43318.333333333336</v>
      </c>
      <c r="AD55" s="17" t="s">
        <v>75</v>
      </c>
      <c r="AE55" s="13" t="str">
        <f>("LAST_METER-" &amp; D55)</f>
        <v>LAST_METER-696</v>
      </c>
      <c r="AF55" s="136" t="str">
        <f>'Run Parameters'!$B$2</f>
        <v>2018-08-13 08:00</v>
      </c>
      <c r="AG55" s="13" t="str">
        <f>'Run Parameters'!B$4</f>
        <v>AUTOTEST2</v>
      </c>
      <c r="AH55" s="135" t="str">
        <f>("Site_Contact_" &amp; D55)</f>
        <v>Site_Contact_696</v>
      </c>
      <c r="AI55" s="136" t="str">
        <f>'Run Parameters'!B$2</f>
        <v>2018-08-13 08:00</v>
      </c>
      <c r="AJ55" s="223" t="str">
        <f>'Run Parameters'!B$3</f>
        <v>2018-08-13 18:00</v>
      </c>
      <c r="AK55" s="13" t="s">
        <v>1081</v>
      </c>
      <c r="AL55" s="135" t="str">
        <f>"01159" &amp; D55</f>
        <v>01159696</v>
      </c>
      <c r="AM55" s="13" t="str">
        <f>("0115" &amp; D55)</f>
        <v>0115696</v>
      </c>
      <c r="AN55" s="15"/>
      <c r="AO55" s="15"/>
      <c r="AP55" s="13">
        <v>1</v>
      </c>
      <c r="AQ55" s="15" t="s">
        <v>49</v>
      </c>
      <c r="AR55" s="15"/>
      <c r="AS55" s="13"/>
      <c r="AT55" s="12"/>
      <c r="AU55" s="12"/>
      <c r="AV55" s="13">
        <f>D55</f>
        <v>696</v>
      </c>
      <c r="AW55" s="13" t="s">
        <v>945</v>
      </c>
      <c r="AX55" s="13" t="s">
        <v>420</v>
      </c>
      <c r="AY55" s="13" t="s">
        <v>421</v>
      </c>
      <c r="AZ55" s="15" t="s">
        <v>334</v>
      </c>
      <c r="BA55" s="15" t="s">
        <v>154</v>
      </c>
      <c r="BB55" s="21">
        <v>1</v>
      </c>
      <c r="BC55" s="21">
        <f>D55</f>
        <v>696</v>
      </c>
      <c r="BD55" s="17" t="s">
        <v>1095</v>
      </c>
      <c r="BE55" s="17" t="s">
        <v>391</v>
      </c>
      <c r="BF55" s="17" t="s">
        <v>391</v>
      </c>
      <c r="BG55" s="21" t="s">
        <v>947</v>
      </c>
      <c r="BH55" s="21" t="str">
        <f>BC55&amp;"_"&amp;BB55</f>
        <v>696_1</v>
      </c>
      <c r="BI55" s="21"/>
      <c r="BJ55" s="21" t="str">
        <f>"10000000" &amp; D55</f>
        <v>10000000696</v>
      </c>
      <c r="BK55" s="17" t="s">
        <v>51</v>
      </c>
      <c r="BL55" s="17" t="s">
        <v>54</v>
      </c>
      <c r="BM55" s="21" t="s">
        <v>741</v>
      </c>
      <c r="BN55" s="17" t="s">
        <v>51</v>
      </c>
      <c r="BO55" s="21" t="str">
        <f>"S05S" &amp; D55</f>
        <v>S05S696</v>
      </c>
      <c r="BP55" s="17" t="s">
        <v>409</v>
      </c>
      <c r="BQ55" s="17" t="s">
        <v>409</v>
      </c>
      <c r="BR55" s="21" t="s">
        <v>161</v>
      </c>
      <c r="BS55" s="17" t="s">
        <v>202</v>
      </c>
      <c r="BT55" s="17" t="s">
        <v>160</v>
      </c>
      <c r="BU55" s="17" t="s">
        <v>393</v>
      </c>
      <c r="BV55" s="17" t="s">
        <v>51</v>
      </c>
      <c r="BW55" s="17" t="s">
        <v>154</v>
      </c>
      <c r="BX55" s="17"/>
      <c r="BY55" s="17"/>
      <c r="BZ55" s="17" t="s">
        <v>157</v>
      </c>
      <c r="CA55" s="17" t="s">
        <v>269</v>
      </c>
      <c r="CB55" s="17" t="s">
        <v>47</v>
      </c>
      <c r="CC55" s="17" t="s">
        <v>742</v>
      </c>
      <c r="CD55" s="17" t="s">
        <v>392</v>
      </c>
      <c r="CE55" s="17" t="s">
        <v>1081</v>
      </c>
      <c r="CF55" s="17" t="s">
        <v>398</v>
      </c>
      <c r="CG55" s="17" t="s">
        <v>946</v>
      </c>
      <c r="CH55" s="17" t="s">
        <v>159</v>
      </c>
      <c r="CI55" s="11"/>
      <c r="CJ55" s="11"/>
      <c r="CK55" s="12"/>
      <c r="CL55" s="12"/>
      <c r="CM55" s="12"/>
      <c r="CN55" s="11"/>
      <c r="CO55" s="11"/>
      <c r="CP55" s="12"/>
      <c r="CQ55" s="11"/>
      <c r="CR55" s="11"/>
      <c r="CS55" s="12"/>
      <c r="CT55" s="28"/>
      <c r="CU55" s="11"/>
      <c r="CV55" s="12"/>
      <c r="CW55" s="12"/>
      <c r="CX55" s="12"/>
      <c r="CY55" s="12"/>
      <c r="CZ55" s="12"/>
      <c r="DA55" s="12"/>
      <c r="DB55" s="11"/>
      <c r="DC55" s="12"/>
      <c r="DD55" s="12"/>
      <c r="DE55" s="12"/>
      <c r="DF55" s="12"/>
      <c r="DG55" s="12"/>
      <c r="DH55" s="12"/>
      <c r="DI55" s="12"/>
      <c r="DJ55" s="12"/>
      <c r="DK55" s="12"/>
      <c r="DL55" s="40"/>
      <c r="DM55" s="40"/>
      <c r="DN55" s="41" t="str">
        <f t="shared" si="38"/>
        <v>DS_Pass-696</v>
      </c>
      <c r="DO55" s="40"/>
      <c r="DP55" s="40"/>
      <c r="DQ55" s="40"/>
      <c r="DR55" s="41"/>
      <c r="DS55" s="41"/>
      <c r="DT55" s="40"/>
      <c r="DU55" s="40"/>
      <c r="DV55" s="40"/>
      <c r="DW55" s="41"/>
      <c r="DX55" s="40"/>
      <c r="DY55" s="40"/>
      <c r="DZ55" s="40" t="s">
        <v>409</v>
      </c>
      <c r="EA55" s="138"/>
      <c r="EB55" s="40"/>
      <c r="EC55" s="40"/>
      <c r="ED55" s="17"/>
      <c r="EE55" s="2"/>
      <c r="EF55" s="139"/>
    </row>
    <row r="56" spans="1:136">
      <c r="A56" s="219" t="s">
        <v>896</v>
      </c>
      <c r="B56" s="219" t="s">
        <v>892</v>
      </c>
      <c r="C56" s="219" t="s">
        <v>865</v>
      </c>
      <c r="D56" s="13">
        <f>'Run Parameters'!$B$1 + ROW()-1</f>
        <v>697</v>
      </c>
      <c r="E56" s="15" t="s">
        <v>47</v>
      </c>
      <c r="F56" s="18" t="s">
        <v>403</v>
      </c>
      <c r="G56" s="13" t="str">
        <f>("Access Dtls-" &amp; D56)</f>
        <v>Access Dtls-697</v>
      </c>
      <c r="H56" s="15" t="s">
        <v>275</v>
      </c>
      <c r="I56" s="13" t="str">
        <f>("MR. Test_55_EXCH2_"&amp;D56&amp;"")</f>
        <v>MR. Test_55_EXCH2_697</v>
      </c>
      <c r="J56" s="18"/>
      <c r="K56" s="19" t="s">
        <v>425</v>
      </c>
      <c r="L56" s="13" t="str">
        <f>("Cust. Ref-" &amp; D56)</f>
        <v>Cust. Ref-697</v>
      </c>
      <c r="M56" s="15" t="s">
        <v>48</v>
      </c>
      <c r="N56" s="15" t="s">
        <v>425</v>
      </c>
      <c r="O56" s="13"/>
      <c r="P56" s="13" t="str">
        <f>("SN-" &amp; D56)</f>
        <v>SN-697</v>
      </c>
      <c r="Q56" s="13" t="str">
        <f>("SI-" &amp; D56)</f>
        <v>SI-697</v>
      </c>
      <c r="R56" s="13" t="str">
        <f>("SE-" &amp; D56)</f>
        <v>SE-697</v>
      </c>
      <c r="S56" s="54" t="str">
        <f>("Prev_RA-" &amp; D56)</f>
        <v>Prev_RA-697</v>
      </c>
      <c r="T56" s="54" t="str">
        <f>("Prev_Comms-" &amp; D56)</f>
        <v>Prev_Comms-697</v>
      </c>
      <c r="U56" s="17" t="s">
        <v>75</v>
      </c>
      <c r="V56" s="15" t="s">
        <v>401</v>
      </c>
      <c r="W56" s="17" t="s">
        <v>75</v>
      </c>
      <c r="X56" s="15" t="s">
        <v>396</v>
      </c>
      <c r="Y56" s="13" t="str">
        <f>("Forward Add-" &amp; D56)</f>
        <v>Forward Add-697</v>
      </c>
      <c r="Z56" s="15" t="s">
        <v>401</v>
      </c>
      <c r="AA56" s="136" t="str">
        <f>'Run Parameters'!$B$2</f>
        <v>2018-08-13 08:00</v>
      </c>
      <c r="AB56" s="223" t="str">
        <f>'Run Parameters'!B$3</f>
        <v>2018-08-13 18:00</v>
      </c>
      <c r="AC56" s="26">
        <f>('Run Parameters'!$B$2) - 7</f>
        <v>43318.333333333336</v>
      </c>
      <c r="AD56" s="17" t="s">
        <v>75</v>
      </c>
      <c r="AE56" s="18" t="str">
        <f>("LAST_METER-" &amp; D56)</f>
        <v>LAST_METER-697</v>
      </c>
      <c r="AF56" s="136" t="str">
        <f>'Run Parameters'!$B$2</f>
        <v>2018-08-13 08:00</v>
      </c>
      <c r="AG56" s="13" t="str">
        <f>'Run Parameters'!B$4</f>
        <v>AUTOTEST2</v>
      </c>
      <c r="AH56" s="54" t="str">
        <f>("Site_Contact_" &amp; D56)</f>
        <v>Site_Contact_697</v>
      </c>
      <c r="AI56" s="136" t="str">
        <f>'Run Parameters'!B$2</f>
        <v>2018-08-13 08:00</v>
      </c>
      <c r="AJ56" s="223" t="str">
        <f>'Run Parameters'!B$3</f>
        <v>2018-08-13 18:00</v>
      </c>
      <c r="AK56" s="13" t="s">
        <v>396</v>
      </c>
      <c r="AL56" s="54" t="str">
        <f>"01159" &amp; D56</f>
        <v>01159697</v>
      </c>
      <c r="AM56" s="13" t="str">
        <f>("0115" &amp; D56)</f>
        <v>0115697</v>
      </c>
      <c r="AN56" s="15"/>
      <c r="AO56" s="52"/>
      <c r="AP56" s="13">
        <v>1</v>
      </c>
      <c r="AQ56" s="53" t="s">
        <v>49</v>
      </c>
      <c r="AR56" s="15"/>
      <c r="AS56" s="13"/>
      <c r="AT56" s="7"/>
      <c r="AU56" s="7"/>
      <c r="AV56" s="13">
        <f>D56</f>
        <v>697</v>
      </c>
      <c r="AW56" s="13" t="s">
        <v>423</v>
      </c>
      <c r="AX56" s="13" t="s">
        <v>420</v>
      </c>
      <c r="AY56" s="13" t="s">
        <v>421</v>
      </c>
      <c r="AZ56" s="15" t="s">
        <v>334</v>
      </c>
      <c r="BA56" s="14" t="s">
        <v>154</v>
      </c>
      <c r="BB56" s="21">
        <v>1</v>
      </c>
      <c r="BC56" s="20">
        <f>D56</f>
        <v>697</v>
      </c>
      <c r="BD56" s="16" t="s">
        <v>410</v>
      </c>
      <c r="BE56" s="16" t="s">
        <v>391</v>
      </c>
      <c r="BF56" s="16" t="s">
        <v>390</v>
      </c>
      <c r="BG56" s="20" t="s">
        <v>403</v>
      </c>
      <c r="BH56" s="20" t="str">
        <f>BC56&amp;"_"&amp;BB56</f>
        <v>697_1</v>
      </c>
      <c r="BI56" s="21"/>
      <c r="BJ56" s="21" t="str">
        <f>"10000000" &amp; D56</f>
        <v>10000000697</v>
      </c>
      <c r="BK56" s="16" t="s">
        <v>51</v>
      </c>
      <c r="BL56" s="16" t="s">
        <v>54</v>
      </c>
      <c r="BM56" s="20" t="s">
        <v>411</v>
      </c>
      <c r="BN56" s="16" t="s">
        <v>51</v>
      </c>
      <c r="BO56" s="20" t="str">
        <f>"S05S" &amp; D56</f>
        <v>S05S697</v>
      </c>
      <c r="BP56" s="16" t="s">
        <v>402</v>
      </c>
      <c r="BQ56" s="16" t="s">
        <v>402</v>
      </c>
      <c r="BR56" s="20" t="s">
        <v>161</v>
      </c>
      <c r="BS56" s="16" t="s">
        <v>50</v>
      </c>
      <c r="BT56" s="16" t="s">
        <v>135</v>
      </c>
      <c r="BU56" s="16" t="s">
        <v>393</v>
      </c>
      <c r="BV56" s="16" t="s">
        <v>51</v>
      </c>
      <c r="BW56" s="16" t="s">
        <v>154</v>
      </c>
      <c r="BX56" s="16"/>
      <c r="BY56" s="16"/>
      <c r="BZ56" s="16" t="s">
        <v>157</v>
      </c>
      <c r="CA56" s="16" t="s">
        <v>269</v>
      </c>
      <c r="CB56" s="16" t="s">
        <v>412</v>
      </c>
      <c r="CC56" s="16" t="s">
        <v>781</v>
      </c>
      <c r="CD56" s="16" t="s">
        <v>392</v>
      </c>
      <c r="CE56" s="16" t="s">
        <v>396</v>
      </c>
      <c r="CF56" s="16" t="s">
        <v>398</v>
      </c>
      <c r="CG56" s="16" t="s">
        <v>418</v>
      </c>
      <c r="CH56" s="16" t="s">
        <v>159</v>
      </c>
      <c r="CI56" s="11"/>
      <c r="CJ56" s="11"/>
      <c r="CK56" s="12"/>
      <c r="CL56" s="7"/>
      <c r="CM56" s="7"/>
      <c r="CN56" s="11"/>
      <c r="CO56" s="6"/>
      <c r="CP56" s="7"/>
      <c r="CQ56" s="6"/>
      <c r="CR56" s="11"/>
      <c r="CS56" s="7"/>
      <c r="CT56" s="27"/>
      <c r="CU56" s="11"/>
      <c r="CV56" s="7"/>
      <c r="CW56" s="7"/>
      <c r="CX56" s="7"/>
      <c r="CY56" s="7"/>
      <c r="CZ56" s="7"/>
      <c r="DA56" s="7"/>
      <c r="DB56" s="6"/>
      <c r="DC56" s="7"/>
      <c r="DD56" s="12"/>
      <c r="DE56" s="7"/>
      <c r="DF56" s="7"/>
      <c r="DG56" s="7"/>
      <c r="DH56" s="7"/>
      <c r="DI56" s="7"/>
      <c r="DJ56" s="10"/>
      <c r="DK56" s="12"/>
      <c r="DL56" s="40"/>
      <c r="DM56" s="40"/>
      <c r="DN56" s="38" t="str">
        <f t="shared" si="38"/>
        <v>DS_Pass-697</v>
      </c>
      <c r="DO56" s="40"/>
      <c r="DP56" s="40"/>
      <c r="DQ56" s="40"/>
      <c r="DR56" s="41"/>
      <c r="DS56" s="41"/>
      <c r="DT56" s="40"/>
      <c r="DU56" s="40"/>
      <c r="DV56" s="40"/>
      <c r="DW56" s="41"/>
      <c r="DX56" s="40"/>
      <c r="DY56" s="40"/>
      <c r="DZ56" s="37" t="s">
        <v>402</v>
      </c>
      <c r="EA56" s="39"/>
      <c r="EB56" s="37"/>
      <c r="EC56" s="37"/>
      <c r="ED56" s="16"/>
      <c r="EE56" s="1"/>
      <c r="EF56" s="55"/>
    </row>
    <row r="57" spans="1:136">
      <c r="A57" s="219" t="s">
        <v>897</v>
      </c>
      <c r="B57" s="219" t="s">
        <v>868</v>
      </c>
      <c r="C57" s="219" t="s">
        <v>865</v>
      </c>
      <c r="D57" s="13">
        <f>'Run Parameters'!$B$1 + ROW()-1</f>
        <v>698</v>
      </c>
      <c r="E57" s="15" t="s">
        <v>47</v>
      </c>
      <c r="F57" s="18" t="s">
        <v>403</v>
      </c>
      <c r="G57" s="13" t="str">
        <f t="shared" ref="G57:G71" si="73">("Access Dtls-" &amp; D57)</f>
        <v>Access Dtls-698</v>
      </c>
      <c r="H57" s="15" t="s">
        <v>275</v>
      </c>
      <c r="I57" s="13" t="str">
        <f>("MR. Test_56_EXCH2_"&amp;D57&amp;"")</f>
        <v>MR. Test_56_EXCH2_698</v>
      </c>
      <c r="J57" s="18"/>
      <c r="K57" s="19" t="s">
        <v>425</v>
      </c>
      <c r="L57" s="13" t="str">
        <f t="shared" ref="L57:L71" si="74">("Cust. Ref-" &amp; D57)</f>
        <v>Cust. Ref-698</v>
      </c>
      <c r="M57" s="15" t="s">
        <v>48</v>
      </c>
      <c r="N57" s="15" t="s">
        <v>425</v>
      </c>
      <c r="O57" s="13"/>
      <c r="P57" s="13" t="str">
        <f t="shared" ref="P57:P71" si="75">("SN-" &amp; D57)</f>
        <v>SN-698</v>
      </c>
      <c r="Q57" s="13" t="str">
        <f t="shared" ref="Q57:Q71" si="76">("SI-" &amp; D57)</f>
        <v>SI-698</v>
      </c>
      <c r="R57" s="13" t="str">
        <f t="shared" ref="R57:R71" si="77">("SE-" &amp; D57)</f>
        <v>SE-698</v>
      </c>
      <c r="S57" s="54" t="str">
        <f t="shared" ref="S57:S71" si="78">("Prev_RA-" &amp; D57)</f>
        <v>Prev_RA-698</v>
      </c>
      <c r="T57" s="54" t="str">
        <f t="shared" ref="T57:T71" si="79">("Prev_Comms-" &amp; D57)</f>
        <v>Prev_Comms-698</v>
      </c>
      <c r="U57" s="17" t="s">
        <v>75</v>
      </c>
      <c r="V57" s="15" t="s">
        <v>401</v>
      </c>
      <c r="W57" s="17" t="s">
        <v>75</v>
      </c>
      <c r="X57" s="15" t="s">
        <v>396</v>
      </c>
      <c r="Y57" s="13" t="str">
        <f t="shared" ref="Y57:Y71" si="80">("Forward Add-" &amp; D57)</f>
        <v>Forward Add-698</v>
      </c>
      <c r="Z57" s="15" t="s">
        <v>401</v>
      </c>
      <c r="AA57" s="136" t="str">
        <f>'Run Parameters'!$B$2</f>
        <v>2018-08-13 08:00</v>
      </c>
      <c r="AB57" s="223" t="str">
        <f>'Run Parameters'!B$3</f>
        <v>2018-08-13 18:00</v>
      </c>
      <c r="AC57" s="26">
        <f>('Run Parameters'!$B$2) - 7</f>
        <v>43318.333333333336</v>
      </c>
      <c r="AD57" s="17" t="s">
        <v>75</v>
      </c>
      <c r="AE57" s="18" t="str">
        <f t="shared" ref="AE57:AE71" si="81">("LAST_METER-" &amp; D57)</f>
        <v>LAST_METER-698</v>
      </c>
      <c r="AF57" s="136" t="str">
        <f>'Run Parameters'!$B$2</f>
        <v>2018-08-13 08:00</v>
      </c>
      <c r="AG57" s="13" t="str">
        <f>'Run Parameters'!B$4</f>
        <v>AUTOTEST2</v>
      </c>
      <c r="AH57" s="54" t="str">
        <f t="shared" ref="AH57:AH71" si="82">("Site_Contact_" &amp; D57)</f>
        <v>Site_Contact_698</v>
      </c>
      <c r="AI57" s="136" t="str">
        <f>'Run Parameters'!B$2</f>
        <v>2018-08-13 08:00</v>
      </c>
      <c r="AJ57" s="223" t="str">
        <f>'Run Parameters'!B$3</f>
        <v>2018-08-13 18:00</v>
      </c>
      <c r="AK57" s="13" t="s">
        <v>396</v>
      </c>
      <c r="AL57" s="54" t="str">
        <f t="shared" ref="AL57:AL71" si="83">"01159" &amp; D57</f>
        <v>01159698</v>
      </c>
      <c r="AM57" s="13" t="str">
        <f t="shared" ref="AM57:AM71" si="84">("0115" &amp; D57)</f>
        <v>0115698</v>
      </c>
      <c r="AN57" s="15"/>
      <c r="AO57" s="52"/>
      <c r="AP57" s="13">
        <v>1</v>
      </c>
      <c r="AQ57" s="53" t="s">
        <v>49</v>
      </c>
      <c r="AR57" s="15"/>
      <c r="AS57" s="13"/>
      <c r="AT57" s="7"/>
      <c r="AU57" s="7"/>
      <c r="AV57" s="13">
        <f t="shared" ref="AV57:AV71" si="85">D57</f>
        <v>698</v>
      </c>
      <c r="AW57" s="13" t="s">
        <v>423</v>
      </c>
      <c r="AX57" s="13" t="s">
        <v>420</v>
      </c>
      <c r="AY57" s="13" t="s">
        <v>421</v>
      </c>
      <c r="AZ57" s="15" t="s">
        <v>334</v>
      </c>
      <c r="BA57" s="14" t="s">
        <v>154</v>
      </c>
      <c r="BB57" s="21">
        <v>1</v>
      </c>
      <c r="BC57" s="20">
        <f t="shared" ref="BC57:BC71" si="86">D57</f>
        <v>698</v>
      </c>
      <c r="BD57" s="16" t="s">
        <v>410</v>
      </c>
      <c r="BE57" s="16" t="s">
        <v>391</v>
      </c>
      <c r="BF57" s="16" t="s">
        <v>390</v>
      </c>
      <c r="BG57" s="20" t="s">
        <v>403</v>
      </c>
      <c r="BH57" s="20" t="str">
        <f t="shared" ref="BH57:BH71" si="87">BC57&amp;"_"&amp;BB57</f>
        <v>698_1</v>
      </c>
      <c r="BI57" s="21"/>
      <c r="BJ57" s="21" t="str">
        <f t="shared" ref="BJ57:BJ71" si="88">"10000000" &amp; D57</f>
        <v>10000000698</v>
      </c>
      <c r="BK57" s="16" t="s">
        <v>51</v>
      </c>
      <c r="BL57" s="16" t="s">
        <v>54</v>
      </c>
      <c r="BM57" s="20" t="s">
        <v>411</v>
      </c>
      <c r="BN57" s="16" t="s">
        <v>51</v>
      </c>
      <c r="BO57" s="20" t="str">
        <f t="shared" ref="BO57:BO71" si="89">"S05S" &amp; D57</f>
        <v>S05S698</v>
      </c>
      <c r="BP57" s="16" t="s">
        <v>402</v>
      </c>
      <c r="BQ57" s="16" t="s">
        <v>402</v>
      </c>
      <c r="BR57" s="20" t="s">
        <v>161</v>
      </c>
      <c r="BS57" s="16" t="s">
        <v>50</v>
      </c>
      <c r="BT57" s="16" t="s">
        <v>135</v>
      </c>
      <c r="BU57" s="16" t="s">
        <v>393</v>
      </c>
      <c r="BV57" s="16" t="s">
        <v>51</v>
      </c>
      <c r="BW57" s="16" t="s">
        <v>154</v>
      </c>
      <c r="BX57" s="16"/>
      <c r="BY57" s="16"/>
      <c r="BZ57" s="16" t="s">
        <v>157</v>
      </c>
      <c r="CA57" s="16" t="s">
        <v>269</v>
      </c>
      <c r="CB57" s="16" t="s">
        <v>412</v>
      </c>
      <c r="CC57" s="16" t="s">
        <v>781</v>
      </c>
      <c r="CD57" s="16" t="s">
        <v>392</v>
      </c>
      <c r="CE57" s="16" t="s">
        <v>396</v>
      </c>
      <c r="CF57" s="16" t="s">
        <v>398</v>
      </c>
      <c r="CG57" s="16" t="s">
        <v>418</v>
      </c>
      <c r="CH57" s="16" t="s">
        <v>159</v>
      </c>
      <c r="CI57" s="11"/>
      <c r="CJ57" s="11"/>
      <c r="CK57" s="12"/>
      <c r="CL57" s="7"/>
      <c r="CM57" s="7"/>
      <c r="CN57" s="11"/>
      <c r="CO57" s="6"/>
      <c r="CP57" s="7"/>
      <c r="CQ57" s="6"/>
      <c r="CR57" s="11"/>
      <c r="CS57" s="7"/>
      <c r="CT57" s="27"/>
      <c r="CU57" s="11"/>
      <c r="CV57" s="7"/>
      <c r="CW57" s="7"/>
      <c r="CX57" s="7"/>
      <c r="CY57" s="7"/>
      <c r="CZ57" s="7"/>
      <c r="DA57" s="7"/>
      <c r="DB57" s="6"/>
      <c r="DC57" s="7"/>
      <c r="DD57" s="12"/>
      <c r="DE57" s="7"/>
      <c r="DF57" s="7"/>
      <c r="DG57" s="7"/>
      <c r="DH57" s="7"/>
      <c r="DI57" s="7"/>
      <c r="DJ57" s="10"/>
      <c r="DK57" s="12"/>
      <c r="DL57" s="40"/>
      <c r="DM57" s="40"/>
      <c r="DN57" s="38" t="str">
        <f t="shared" si="38"/>
        <v>DS_Pass-698</v>
      </c>
      <c r="DO57" s="40"/>
      <c r="DP57" s="40"/>
      <c r="DQ57" s="40"/>
      <c r="DR57" s="41"/>
      <c r="DS57" s="41"/>
      <c r="DT57" s="40"/>
      <c r="DU57" s="40"/>
      <c r="DV57" s="40"/>
      <c r="DW57" s="41"/>
      <c r="DX57" s="40"/>
      <c r="DY57" s="40"/>
      <c r="DZ57" s="37" t="s">
        <v>402</v>
      </c>
      <c r="EA57" s="39"/>
      <c r="EB57" s="37"/>
      <c r="EC57" s="37"/>
      <c r="ED57" s="16"/>
      <c r="EE57" s="1"/>
      <c r="EF57" s="55"/>
    </row>
    <row r="58" spans="1:136">
      <c r="A58" s="219" t="s">
        <v>898</v>
      </c>
      <c r="B58" s="219" t="s">
        <v>892</v>
      </c>
      <c r="C58" s="219" t="s">
        <v>865</v>
      </c>
      <c r="D58" s="13">
        <f>'Run Parameters'!$B$1 + ROW()-1</f>
        <v>699</v>
      </c>
      <c r="E58" s="15" t="s">
        <v>47</v>
      </c>
      <c r="F58" s="18" t="s">
        <v>403</v>
      </c>
      <c r="G58" s="13" t="str">
        <f t="shared" si="73"/>
        <v>Access Dtls-699</v>
      </c>
      <c r="H58" s="15" t="s">
        <v>275</v>
      </c>
      <c r="I58" s="13" t="str">
        <f>("MR. Test_57_EXCH2_"&amp;D58&amp;"")</f>
        <v>MR. Test_57_EXCH2_699</v>
      </c>
      <c r="J58" s="18"/>
      <c r="K58" s="19" t="s">
        <v>425</v>
      </c>
      <c r="L58" s="13" t="str">
        <f t="shared" si="74"/>
        <v>Cust. Ref-699</v>
      </c>
      <c r="M58" s="15" t="s">
        <v>48</v>
      </c>
      <c r="N58" s="15" t="s">
        <v>425</v>
      </c>
      <c r="O58" s="13"/>
      <c r="P58" s="13" t="str">
        <f t="shared" si="75"/>
        <v>SN-699</v>
      </c>
      <c r="Q58" s="13" t="str">
        <f t="shared" si="76"/>
        <v>SI-699</v>
      </c>
      <c r="R58" s="13" t="str">
        <f t="shared" si="77"/>
        <v>SE-699</v>
      </c>
      <c r="S58" s="54" t="str">
        <f t="shared" si="78"/>
        <v>Prev_RA-699</v>
      </c>
      <c r="T58" s="54" t="str">
        <f t="shared" si="79"/>
        <v>Prev_Comms-699</v>
      </c>
      <c r="U58" s="17" t="s">
        <v>75</v>
      </c>
      <c r="V58" s="15" t="s">
        <v>401</v>
      </c>
      <c r="W58" s="17" t="s">
        <v>75</v>
      </c>
      <c r="X58" s="15" t="s">
        <v>396</v>
      </c>
      <c r="Y58" s="13" t="str">
        <f t="shared" si="80"/>
        <v>Forward Add-699</v>
      </c>
      <c r="Z58" s="15" t="s">
        <v>401</v>
      </c>
      <c r="AA58" s="136" t="str">
        <f>'Run Parameters'!$B$2</f>
        <v>2018-08-13 08:00</v>
      </c>
      <c r="AB58" s="223" t="str">
        <f>'Run Parameters'!B$3</f>
        <v>2018-08-13 18:00</v>
      </c>
      <c r="AC58" s="26">
        <f>('Run Parameters'!$B$2) - 7</f>
        <v>43318.333333333336</v>
      </c>
      <c r="AD58" s="17" t="s">
        <v>75</v>
      </c>
      <c r="AE58" s="18" t="str">
        <f t="shared" si="81"/>
        <v>LAST_METER-699</v>
      </c>
      <c r="AF58" s="136" t="str">
        <f>'Run Parameters'!$B$2</f>
        <v>2018-08-13 08:00</v>
      </c>
      <c r="AG58" s="13" t="str">
        <f>'Run Parameters'!B$4</f>
        <v>AUTOTEST2</v>
      </c>
      <c r="AH58" s="54" t="str">
        <f t="shared" si="82"/>
        <v>Site_Contact_699</v>
      </c>
      <c r="AI58" s="136" t="str">
        <f>'Run Parameters'!B$2</f>
        <v>2018-08-13 08:00</v>
      </c>
      <c r="AJ58" s="223" t="str">
        <f>'Run Parameters'!B$3</f>
        <v>2018-08-13 18:00</v>
      </c>
      <c r="AK58" s="13" t="s">
        <v>396</v>
      </c>
      <c r="AL58" s="54" t="str">
        <f t="shared" si="83"/>
        <v>01159699</v>
      </c>
      <c r="AM58" s="13" t="str">
        <f t="shared" si="84"/>
        <v>0115699</v>
      </c>
      <c r="AN58" s="15"/>
      <c r="AO58" s="52"/>
      <c r="AP58" s="13">
        <v>1</v>
      </c>
      <c r="AQ58" s="53" t="s">
        <v>49</v>
      </c>
      <c r="AR58" s="15"/>
      <c r="AS58" s="13"/>
      <c r="AT58" s="7"/>
      <c r="AU58" s="7"/>
      <c r="AV58" s="13">
        <f t="shared" si="85"/>
        <v>699</v>
      </c>
      <c r="AW58" s="13" t="s">
        <v>423</v>
      </c>
      <c r="AX58" s="13" t="s">
        <v>420</v>
      </c>
      <c r="AY58" s="13" t="s">
        <v>421</v>
      </c>
      <c r="AZ58" s="15" t="s">
        <v>334</v>
      </c>
      <c r="BA58" s="14" t="s">
        <v>154</v>
      </c>
      <c r="BB58" s="21">
        <v>1</v>
      </c>
      <c r="BC58" s="20">
        <f t="shared" si="86"/>
        <v>699</v>
      </c>
      <c r="BD58" s="16" t="s">
        <v>410</v>
      </c>
      <c r="BE58" s="16" t="s">
        <v>391</v>
      </c>
      <c r="BF58" s="16" t="s">
        <v>390</v>
      </c>
      <c r="BG58" s="20" t="s">
        <v>403</v>
      </c>
      <c r="BH58" s="20" t="str">
        <f t="shared" si="87"/>
        <v>699_1</v>
      </c>
      <c r="BI58" s="21"/>
      <c r="BJ58" s="21" t="str">
        <f t="shared" si="88"/>
        <v>10000000699</v>
      </c>
      <c r="BK58" s="16" t="s">
        <v>51</v>
      </c>
      <c r="BL58" s="16" t="s">
        <v>54</v>
      </c>
      <c r="BM58" s="20" t="s">
        <v>411</v>
      </c>
      <c r="BN58" s="16" t="s">
        <v>51</v>
      </c>
      <c r="BO58" s="20" t="str">
        <f t="shared" si="89"/>
        <v>S05S699</v>
      </c>
      <c r="BP58" s="16" t="s">
        <v>402</v>
      </c>
      <c r="BQ58" s="16" t="s">
        <v>402</v>
      </c>
      <c r="BR58" s="20" t="s">
        <v>161</v>
      </c>
      <c r="BS58" s="16" t="s">
        <v>50</v>
      </c>
      <c r="BT58" s="16" t="s">
        <v>135</v>
      </c>
      <c r="BU58" s="16" t="s">
        <v>393</v>
      </c>
      <c r="BV58" s="16" t="s">
        <v>51</v>
      </c>
      <c r="BW58" s="16" t="s">
        <v>154</v>
      </c>
      <c r="BX58" s="16"/>
      <c r="BY58" s="16"/>
      <c r="BZ58" s="16" t="s">
        <v>157</v>
      </c>
      <c r="CA58" s="16" t="s">
        <v>269</v>
      </c>
      <c r="CB58" s="16" t="s">
        <v>412</v>
      </c>
      <c r="CC58" s="16" t="s">
        <v>781</v>
      </c>
      <c r="CD58" s="16" t="s">
        <v>392</v>
      </c>
      <c r="CE58" s="16" t="s">
        <v>396</v>
      </c>
      <c r="CF58" s="16" t="s">
        <v>398</v>
      </c>
      <c r="CG58" s="16" t="s">
        <v>418</v>
      </c>
      <c r="CH58" s="16" t="s">
        <v>159</v>
      </c>
      <c r="CI58" s="11"/>
      <c r="CJ58" s="11"/>
      <c r="CK58" s="12"/>
      <c r="CL58" s="7"/>
      <c r="CM58" s="7"/>
      <c r="CN58" s="11"/>
      <c r="CO58" s="6"/>
      <c r="CP58" s="7"/>
      <c r="CQ58" s="6"/>
      <c r="CR58" s="11"/>
      <c r="CS58" s="7"/>
      <c r="CT58" s="27"/>
      <c r="CU58" s="11"/>
      <c r="CV58" s="7"/>
      <c r="CW58" s="7"/>
      <c r="CX58" s="7"/>
      <c r="CY58" s="7"/>
      <c r="CZ58" s="7"/>
      <c r="DA58" s="7"/>
      <c r="DB58" s="6"/>
      <c r="DC58" s="7"/>
      <c r="DD58" s="12"/>
      <c r="DE58" s="7"/>
      <c r="DF58" s="7"/>
      <c r="DG58" s="7"/>
      <c r="DH58" s="7"/>
      <c r="DI58" s="7"/>
      <c r="DJ58" s="10"/>
      <c r="DK58" s="12"/>
      <c r="DL58" s="40"/>
      <c r="DM58" s="40"/>
      <c r="DN58" s="38" t="str">
        <f t="shared" si="38"/>
        <v>DS_Pass-699</v>
      </c>
      <c r="DO58" s="40"/>
      <c r="DP58" s="40"/>
      <c r="DQ58" s="40"/>
      <c r="DR58" s="41"/>
      <c r="DS58" s="41"/>
      <c r="DT58" s="40"/>
      <c r="DU58" s="40"/>
      <c r="DV58" s="40"/>
      <c r="DW58" s="41"/>
      <c r="DX58" s="40"/>
      <c r="DY58" s="40"/>
      <c r="DZ58" s="37" t="s">
        <v>402</v>
      </c>
      <c r="EA58" s="39"/>
      <c r="EB58" s="37"/>
      <c r="EC58" s="37"/>
      <c r="ED58" s="16"/>
      <c r="EE58" s="1"/>
      <c r="EF58" s="55"/>
    </row>
    <row r="59" spans="1:136">
      <c r="A59" s="219" t="s">
        <v>899</v>
      </c>
      <c r="B59" s="219" t="s">
        <v>868</v>
      </c>
      <c r="C59" s="219" t="s">
        <v>865</v>
      </c>
      <c r="D59" s="13">
        <f>'Run Parameters'!$B$1 + ROW()-1</f>
        <v>700</v>
      </c>
      <c r="E59" s="15" t="s">
        <v>47</v>
      </c>
      <c r="F59" s="18" t="s">
        <v>403</v>
      </c>
      <c r="G59" s="13" t="str">
        <f t="shared" si="73"/>
        <v>Access Dtls-700</v>
      </c>
      <c r="H59" s="15" t="s">
        <v>275</v>
      </c>
      <c r="I59" s="13" t="str">
        <f>("MR. Test_58_EXCH2_"&amp;D59&amp;"")</f>
        <v>MR. Test_58_EXCH2_700</v>
      </c>
      <c r="J59" s="18"/>
      <c r="K59" s="19" t="s">
        <v>425</v>
      </c>
      <c r="L59" s="13" t="str">
        <f t="shared" si="74"/>
        <v>Cust. Ref-700</v>
      </c>
      <c r="M59" s="15" t="s">
        <v>48</v>
      </c>
      <c r="N59" s="15" t="s">
        <v>425</v>
      </c>
      <c r="O59" s="13"/>
      <c r="P59" s="13" t="str">
        <f t="shared" si="75"/>
        <v>SN-700</v>
      </c>
      <c r="Q59" s="13" t="str">
        <f t="shared" si="76"/>
        <v>SI-700</v>
      </c>
      <c r="R59" s="13" t="str">
        <f t="shared" si="77"/>
        <v>SE-700</v>
      </c>
      <c r="S59" s="54" t="str">
        <f t="shared" si="78"/>
        <v>Prev_RA-700</v>
      </c>
      <c r="T59" s="54" t="str">
        <f t="shared" si="79"/>
        <v>Prev_Comms-700</v>
      </c>
      <c r="U59" s="17" t="s">
        <v>75</v>
      </c>
      <c r="V59" s="15" t="s">
        <v>401</v>
      </c>
      <c r="W59" s="17" t="s">
        <v>75</v>
      </c>
      <c r="X59" s="15" t="s">
        <v>396</v>
      </c>
      <c r="Y59" s="13" t="str">
        <f t="shared" si="80"/>
        <v>Forward Add-700</v>
      </c>
      <c r="Z59" s="15" t="s">
        <v>401</v>
      </c>
      <c r="AA59" s="136" t="str">
        <f>'Run Parameters'!$B$2</f>
        <v>2018-08-13 08:00</v>
      </c>
      <c r="AB59" s="223" t="str">
        <f>'Run Parameters'!B$3</f>
        <v>2018-08-13 18:00</v>
      </c>
      <c r="AC59" s="26">
        <f>('Run Parameters'!$B$2) - 7</f>
        <v>43318.333333333336</v>
      </c>
      <c r="AD59" s="17" t="s">
        <v>75</v>
      </c>
      <c r="AE59" s="18" t="str">
        <f t="shared" si="81"/>
        <v>LAST_METER-700</v>
      </c>
      <c r="AF59" s="136" t="str">
        <f>'Run Parameters'!$B$2</f>
        <v>2018-08-13 08:00</v>
      </c>
      <c r="AG59" s="13" t="str">
        <f>'Run Parameters'!B$4</f>
        <v>AUTOTEST2</v>
      </c>
      <c r="AH59" s="54" t="str">
        <f t="shared" si="82"/>
        <v>Site_Contact_700</v>
      </c>
      <c r="AI59" s="136" t="str">
        <f>'Run Parameters'!B$2</f>
        <v>2018-08-13 08:00</v>
      </c>
      <c r="AJ59" s="223" t="str">
        <f>'Run Parameters'!B$3</f>
        <v>2018-08-13 18:00</v>
      </c>
      <c r="AK59" s="13" t="s">
        <v>396</v>
      </c>
      <c r="AL59" s="54" t="str">
        <f t="shared" si="83"/>
        <v>01159700</v>
      </c>
      <c r="AM59" s="13" t="str">
        <f t="shared" si="84"/>
        <v>0115700</v>
      </c>
      <c r="AN59" s="15"/>
      <c r="AO59" s="52"/>
      <c r="AP59" s="13">
        <v>1</v>
      </c>
      <c r="AQ59" s="53" t="s">
        <v>49</v>
      </c>
      <c r="AR59" s="15"/>
      <c r="AS59" s="13"/>
      <c r="AT59" s="7"/>
      <c r="AU59" s="7"/>
      <c r="AV59" s="13">
        <f t="shared" si="85"/>
        <v>700</v>
      </c>
      <c r="AW59" s="13" t="s">
        <v>423</v>
      </c>
      <c r="AX59" s="13" t="s">
        <v>420</v>
      </c>
      <c r="AY59" s="13" t="s">
        <v>421</v>
      </c>
      <c r="AZ59" s="15" t="s">
        <v>334</v>
      </c>
      <c r="BA59" s="14" t="s">
        <v>154</v>
      </c>
      <c r="BB59" s="21">
        <v>1</v>
      </c>
      <c r="BC59" s="20">
        <f t="shared" si="86"/>
        <v>700</v>
      </c>
      <c r="BD59" s="16" t="s">
        <v>410</v>
      </c>
      <c r="BE59" s="16" t="s">
        <v>391</v>
      </c>
      <c r="BF59" s="16" t="s">
        <v>390</v>
      </c>
      <c r="BG59" s="20" t="s">
        <v>403</v>
      </c>
      <c r="BH59" s="20" t="str">
        <f t="shared" si="87"/>
        <v>700_1</v>
      </c>
      <c r="BI59" s="21"/>
      <c r="BJ59" s="21" t="str">
        <f t="shared" si="88"/>
        <v>10000000700</v>
      </c>
      <c r="BK59" s="16" t="s">
        <v>51</v>
      </c>
      <c r="BL59" s="16" t="s">
        <v>54</v>
      </c>
      <c r="BM59" s="20" t="s">
        <v>411</v>
      </c>
      <c r="BN59" s="16" t="s">
        <v>51</v>
      </c>
      <c r="BO59" s="20" t="str">
        <f t="shared" si="89"/>
        <v>S05S700</v>
      </c>
      <c r="BP59" s="16" t="s">
        <v>402</v>
      </c>
      <c r="BQ59" s="16" t="s">
        <v>402</v>
      </c>
      <c r="BR59" s="20" t="s">
        <v>161</v>
      </c>
      <c r="BS59" s="16" t="s">
        <v>50</v>
      </c>
      <c r="BT59" s="16" t="s">
        <v>135</v>
      </c>
      <c r="BU59" s="16" t="s">
        <v>393</v>
      </c>
      <c r="BV59" s="16" t="s">
        <v>51</v>
      </c>
      <c r="BW59" s="16" t="s">
        <v>154</v>
      </c>
      <c r="BX59" s="16"/>
      <c r="BY59" s="16"/>
      <c r="BZ59" s="16" t="s">
        <v>157</v>
      </c>
      <c r="CA59" s="16" t="s">
        <v>269</v>
      </c>
      <c r="CB59" s="16" t="s">
        <v>412</v>
      </c>
      <c r="CC59" s="16" t="s">
        <v>781</v>
      </c>
      <c r="CD59" s="16" t="s">
        <v>392</v>
      </c>
      <c r="CE59" s="16" t="s">
        <v>396</v>
      </c>
      <c r="CF59" s="16" t="s">
        <v>398</v>
      </c>
      <c r="CG59" s="16" t="s">
        <v>418</v>
      </c>
      <c r="CH59" s="16" t="s">
        <v>159</v>
      </c>
      <c r="CI59" s="11"/>
      <c r="CJ59" s="11"/>
      <c r="CK59" s="12"/>
      <c r="CL59" s="7"/>
      <c r="CM59" s="7"/>
      <c r="CN59" s="11"/>
      <c r="CO59" s="6"/>
      <c r="CP59" s="7"/>
      <c r="CQ59" s="6"/>
      <c r="CR59" s="11"/>
      <c r="CS59" s="7"/>
      <c r="CT59" s="27"/>
      <c r="CU59" s="11"/>
      <c r="CV59" s="7"/>
      <c r="CW59" s="7"/>
      <c r="CX59" s="7"/>
      <c r="CY59" s="7"/>
      <c r="CZ59" s="7"/>
      <c r="DA59" s="7"/>
      <c r="DB59" s="6"/>
      <c r="DC59" s="7"/>
      <c r="DD59" s="12"/>
      <c r="DE59" s="7"/>
      <c r="DF59" s="7"/>
      <c r="DG59" s="7"/>
      <c r="DH59" s="7"/>
      <c r="DI59" s="7"/>
      <c r="DJ59" s="10"/>
      <c r="DK59" s="12"/>
      <c r="DL59" s="40"/>
      <c r="DM59" s="40"/>
      <c r="DN59" s="38" t="str">
        <f t="shared" si="38"/>
        <v>DS_Pass-700</v>
      </c>
      <c r="DO59" s="40"/>
      <c r="DP59" s="40"/>
      <c r="DQ59" s="40"/>
      <c r="DR59" s="41"/>
      <c r="DS59" s="41"/>
      <c r="DT59" s="40"/>
      <c r="DU59" s="40"/>
      <c r="DV59" s="40"/>
      <c r="DW59" s="41"/>
      <c r="DX59" s="40"/>
      <c r="DY59" s="40"/>
      <c r="DZ59" s="37" t="s">
        <v>402</v>
      </c>
      <c r="EA59" s="39"/>
      <c r="EB59" s="37"/>
      <c r="EC59" s="37"/>
      <c r="ED59" s="16"/>
      <c r="EE59" s="1"/>
      <c r="EF59" s="55"/>
    </row>
    <row r="60" spans="1:136">
      <c r="A60" s="219" t="s">
        <v>900</v>
      </c>
      <c r="B60" s="219" t="s">
        <v>892</v>
      </c>
      <c r="C60" s="219" t="s">
        <v>865</v>
      </c>
      <c r="D60" s="13">
        <f>'Run Parameters'!$B$1 + ROW()-1</f>
        <v>701</v>
      </c>
      <c r="E60" s="15" t="s">
        <v>47</v>
      </c>
      <c r="F60" s="18" t="s">
        <v>403</v>
      </c>
      <c r="G60" s="13" t="str">
        <f t="shared" si="73"/>
        <v>Access Dtls-701</v>
      </c>
      <c r="H60" s="15" t="s">
        <v>275</v>
      </c>
      <c r="I60" s="13" t="str">
        <f>("MR. Test_59_EXCH2_"&amp;D60&amp;"")</f>
        <v>MR. Test_59_EXCH2_701</v>
      </c>
      <c r="J60" s="18"/>
      <c r="K60" s="19" t="s">
        <v>425</v>
      </c>
      <c r="L60" s="13" t="str">
        <f t="shared" si="74"/>
        <v>Cust. Ref-701</v>
      </c>
      <c r="M60" s="15" t="s">
        <v>48</v>
      </c>
      <c r="N60" s="15" t="s">
        <v>425</v>
      </c>
      <c r="O60" s="13"/>
      <c r="P60" s="13" t="str">
        <f t="shared" si="75"/>
        <v>SN-701</v>
      </c>
      <c r="Q60" s="13" t="str">
        <f t="shared" si="76"/>
        <v>SI-701</v>
      </c>
      <c r="R60" s="13" t="str">
        <f t="shared" si="77"/>
        <v>SE-701</v>
      </c>
      <c r="S60" s="54" t="str">
        <f t="shared" si="78"/>
        <v>Prev_RA-701</v>
      </c>
      <c r="T60" s="54" t="str">
        <f t="shared" si="79"/>
        <v>Prev_Comms-701</v>
      </c>
      <c r="U60" s="17" t="s">
        <v>75</v>
      </c>
      <c r="V60" s="15" t="s">
        <v>401</v>
      </c>
      <c r="W60" s="17" t="s">
        <v>75</v>
      </c>
      <c r="X60" s="15" t="s">
        <v>396</v>
      </c>
      <c r="Y60" s="13" t="str">
        <f t="shared" si="80"/>
        <v>Forward Add-701</v>
      </c>
      <c r="Z60" s="15" t="s">
        <v>401</v>
      </c>
      <c r="AA60" s="136" t="str">
        <f>'Run Parameters'!$B$2</f>
        <v>2018-08-13 08:00</v>
      </c>
      <c r="AB60" s="223" t="str">
        <f>'Run Parameters'!B$3</f>
        <v>2018-08-13 18:00</v>
      </c>
      <c r="AC60" s="26">
        <f>('Run Parameters'!$B$2) - 7</f>
        <v>43318.333333333336</v>
      </c>
      <c r="AD60" s="17" t="s">
        <v>75</v>
      </c>
      <c r="AE60" s="18" t="str">
        <f t="shared" si="81"/>
        <v>LAST_METER-701</v>
      </c>
      <c r="AF60" s="136" t="str">
        <f>'Run Parameters'!$B$2</f>
        <v>2018-08-13 08:00</v>
      </c>
      <c r="AG60" s="13" t="str">
        <f>'Run Parameters'!B$4</f>
        <v>AUTOTEST2</v>
      </c>
      <c r="AH60" s="54" t="str">
        <f t="shared" si="82"/>
        <v>Site_Contact_701</v>
      </c>
      <c r="AI60" s="136" t="str">
        <f>'Run Parameters'!B$2</f>
        <v>2018-08-13 08:00</v>
      </c>
      <c r="AJ60" s="223" t="str">
        <f>'Run Parameters'!B$3</f>
        <v>2018-08-13 18:00</v>
      </c>
      <c r="AK60" s="13" t="s">
        <v>396</v>
      </c>
      <c r="AL60" s="54" t="str">
        <f t="shared" si="83"/>
        <v>01159701</v>
      </c>
      <c r="AM60" s="13" t="str">
        <f t="shared" si="84"/>
        <v>0115701</v>
      </c>
      <c r="AN60" s="15"/>
      <c r="AO60" s="52"/>
      <c r="AP60" s="13">
        <v>1</v>
      </c>
      <c r="AQ60" s="53" t="s">
        <v>49</v>
      </c>
      <c r="AR60" s="15"/>
      <c r="AS60" s="13"/>
      <c r="AT60" s="7"/>
      <c r="AU60" s="7"/>
      <c r="AV60" s="13">
        <f t="shared" si="85"/>
        <v>701</v>
      </c>
      <c r="AW60" s="13" t="s">
        <v>423</v>
      </c>
      <c r="AX60" s="13" t="s">
        <v>420</v>
      </c>
      <c r="AY60" s="13" t="s">
        <v>421</v>
      </c>
      <c r="AZ60" s="15" t="s">
        <v>334</v>
      </c>
      <c r="BA60" s="14" t="s">
        <v>154</v>
      </c>
      <c r="BB60" s="21">
        <v>1</v>
      </c>
      <c r="BC60" s="20">
        <f t="shared" si="86"/>
        <v>701</v>
      </c>
      <c r="BD60" s="16" t="s">
        <v>410</v>
      </c>
      <c r="BE60" s="16" t="s">
        <v>391</v>
      </c>
      <c r="BF60" s="16" t="s">
        <v>390</v>
      </c>
      <c r="BG60" s="20" t="s">
        <v>403</v>
      </c>
      <c r="BH60" s="20" t="str">
        <f t="shared" si="87"/>
        <v>701_1</v>
      </c>
      <c r="BI60" s="21"/>
      <c r="BJ60" s="21" t="str">
        <f t="shared" si="88"/>
        <v>10000000701</v>
      </c>
      <c r="BK60" s="16" t="s">
        <v>51</v>
      </c>
      <c r="BL60" s="16" t="s">
        <v>54</v>
      </c>
      <c r="BM60" s="20" t="s">
        <v>411</v>
      </c>
      <c r="BN60" s="16" t="s">
        <v>51</v>
      </c>
      <c r="BO60" s="20" t="str">
        <f t="shared" si="89"/>
        <v>S05S701</v>
      </c>
      <c r="BP60" s="16" t="s">
        <v>402</v>
      </c>
      <c r="BQ60" s="16" t="s">
        <v>402</v>
      </c>
      <c r="BR60" s="20" t="s">
        <v>161</v>
      </c>
      <c r="BS60" s="16" t="s">
        <v>50</v>
      </c>
      <c r="BT60" s="16" t="s">
        <v>135</v>
      </c>
      <c r="BU60" s="16" t="s">
        <v>393</v>
      </c>
      <c r="BV60" s="16" t="s">
        <v>51</v>
      </c>
      <c r="BW60" s="16" t="s">
        <v>154</v>
      </c>
      <c r="BX60" s="16"/>
      <c r="BY60" s="16"/>
      <c r="BZ60" s="16" t="s">
        <v>157</v>
      </c>
      <c r="CA60" s="16" t="s">
        <v>269</v>
      </c>
      <c r="CB60" s="16" t="s">
        <v>412</v>
      </c>
      <c r="CC60" s="16" t="s">
        <v>781</v>
      </c>
      <c r="CD60" s="16" t="s">
        <v>392</v>
      </c>
      <c r="CE60" s="16" t="s">
        <v>396</v>
      </c>
      <c r="CF60" s="16" t="s">
        <v>398</v>
      </c>
      <c r="CG60" s="16" t="s">
        <v>418</v>
      </c>
      <c r="CH60" s="16" t="s">
        <v>159</v>
      </c>
      <c r="CI60" s="11"/>
      <c r="CJ60" s="11"/>
      <c r="CK60" s="12"/>
      <c r="CL60" s="7"/>
      <c r="CM60" s="7"/>
      <c r="CN60" s="11"/>
      <c r="CO60" s="6"/>
      <c r="CP60" s="7"/>
      <c r="CQ60" s="6"/>
      <c r="CR60" s="11"/>
      <c r="CS60" s="7"/>
      <c r="CT60" s="27"/>
      <c r="CU60" s="11"/>
      <c r="CV60" s="7"/>
      <c r="CW60" s="7"/>
      <c r="CX60" s="7"/>
      <c r="CY60" s="7"/>
      <c r="CZ60" s="7"/>
      <c r="DA60" s="7"/>
      <c r="DB60" s="6"/>
      <c r="DC60" s="7"/>
      <c r="DD60" s="12"/>
      <c r="DE60" s="7"/>
      <c r="DF60" s="7"/>
      <c r="DG60" s="7"/>
      <c r="DH60" s="7"/>
      <c r="DI60" s="7"/>
      <c r="DJ60" s="10"/>
      <c r="DK60" s="12"/>
      <c r="DL60" s="40"/>
      <c r="DM60" s="40"/>
      <c r="DN60" s="38" t="str">
        <f t="shared" si="38"/>
        <v>DS_Pass-701</v>
      </c>
      <c r="DO60" s="40"/>
      <c r="DP60" s="40"/>
      <c r="DQ60" s="40"/>
      <c r="DR60" s="41"/>
      <c r="DS60" s="41"/>
      <c r="DT60" s="40"/>
      <c r="DU60" s="40"/>
      <c r="DV60" s="40"/>
      <c r="DW60" s="41"/>
      <c r="DX60" s="40"/>
      <c r="DY60" s="40"/>
      <c r="DZ60" s="37" t="s">
        <v>402</v>
      </c>
      <c r="EA60" s="39"/>
      <c r="EB60" s="37"/>
      <c r="EC60" s="37"/>
      <c r="ED60" s="16"/>
      <c r="EE60" s="1"/>
      <c r="EF60" s="55"/>
    </row>
    <row r="61" spans="1:136">
      <c r="A61" s="219" t="s">
        <v>901</v>
      </c>
      <c r="B61" s="219" t="s">
        <v>868</v>
      </c>
      <c r="C61" s="219" t="s">
        <v>865</v>
      </c>
      <c r="D61" s="13">
        <f>'Run Parameters'!$B$1 + ROW()-1</f>
        <v>702</v>
      </c>
      <c r="E61" s="15" t="s">
        <v>47</v>
      </c>
      <c r="F61" s="18" t="s">
        <v>403</v>
      </c>
      <c r="G61" s="13" t="str">
        <f t="shared" si="73"/>
        <v>Access Dtls-702</v>
      </c>
      <c r="H61" s="15" t="s">
        <v>275</v>
      </c>
      <c r="I61" s="13" t="str">
        <f>("MR. Test_60_EXCH2_"&amp;D61&amp;"")</f>
        <v>MR. Test_60_EXCH2_702</v>
      </c>
      <c r="J61" s="18"/>
      <c r="K61" s="19" t="s">
        <v>425</v>
      </c>
      <c r="L61" s="13" t="str">
        <f t="shared" si="74"/>
        <v>Cust. Ref-702</v>
      </c>
      <c r="M61" s="15" t="s">
        <v>48</v>
      </c>
      <c r="N61" s="15" t="s">
        <v>425</v>
      </c>
      <c r="O61" s="13"/>
      <c r="P61" s="13" t="str">
        <f t="shared" si="75"/>
        <v>SN-702</v>
      </c>
      <c r="Q61" s="13" t="str">
        <f t="shared" si="76"/>
        <v>SI-702</v>
      </c>
      <c r="R61" s="13" t="str">
        <f t="shared" si="77"/>
        <v>SE-702</v>
      </c>
      <c r="S61" s="54" t="str">
        <f t="shared" si="78"/>
        <v>Prev_RA-702</v>
      </c>
      <c r="T61" s="54" t="str">
        <f t="shared" si="79"/>
        <v>Prev_Comms-702</v>
      </c>
      <c r="U61" s="17" t="s">
        <v>75</v>
      </c>
      <c r="V61" s="15" t="s">
        <v>401</v>
      </c>
      <c r="W61" s="17" t="s">
        <v>75</v>
      </c>
      <c r="X61" s="15" t="s">
        <v>396</v>
      </c>
      <c r="Y61" s="13" t="str">
        <f t="shared" si="80"/>
        <v>Forward Add-702</v>
      </c>
      <c r="Z61" s="15" t="s">
        <v>401</v>
      </c>
      <c r="AA61" s="136" t="str">
        <f>'Run Parameters'!$B$2</f>
        <v>2018-08-13 08:00</v>
      </c>
      <c r="AB61" s="223" t="str">
        <f>'Run Parameters'!B$3</f>
        <v>2018-08-13 18:00</v>
      </c>
      <c r="AC61" s="26">
        <f>('Run Parameters'!$B$2) - 7</f>
        <v>43318.333333333336</v>
      </c>
      <c r="AD61" s="17" t="s">
        <v>75</v>
      </c>
      <c r="AE61" s="18" t="str">
        <f t="shared" si="81"/>
        <v>LAST_METER-702</v>
      </c>
      <c r="AF61" s="136" t="str">
        <f>'Run Parameters'!$B$2</f>
        <v>2018-08-13 08:00</v>
      </c>
      <c r="AG61" s="13" t="str">
        <f>'Run Parameters'!B$4</f>
        <v>AUTOTEST2</v>
      </c>
      <c r="AH61" s="54" t="str">
        <f t="shared" si="82"/>
        <v>Site_Contact_702</v>
      </c>
      <c r="AI61" s="136" t="str">
        <f>'Run Parameters'!B$2</f>
        <v>2018-08-13 08:00</v>
      </c>
      <c r="AJ61" s="223" t="str">
        <f>'Run Parameters'!B$3</f>
        <v>2018-08-13 18:00</v>
      </c>
      <c r="AK61" s="13" t="s">
        <v>396</v>
      </c>
      <c r="AL61" s="54" t="str">
        <f t="shared" si="83"/>
        <v>01159702</v>
      </c>
      <c r="AM61" s="13" t="str">
        <f t="shared" si="84"/>
        <v>0115702</v>
      </c>
      <c r="AN61" s="15"/>
      <c r="AO61" s="52"/>
      <c r="AP61" s="13">
        <v>1</v>
      </c>
      <c r="AQ61" s="53" t="s">
        <v>49</v>
      </c>
      <c r="AR61" s="15"/>
      <c r="AS61" s="13"/>
      <c r="AT61" s="7"/>
      <c r="AU61" s="7"/>
      <c r="AV61" s="13">
        <f t="shared" si="85"/>
        <v>702</v>
      </c>
      <c r="AW61" s="13" t="s">
        <v>423</v>
      </c>
      <c r="AX61" s="13" t="s">
        <v>420</v>
      </c>
      <c r="AY61" s="13" t="s">
        <v>421</v>
      </c>
      <c r="AZ61" s="15" t="s">
        <v>334</v>
      </c>
      <c r="BA61" s="14" t="s">
        <v>154</v>
      </c>
      <c r="BB61" s="21">
        <v>1</v>
      </c>
      <c r="BC61" s="20">
        <f t="shared" si="86"/>
        <v>702</v>
      </c>
      <c r="BD61" s="16" t="s">
        <v>410</v>
      </c>
      <c r="BE61" s="16" t="s">
        <v>391</v>
      </c>
      <c r="BF61" s="16" t="s">
        <v>390</v>
      </c>
      <c r="BG61" s="20" t="s">
        <v>403</v>
      </c>
      <c r="BH61" s="20" t="str">
        <f t="shared" si="87"/>
        <v>702_1</v>
      </c>
      <c r="BI61" s="21"/>
      <c r="BJ61" s="21" t="str">
        <f t="shared" si="88"/>
        <v>10000000702</v>
      </c>
      <c r="BK61" s="16" t="s">
        <v>51</v>
      </c>
      <c r="BL61" s="16" t="s">
        <v>54</v>
      </c>
      <c r="BM61" s="20" t="s">
        <v>411</v>
      </c>
      <c r="BN61" s="16" t="s">
        <v>51</v>
      </c>
      <c r="BO61" s="20" t="str">
        <f t="shared" si="89"/>
        <v>S05S702</v>
      </c>
      <c r="BP61" s="16" t="s">
        <v>402</v>
      </c>
      <c r="BQ61" s="16" t="s">
        <v>402</v>
      </c>
      <c r="BR61" s="20" t="s">
        <v>161</v>
      </c>
      <c r="BS61" s="16" t="s">
        <v>50</v>
      </c>
      <c r="BT61" s="16" t="s">
        <v>135</v>
      </c>
      <c r="BU61" s="16" t="s">
        <v>393</v>
      </c>
      <c r="BV61" s="16" t="s">
        <v>51</v>
      </c>
      <c r="BW61" s="16" t="s">
        <v>154</v>
      </c>
      <c r="BX61" s="16"/>
      <c r="BY61" s="16"/>
      <c r="BZ61" s="16" t="s">
        <v>157</v>
      </c>
      <c r="CA61" s="16" t="s">
        <v>269</v>
      </c>
      <c r="CB61" s="16" t="s">
        <v>412</v>
      </c>
      <c r="CC61" s="16" t="s">
        <v>781</v>
      </c>
      <c r="CD61" s="16" t="s">
        <v>392</v>
      </c>
      <c r="CE61" s="16" t="s">
        <v>396</v>
      </c>
      <c r="CF61" s="16" t="s">
        <v>398</v>
      </c>
      <c r="CG61" s="16" t="s">
        <v>418</v>
      </c>
      <c r="CH61" s="16" t="s">
        <v>159</v>
      </c>
      <c r="CI61" s="11"/>
      <c r="CJ61" s="11"/>
      <c r="CK61" s="12"/>
      <c r="CL61" s="7"/>
      <c r="CM61" s="7"/>
      <c r="CN61" s="11"/>
      <c r="CO61" s="6"/>
      <c r="CP61" s="7"/>
      <c r="CQ61" s="6"/>
      <c r="CR61" s="11"/>
      <c r="CS61" s="7"/>
      <c r="CT61" s="27"/>
      <c r="CU61" s="11"/>
      <c r="CV61" s="7"/>
      <c r="CW61" s="7"/>
      <c r="CX61" s="7"/>
      <c r="CY61" s="7"/>
      <c r="CZ61" s="7"/>
      <c r="DA61" s="7"/>
      <c r="DB61" s="6"/>
      <c r="DC61" s="7"/>
      <c r="DD61" s="12"/>
      <c r="DE61" s="7"/>
      <c r="DF61" s="7"/>
      <c r="DG61" s="7"/>
      <c r="DH61" s="7"/>
      <c r="DI61" s="7"/>
      <c r="DJ61" s="10"/>
      <c r="DK61" s="12"/>
      <c r="DL61" s="40"/>
      <c r="DM61" s="40"/>
      <c r="DN61" s="38" t="str">
        <f t="shared" si="38"/>
        <v>DS_Pass-702</v>
      </c>
      <c r="DO61" s="40"/>
      <c r="DP61" s="40"/>
      <c r="DQ61" s="40"/>
      <c r="DR61" s="41"/>
      <c r="DS61" s="41"/>
      <c r="DT61" s="40"/>
      <c r="DU61" s="40"/>
      <c r="DV61" s="40"/>
      <c r="DW61" s="41"/>
      <c r="DX61" s="40"/>
      <c r="DY61" s="40"/>
      <c r="DZ61" s="37" t="s">
        <v>402</v>
      </c>
      <c r="EA61" s="39"/>
      <c r="EB61" s="37"/>
      <c r="EC61" s="37"/>
      <c r="ED61" s="16"/>
      <c r="EE61" s="1"/>
      <c r="EF61" s="55"/>
    </row>
    <row r="62" spans="1:136">
      <c r="A62" s="219" t="s">
        <v>902</v>
      </c>
      <c r="B62" s="219" t="s">
        <v>892</v>
      </c>
      <c r="C62" s="219" t="s">
        <v>865</v>
      </c>
      <c r="D62" s="13">
        <f>'Run Parameters'!$B$1 + ROW()-1</f>
        <v>703</v>
      </c>
      <c r="E62" s="15" t="s">
        <v>47</v>
      </c>
      <c r="F62" s="18" t="s">
        <v>403</v>
      </c>
      <c r="G62" s="13" t="str">
        <f t="shared" si="73"/>
        <v>Access Dtls-703</v>
      </c>
      <c r="H62" s="15" t="s">
        <v>275</v>
      </c>
      <c r="I62" s="13" t="str">
        <f>("MR. Test_61_EXCH2_"&amp;D62&amp;"")</f>
        <v>MR. Test_61_EXCH2_703</v>
      </c>
      <c r="J62" s="18"/>
      <c r="K62" s="19" t="s">
        <v>425</v>
      </c>
      <c r="L62" s="13" t="str">
        <f t="shared" si="74"/>
        <v>Cust. Ref-703</v>
      </c>
      <c r="M62" s="15" t="s">
        <v>48</v>
      </c>
      <c r="N62" s="15" t="s">
        <v>425</v>
      </c>
      <c r="O62" s="13"/>
      <c r="P62" s="13" t="str">
        <f t="shared" si="75"/>
        <v>SN-703</v>
      </c>
      <c r="Q62" s="13" t="str">
        <f t="shared" si="76"/>
        <v>SI-703</v>
      </c>
      <c r="R62" s="13" t="str">
        <f t="shared" si="77"/>
        <v>SE-703</v>
      </c>
      <c r="S62" s="54" t="str">
        <f t="shared" si="78"/>
        <v>Prev_RA-703</v>
      </c>
      <c r="T62" s="54" t="str">
        <f t="shared" si="79"/>
        <v>Prev_Comms-703</v>
      </c>
      <c r="U62" s="17" t="s">
        <v>75</v>
      </c>
      <c r="V62" s="15" t="s">
        <v>401</v>
      </c>
      <c r="W62" s="17" t="s">
        <v>75</v>
      </c>
      <c r="X62" s="15" t="s">
        <v>396</v>
      </c>
      <c r="Y62" s="13" t="str">
        <f t="shared" si="80"/>
        <v>Forward Add-703</v>
      </c>
      <c r="Z62" s="15" t="s">
        <v>401</v>
      </c>
      <c r="AA62" s="136" t="str">
        <f>'Run Parameters'!$B$2</f>
        <v>2018-08-13 08:00</v>
      </c>
      <c r="AB62" s="223" t="str">
        <f>'Run Parameters'!B$3</f>
        <v>2018-08-13 18:00</v>
      </c>
      <c r="AC62" s="26">
        <f>('Run Parameters'!$B$2) - 7</f>
        <v>43318.333333333336</v>
      </c>
      <c r="AD62" s="17" t="s">
        <v>75</v>
      </c>
      <c r="AE62" s="18" t="str">
        <f t="shared" si="81"/>
        <v>LAST_METER-703</v>
      </c>
      <c r="AF62" s="136" t="str">
        <f>'Run Parameters'!$B$2</f>
        <v>2018-08-13 08:00</v>
      </c>
      <c r="AG62" s="13" t="str">
        <f>'Run Parameters'!B$4</f>
        <v>AUTOTEST2</v>
      </c>
      <c r="AH62" s="54" t="str">
        <f t="shared" si="82"/>
        <v>Site_Contact_703</v>
      </c>
      <c r="AI62" s="136" t="str">
        <f>'Run Parameters'!B$2</f>
        <v>2018-08-13 08:00</v>
      </c>
      <c r="AJ62" s="223" t="str">
        <f>'Run Parameters'!B$3</f>
        <v>2018-08-13 18:00</v>
      </c>
      <c r="AK62" s="13" t="s">
        <v>396</v>
      </c>
      <c r="AL62" s="54" t="str">
        <f t="shared" si="83"/>
        <v>01159703</v>
      </c>
      <c r="AM62" s="13" t="str">
        <f t="shared" si="84"/>
        <v>0115703</v>
      </c>
      <c r="AN62" s="15"/>
      <c r="AO62" s="52"/>
      <c r="AP62" s="13">
        <v>1</v>
      </c>
      <c r="AQ62" s="53" t="s">
        <v>49</v>
      </c>
      <c r="AR62" s="15"/>
      <c r="AS62" s="13"/>
      <c r="AT62" s="7"/>
      <c r="AU62" s="7"/>
      <c r="AV62" s="13">
        <f t="shared" si="85"/>
        <v>703</v>
      </c>
      <c r="AW62" s="13" t="s">
        <v>423</v>
      </c>
      <c r="AX62" s="13" t="s">
        <v>420</v>
      </c>
      <c r="AY62" s="13" t="s">
        <v>421</v>
      </c>
      <c r="AZ62" s="15" t="s">
        <v>334</v>
      </c>
      <c r="BA62" s="14" t="s">
        <v>154</v>
      </c>
      <c r="BB62" s="21">
        <v>1</v>
      </c>
      <c r="BC62" s="20">
        <f t="shared" si="86"/>
        <v>703</v>
      </c>
      <c r="BD62" s="16" t="s">
        <v>410</v>
      </c>
      <c r="BE62" s="16" t="s">
        <v>391</v>
      </c>
      <c r="BF62" s="16" t="s">
        <v>390</v>
      </c>
      <c r="BG62" s="20" t="s">
        <v>403</v>
      </c>
      <c r="BH62" s="20" t="str">
        <f t="shared" si="87"/>
        <v>703_1</v>
      </c>
      <c r="BI62" s="21"/>
      <c r="BJ62" s="21" t="str">
        <f t="shared" si="88"/>
        <v>10000000703</v>
      </c>
      <c r="BK62" s="16" t="s">
        <v>51</v>
      </c>
      <c r="BL62" s="16" t="s">
        <v>54</v>
      </c>
      <c r="BM62" s="20" t="s">
        <v>411</v>
      </c>
      <c r="BN62" s="16" t="s">
        <v>51</v>
      </c>
      <c r="BO62" s="20" t="str">
        <f t="shared" si="89"/>
        <v>S05S703</v>
      </c>
      <c r="BP62" s="16" t="s">
        <v>402</v>
      </c>
      <c r="BQ62" s="16" t="s">
        <v>402</v>
      </c>
      <c r="BR62" s="20" t="s">
        <v>161</v>
      </c>
      <c r="BS62" s="16" t="s">
        <v>50</v>
      </c>
      <c r="BT62" s="16" t="s">
        <v>135</v>
      </c>
      <c r="BU62" s="16" t="s">
        <v>393</v>
      </c>
      <c r="BV62" s="16" t="s">
        <v>51</v>
      </c>
      <c r="BW62" s="16" t="s">
        <v>154</v>
      </c>
      <c r="BX62" s="16"/>
      <c r="BY62" s="16"/>
      <c r="BZ62" s="16" t="s">
        <v>157</v>
      </c>
      <c r="CA62" s="16" t="s">
        <v>269</v>
      </c>
      <c r="CB62" s="16" t="s">
        <v>412</v>
      </c>
      <c r="CC62" s="16" t="s">
        <v>781</v>
      </c>
      <c r="CD62" s="16" t="s">
        <v>392</v>
      </c>
      <c r="CE62" s="16" t="s">
        <v>396</v>
      </c>
      <c r="CF62" s="16" t="s">
        <v>398</v>
      </c>
      <c r="CG62" s="16" t="s">
        <v>418</v>
      </c>
      <c r="CH62" s="16" t="s">
        <v>159</v>
      </c>
      <c r="CI62" s="11"/>
      <c r="CJ62" s="11"/>
      <c r="CK62" s="12"/>
      <c r="CL62" s="7"/>
      <c r="CM62" s="7"/>
      <c r="CN62" s="11"/>
      <c r="CO62" s="6"/>
      <c r="CP62" s="7"/>
      <c r="CQ62" s="6"/>
      <c r="CR62" s="11"/>
      <c r="CS62" s="7"/>
      <c r="CT62" s="27"/>
      <c r="CU62" s="11"/>
      <c r="CV62" s="7"/>
      <c r="CW62" s="7"/>
      <c r="CX62" s="7"/>
      <c r="CY62" s="7"/>
      <c r="CZ62" s="7"/>
      <c r="DA62" s="7"/>
      <c r="DB62" s="6"/>
      <c r="DC62" s="7"/>
      <c r="DD62" s="12"/>
      <c r="DE62" s="7"/>
      <c r="DF62" s="7"/>
      <c r="DG62" s="7"/>
      <c r="DH62" s="7"/>
      <c r="DI62" s="7"/>
      <c r="DJ62" s="10"/>
      <c r="DK62" s="12"/>
      <c r="DL62" s="40"/>
      <c r="DM62" s="40"/>
      <c r="DN62" s="38" t="str">
        <f t="shared" si="38"/>
        <v>DS_Pass-703</v>
      </c>
      <c r="DO62" s="40"/>
      <c r="DP62" s="40"/>
      <c r="DQ62" s="40"/>
      <c r="DR62" s="41"/>
      <c r="DS62" s="41"/>
      <c r="DT62" s="40"/>
      <c r="DU62" s="40"/>
      <c r="DV62" s="40"/>
      <c r="DW62" s="41"/>
      <c r="DX62" s="40"/>
      <c r="DY62" s="40"/>
      <c r="DZ62" s="37" t="s">
        <v>402</v>
      </c>
      <c r="EA62" s="39"/>
      <c r="EB62" s="37"/>
      <c r="EC62" s="37"/>
      <c r="ED62" s="16"/>
      <c r="EE62" s="1"/>
      <c r="EF62" s="55"/>
    </row>
    <row r="63" spans="1:136">
      <c r="A63" s="219" t="s">
        <v>903</v>
      </c>
      <c r="B63" s="219" t="s">
        <v>868</v>
      </c>
      <c r="C63" s="219" t="s">
        <v>865</v>
      </c>
      <c r="D63" s="13">
        <f>'Run Parameters'!$B$1 + ROW()-1</f>
        <v>704</v>
      </c>
      <c r="E63" s="15" t="s">
        <v>47</v>
      </c>
      <c r="F63" s="18" t="s">
        <v>403</v>
      </c>
      <c r="G63" s="13" t="str">
        <f t="shared" si="73"/>
        <v>Access Dtls-704</v>
      </c>
      <c r="H63" s="15" t="s">
        <v>275</v>
      </c>
      <c r="I63" s="13" t="str">
        <f>("MR. Test_62_EXCH2_"&amp;D63&amp;"")</f>
        <v>MR. Test_62_EXCH2_704</v>
      </c>
      <c r="J63" s="18"/>
      <c r="K63" s="19" t="s">
        <v>425</v>
      </c>
      <c r="L63" s="13" t="str">
        <f t="shared" si="74"/>
        <v>Cust. Ref-704</v>
      </c>
      <c r="M63" s="15" t="s">
        <v>48</v>
      </c>
      <c r="N63" s="15" t="s">
        <v>425</v>
      </c>
      <c r="O63" s="13"/>
      <c r="P63" s="13" t="str">
        <f t="shared" si="75"/>
        <v>SN-704</v>
      </c>
      <c r="Q63" s="13" t="str">
        <f t="shared" si="76"/>
        <v>SI-704</v>
      </c>
      <c r="R63" s="13" t="str">
        <f t="shared" si="77"/>
        <v>SE-704</v>
      </c>
      <c r="S63" s="54" t="str">
        <f t="shared" si="78"/>
        <v>Prev_RA-704</v>
      </c>
      <c r="T63" s="54" t="str">
        <f t="shared" si="79"/>
        <v>Prev_Comms-704</v>
      </c>
      <c r="U63" s="17" t="s">
        <v>75</v>
      </c>
      <c r="V63" s="15" t="s">
        <v>401</v>
      </c>
      <c r="W63" s="17" t="s">
        <v>75</v>
      </c>
      <c r="X63" s="15" t="s">
        <v>396</v>
      </c>
      <c r="Y63" s="13" t="str">
        <f t="shared" si="80"/>
        <v>Forward Add-704</v>
      </c>
      <c r="Z63" s="15" t="s">
        <v>401</v>
      </c>
      <c r="AA63" s="136" t="str">
        <f>'Run Parameters'!$B$2</f>
        <v>2018-08-13 08:00</v>
      </c>
      <c r="AB63" s="223" t="str">
        <f>'Run Parameters'!B$3</f>
        <v>2018-08-13 18:00</v>
      </c>
      <c r="AC63" s="26">
        <f>('Run Parameters'!$B$2) - 7</f>
        <v>43318.333333333336</v>
      </c>
      <c r="AD63" s="17" t="s">
        <v>75</v>
      </c>
      <c r="AE63" s="18" t="str">
        <f t="shared" si="81"/>
        <v>LAST_METER-704</v>
      </c>
      <c r="AF63" s="136" t="str">
        <f>'Run Parameters'!$B$2</f>
        <v>2018-08-13 08:00</v>
      </c>
      <c r="AG63" s="13" t="str">
        <f>'Run Parameters'!B$4</f>
        <v>AUTOTEST2</v>
      </c>
      <c r="AH63" s="54" t="str">
        <f t="shared" si="82"/>
        <v>Site_Contact_704</v>
      </c>
      <c r="AI63" s="136" t="str">
        <f>'Run Parameters'!B$2</f>
        <v>2018-08-13 08:00</v>
      </c>
      <c r="AJ63" s="223" t="str">
        <f>'Run Parameters'!B$3</f>
        <v>2018-08-13 18:00</v>
      </c>
      <c r="AK63" s="13" t="s">
        <v>396</v>
      </c>
      <c r="AL63" s="54" t="str">
        <f t="shared" si="83"/>
        <v>01159704</v>
      </c>
      <c r="AM63" s="13" t="str">
        <f t="shared" si="84"/>
        <v>0115704</v>
      </c>
      <c r="AN63" s="15"/>
      <c r="AO63" s="52"/>
      <c r="AP63" s="13">
        <v>1</v>
      </c>
      <c r="AQ63" s="53" t="s">
        <v>49</v>
      </c>
      <c r="AR63" s="15"/>
      <c r="AS63" s="13"/>
      <c r="AT63" s="7"/>
      <c r="AU63" s="7"/>
      <c r="AV63" s="13">
        <f t="shared" si="85"/>
        <v>704</v>
      </c>
      <c r="AW63" s="13" t="s">
        <v>423</v>
      </c>
      <c r="AX63" s="13" t="s">
        <v>420</v>
      </c>
      <c r="AY63" s="13" t="s">
        <v>421</v>
      </c>
      <c r="AZ63" s="15" t="s">
        <v>334</v>
      </c>
      <c r="BA63" s="14" t="s">
        <v>154</v>
      </c>
      <c r="BB63" s="21">
        <v>1</v>
      </c>
      <c r="BC63" s="20">
        <f t="shared" si="86"/>
        <v>704</v>
      </c>
      <c r="BD63" s="16" t="s">
        <v>410</v>
      </c>
      <c r="BE63" s="16" t="s">
        <v>391</v>
      </c>
      <c r="BF63" s="16" t="s">
        <v>390</v>
      </c>
      <c r="BG63" s="20" t="s">
        <v>403</v>
      </c>
      <c r="BH63" s="20" t="str">
        <f t="shared" si="87"/>
        <v>704_1</v>
      </c>
      <c r="BI63" s="21"/>
      <c r="BJ63" s="21" t="str">
        <f t="shared" si="88"/>
        <v>10000000704</v>
      </c>
      <c r="BK63" s="16" t="s">
        <v>51</v>
      </c>
      <c r="BL63" s="16" t="s">
        <v>54</v>
      </c>
      <c r="BM63" s="20" t="s">
        <v>411</v>
      </c>
      <c r="BN63" s="16" t="s">
        <v>51</v>
      </c>
      <c r="BO63" s="20" t="str">
        <f t="shared" si="89"/>
        <v>S05S704</v>
      </c>
      <c r="BP63" s="16" t="s">
        <v>402</v>
      </c>
      <c r="BQ63" s="16" t="s">
        <v>402</v>
      </c>
      <c r="BR63" s="20" t="s">
        <v>161</v>
      </c>
      <c r="BS63" s="16" t="s">
        <v>50</v>
      </c>
      <c r="BT63" s="16" t="s">
        <v>135</v>
      </c>
      <c r="BU63" s="16" t="s">
        <v>393</v>
      </c>
      <c r="BV63" s="16" t="s">
        <v>51</v>
      </c>
      <c r="BW63" s="16" t="s">
        <v>154</v>
      </c>
      <c r="BX63" s="16"/>
      <c r="BY63" s="16"/>
      <c r="BZ63" s="16" t="s">
        <v>157</v>
      </c>
      <c r="CA63" s="16" t="s">
        <v>269</v>
      </c>
      <c r="CB63" s="16" t="s">
        <v>412</v>
      </c>
      <c r="CC63" s="16" t="s">
        <v>781</v>
      </c>
      <c r="CD63" s="16" t="s">
        <v>392</v>
      </c>
      <c r="CE63" s="16" t="s">
        <v>396</v>
      </c>
      <c r="CF63" s="16" t="s">
        <v>398</v>
      </c>
      <c r="CG63" s="16" t="s">
        <v>418</v>
      </c>
      <c r="CH63" s="16" t="s">
        <v>159</v>
      </c>
      <c r="CI63" s="11"/>
      <c r="CJ63" s="11"/>
      <c r="CK63" s="12"/>
      <c r="CL63" s="7"/>
      <c r="CM63" s="7"/>
      <c r="CN63" s="11"/>
      <c r="CO63" s="6"/>
      <c r="CP63" s="7"/>
      <c r="CQ63" s="6"/>
      <c r="CR63" s="11"/>
      <c r="CS63" s="7"/>
      <c r="CT63" s="27"/>
      <c r="CU63" s="11"/>
      <c r="CV63" s="7"/>
      <c r="CW63" s="7"/>
      <c r="CX63" s="7"/>
      <c r="CY63" s="7"/>
      <c r="CZ63" s="7"/>
      <c r="DA63" s="7"/>
      <c r="DB63" s="6"/>
      <c r="DC63" s="7"/>
      <c r="DD63" s="12"/>
      <c r="DE63" s="7"/>
      <c r="DF63" s="7"/>
      <c r="DG63" s="7"/>
      <c r="DH63" s="7"/>
      <c r="DI63" s="7"/>
      <c r="DJ63" s="10"/>
      <c r="DK63" s="12"/>
      <c r="DL63" s="40"/>
      <c r="DM63" s="40"/>
      <c r="DN63" s="38" t="str">
        <f t="shared" si="38"/>
        <v>DS_Pass-704</v>
      </c>
      <c r="DO63" s="40"/>
      <c r="DP63" s="40"/>
      <c r="DQ63" s="40"/>
      <c r="DR63" s="41"/>
      <c r="DS63" s="41"/>
      <c r="DT63" s="40"/>
      <c r="DU63" s="40"/>
      <c r="DV63" s="40"/>
      <c r="DW63" s="41"/>
      <c r="DX63" s="40"/>
      <c r="DY63" s="40"/>
      <c r="DZ63" s="37" t="s">
        <v>402</v>
      </c>
      <c r="EA63" s="39"/>
      <c r="EB63" s="37"/>
      <c r="EC63" s="37"/>
      <c r="ED63" s="16"/>
      <c r="EE63" s="1"/>
      <c r="EF63" s="55"/>
    </row>
    <row r="64" spans="1:136">
      <c r="A64" s="219" t="s">
        <v>904</v>
      </c>
      <c r="B64" s="219" t="s">
        <v>892</v>
      </c>
      <c r="C64" s="219" t="s">
        <v>865</v>
      </c>
      <c r="D64" s="13">
        <f>'Run Parameters'!$B$1 + ROW()-1</f>
        <v>705</v>
      </c>
      <c r="E64" s="15" t="s">
        <v>47</v>
      </c>
      <c r="F64" s="18" t="s">
        <v>403</v>
      </c>
      <c r="G64" s="13" t="str">
        <f t="shared" si="73"/>
        <v>Access Dtls-705</v>
      </c>
      <c r="H64" s="15" t="s">
        <v>275</v>
      </c>
      <c r="I64" s="13" t="str">
        <f>("MR. Test_63_EXCH2_"&amp;D64&amp;"")</f>
        <v>MR. Test_63_EXCH2_705</v>
      </c>
      <c r="J64" s="18"/>
      <c r="K64" s="19" t="s">
        <v>425</v>
      </c>
      <c r="L64" s="13" t="str">
        <f t="shared" si="74"/>
        <v>Cust. Ref-705</v>
      </c>
      <c r="M64" s="15" t="s">
        <v>48</v>
      </c>
      <c r="N64" s="15" t="s">
        <v>425</v>
      </c>
      <c r="O64" s="13"/>
      <c r="P64" s="13" t="str">
        <f t="shared" si="75"/>
        <v>SN-705</v>
      </c>
      <c r="Q64" s="13" t="str">
        <f t="shared" si="76"/>
        <v>SI-705</v>
      </c>
      <c r="R64" s="13" t="str">
        <f t="shared" si="77"/>
        <v>SE-705</v>
      </c>
      <c r="S64" s="54" t="str">
        <f t="shared" si="78"/>
        <v>Prev_RA-705</v>
      </c>
      <c r="T64" s="54" t="str">
        <f t="shared" si="79"/>
        <v>Prev_Comms-705</v>
      </c>
      <c r="U64" s="17" t="s">
        <v>75</v>
      </c>
      <c r="V64" s="15" t="s">
        <v>401</v>
      </c>
      <c r="W64" s="17" t="s">
        <v>75</v>
      </c>
      <c r="X64" s="15" t="s">
        <v>396</v>
      </c>
      <c r="Y64" s="13" t="str">
        <f t="shared" si="80"/>
        <v>Forward Add-705</v>
      </c>
      <c r="Z64" s="15" t="s">
        <v>401</v>
      </c>
      <c r="AA64" s="136" t="str">
        <f>'Run Parameters'!$B$2</f>
        <v>2018-08-13 08:00</v>
      </c>
      <c r="AB64" s="223" t="str">
        <f>'Run Parameters'!B$3</f>
        <v>2018-08-13 18:00</v>
      </c>
      <c r="AC64" s="26">
        <f>('Run Parameters'!$B$2) - 7</f>
        <v>43318.333333333336</v>
      </c>
      <c r="AD64" s="17" t="s">
        <v>75</v>
      </c>
      <c r="AE64" s="18" t="str">
        <f t="shared" si="81"/>
        <v>LAST_METER-705</v>
      </c>
      <c r="AF64" s="136" t="str">
        <f>'Run Parameters'!$B$2</f>
        <v>2018-08-13 08:00</v>
      </c>
      <c r="AG64" s="13" t="str">
        <f>'Run Parameters'!B$4</f>
        <v>AUTOTEST2</v>
      </c>
      <c r="AH64" s="54" t="str">
        <f t="shared" si="82"/>
        <v>Site_Contact_705</v>
      </c>
      <c r="AI64" s="136" t="str">
        <f>'Run Parameters'!B$2</f>
        <v>2018-08-13 08:00</v>
      </c>
      <c r="AJ64" s="223" t="str">
        <f>'Run Parameters'!B$3</f>
        <v>2018-08-13 18:00</v>
      </c>
      <c r="AK64" s="13" t="s">
        <v>396</v>
      </c>
      <c r="AL64" s="54" t="str">
        <f t="shared" si="83"/>
        <v>01159705</v>
      </c>
      <c r="AM64" s="13" t="str">
        <f t="shared" si="84"/>
        <v>0115705</v>
      </c>
      <c r="AN64" s="15"/>
      <c r="AO64" s="52"/>
      <c r="AP64" s="13">
        <v>1</v>
      </c>
      <c r="AQ64" s="53" t="s">
        <v>49</v>
      </c>
      <c r="AR64" s="15"/>
      <c r="AS64" s="13"/>
      <c r="AT64" s="7"/>
      <c r="AU64" s="7"/>
      <c r="AV64" s="13">
        <f t="shared" si="85"/>
        <v>705</v>
      </c>
      <c r="AW64" s="13" t="s">
        <v>423</v>
      </c>
      <c r="AX64" s="13" t="s">
        <v>420</v>
      </c>
      <c r="AY64" s="13" t="s">
        <v>421</v>
      </c>
      <c r="AZ64" s="15" t="s">
        <v>334</v>
      </c>
      <c r="BA64" s="14" t="s">
        <v>154</v>
      </c>
      <c r="BB64" s="21">
        <v>1</v>
      </c>
      <c r="BC64" s="20">
        <f t="shared" si="86"/>
        <v>705</v>
      </c>
      <c r="BD64" s="16" t="s">
        <v>410</v>
      </c>
      <c r="BE64" s="16" t="s">
        <v>391</v>
      </c>
      <c r="BF64" s="16" t="s">
        <v>390</v>
      </c>
      <c r="BG64" s="20" t="s">
        <v>403</v>
      </c>
      <c r="BH64" s="20" t="str">
        <f t="shared" si="87"/>
        <v>705_1</v>
      </c>
      <c r="BI64" s="21"/>
      <c r="BJ64" s="21" t="str">
        <f t="shared" si="88"/>
        <v>10000000705</v>
      </c>
      <c r="BK64" s="16" t="s">
        <v>51</v>
      </c>
      <c r="BL64" s="16" t="s">
        <v>54</v>
      </c>
      <c r="BM64" s="20" t="s">
        <v>411</v>
      </c>
      <c r="BN64" s="16" t="s">
        <v>51</v>
      </c>
      <c r="BO64" s="20" t="str">
        <f t="shared" si="89"/>
        <v>S05S705</v>
      </c>
      <c r="BP64" s="16" t="s">
        <v>402</v>
      </c>
      <c r="BQ64" s="16" t="s">
        <v>402</v>
      </c>
      <c r="BR64" s="20" t="s">
        <v>161</v>
      </c>
      <c r="BS64" s="16" t="s">
        <v>50</v>
      </c>
      <c r="BT64" s="16" t="s">
        <v>135</v>
      </c>
      <c r="BU64" s="16" t="s">
        <v>393</v>
      </c>
      <c r="BV64" s="16" t="s">
        <v>51</v>
      </c>
      <c r="BW64" s="16" t="s">
        <v>154</v>
      </c>
      <c r="BX64" s="16"/>
      <c r="BY64" s="16"/>
      <c r="BZ64" s="16" t="s">
        <v>157</v>
      </c>
      <c r="CA64" s="16" t="s">
        <v>269</v>
      </c>
      <c r="CB64" s="16" t="s">
        <v>412</v>
      </c>
      <c r="CC64" s="16" t="s">
        <v>781</v>
      </c>
      <c r="CD64" s="16" t="s">
        <v>392</v>
      </c>
      <c r="CE64" s="16" t="s">
        <v>396</v>
      </c>
      <c r="CF64" s="16" t="s">
        <v>398</v>
      </c>
      <c r="CG64" s="16" t="s">
        <v>418</v>
      </c>
      <c r="CH64" s="16" t="s">
        <v>159</v>
      </c>
      <c r="CI64" s="11"/>
      <c r="CJ64" s="11"/>
      <c r="CK64" s="12"/>
      <c r="CL64" s="7"/>
      <c r="CM64" s="7"/>
      <c r="CN64" s="11"/>
      <c r="CO64" s="6"/>
      <c r="CP64" s="7"/>
      <c r="CQ64" s="6"/>
      <c r="CR64" s="11"/>
      <c r="CS64" s="7"/>
      <c r="CT64" s="27"/>
      <c r="CU64" s="11"/>
      <c r="CV64" s="7"/>
      <c r="CW64" s="7"/>
      <c r="CX64" s="7"/>
      <c r="CY64" s="7"/>
      <c r="CZ64" s="7"/>
      <c r="DA64" s="7"/>
      <c r="DB64" s="6"/>
      <c r="DC64" s="7"/>
      <c r="DD64" s="12"/>
      <c r="DE64" s="7"/>
      <c r="DF64" s="7"/>
      <c r="DG64" s="7"/>
      <c r="DH64" s="7"/>
      <c r="DI64" s="7"/>
      <c r="DJ64" s="10"/>
      <c r="DK64" s="12"/>
      <c r="DL64" s="40"/>
      <c r="DM64" s="40"/>
      <c r="DN64" s="38" t="str">
        <f t="shared" si="38"/>
        <v>DS_Pass-705</v>
      </c>
      <c r="DO64" s="40"/>
      <c r="DP64" s="40"/>
      <c r="DQ64" s="40"/>
      <c r="DR64" s="41"/>
      <c r="DS64" s="41"/>
      <c r="DT64" s="40"/>
      <c r="DU64" s="40"/>
      <c r="DV64" s="40"/>
      <c r="DW64" s="41"/>
      <c r="DX64" s="40"/>
      <c r="DY64" s="40"/>
      <c r="DZ64" s="37" t="s">
        <v>402</v>
      </c>
      <c r="EA64" s="39"/>
      <c r="EB64" s="37"/>
      <c r="EC64" s="37"/>
      <c r="ED64" s="16"/>
      <c r="EE64" s="1"/>
      <c r="EF64" s="55"/>
    </row>
    <row r="65" spans="1:136">
      <c r="A65" s="219" t="s">
        <v>905</v>
      </c>
      <c r="B65" s="219" t="s">
        <v>868</v>
      </c>
      <c r="C65" s="219" t="s">
        <v>865</v>
      </c>
      <c r="D65" s="13">
        <f>'Run Parameters'!$B$1 + ROW()-1</f>
        <v>706</v>
      </c>
      <c r="E65" s="15" t="s">
        <v>47</v>
      </c>
      <c r="F65" s="18" t="s">
        <v>403</v>
      </c>
      <c r="G65" s="13" t="str">
        <f t="shared" si="73"/>
        <v>Access Dtls-706</v>
      </c>
      <c r="H65" s="15" t="s">
        <v>275</v>
      </c>
      <c r="I65" s="13" t="str">
        <f>("MR. Test_64_EXCH2_"&amp;D65&amp;"")</f>
        <v>MR. Test_64_EXCH2_706</v>
      </c>
      <c r="J65" s="18"/>
      <c r="K65" s="19" t="s">
        <v>425</v>
      </c>
      <c r="L65" s="13" t="str">
        <f t="shared" si="74"/>
        <v>Cust. Ref-706</v>
      </c>
      <c r="M65" s="15" t="s">
        <v>48</v>
      </c>
      <c r="N65" s="15" t="s">
        <v>425</v>
      </c>
      <c r="O65" s="13"/>
      <c r="P65" s="13" t="str">
        <f t="shared" si="75"/>
        <v>SN-706</v>
      </c>
      <c r="Q65" s="13" t="str">
        <f t="shared" si="76"/>
        <v>SI-706</v>
      </c>
      <c r="R65" s="13" t="str">
        <f t="shared" si="77"/>
        <v>SE-706</v>
      </c>
      <c r="S65" s="54" t="str">
        <f t="shared" si="78"/>
        <v>Prev_RA-706</v>
      </c>
      <c r="T65" s="54" t="str">
        <f t="shared" si="79"/>
        <v>Prev_Comms-706</v>
      </c>
      <c r="U65" s="17" t="s">
        <v>75</v>
      </c>
      <c r="V65" s="15" t="s">
        <v>401</v>
      </c>
      <c r="W65" s="17" t="s">
        <v>75</v>
      </c>
      <c r="X65" s="15" t="s">
        <v>396</v>
      </c>
      <c r="Y65" s="13" t="str">
        <f t="shared" si="80"/>
        <v>Forward Add-706</v>
      </c>
      <c r="Z65" s="15" t="s">
        <v>401</v>
      </c>
      <c r="AA65" s="136" t="str">
        <f>'Run Parameters'!$B$2</f>
        <v>2018-08-13 08:00</v>
      </c>
      <c r="AB65" s="223" t="str">
        <f>'Run Parameters'!B$3</f>
        <v>2018-08-13 18:00</v>
      </c>
      <c r="AC65" s="26">
        <f>('Run Parameters'!$B$2) - 7</f>
        <v>43318.333333333336</v>
      </c>
      <c r="AD65" s="17" t="s">
        <v>75</v>
      </c>
      <c r="AE65" s="18" t="str">
        <f t="shared" si="81"/>
        <v>LAST_METER-706</v>
      </c>
      <c r="AF65" s="136" t="str">
        <f>'Run Parameters'!$B$2</f>
        <v>2018-08-13 08:00</v>
      </c>
      <c r="AG65" s="13" t="str">
        <f>'Run Parameters'!B$4</f>
        <v>AUTOTEST2</v>
      </c>
      <c r="AH65" s="54" t="str">
        <f t="shared" si="82"/>
        <v>Site_Contact_706</v>
      </c>
      <c r="AI65" s="136" t="str">
        <f>'Run Parameters'!B$2</f>
        <v>2018-08-13 08:00</v>
      </c>
      <c r="AJ65" s="223" t="str">
        <f>'Run Parameters'!B$3</f>
        <v>2018-08-13 18:00</v>
      </c>
      <c r="AK65" s="13" t="s">
        <v>396</v>
      </c>
      <c r="AL65" s="54" t="str">
        <f t="shared" si="83"/>
        <v>01159706</v>
      </c>
      <c r="AM65" s="13" t="str">
        <f t="shared" si="84"/>
        <v>0115706</v>
      </c>
      <c r="AN65" s="15"/>
      <c r="AO65" s="52"/>
      <c r="AP65" s="13">
        <v>1</v>
      </c>
      <c r="AQ65" s="53" t="s">
        <v>49</v>
      </c>
      <c r="AR65" s="15"/>
      <c r="AS65" s="13"/>
      <c r="AT65" s="7"/>
      <c r="AU65" s="7"/>
      <c r="AV65" s="13">
        <f t="shared" si="85"/>
        <v>706</v>
      </c>
      <c r="AW65" s="13" t="s">
        <v>423</v>
      </c>
      <c r="AX65" s="13" t="s">
        <v>420</v>
      </c>
      <c r="AY65" s="13" t="s">
        <v>421</v>
      </c>
      <c r="AZ65" s="15" t="s">
        <v>334</v>
      </c>
      <c r="BA65" s="14" t="s">
        <v>154</v>
      </c>
      <c r="BB65" s="21">
        <v>1</v>
      </c>
      <c r="BC65" s="20">
        <f t="shared" si="86"/>
        <v>706</v>
      </c>
      <c r="BD65" s="16" t="s">
        <v>410</v>
      </c>
      <c r="BE65" s="16" t="s">
        <v>391</v>
      </c>
      <c r="BF65" s="16" t="s">
        <v>390</v>
      </c>
      <c r="BG65" s="20" t="s">
        <v>403</v>
      </c>
      <c r="BH65" s="20" t="str">
        <f t="shared" si="87"/>
        <v>706_1</v>
      </c>
      <c r="BI65" s="21"/>
      <c r="BJ65" s="21" t="str">
        <f t="shared" si="88"/>
        <v>10000000706</v>
      </c>
      <c r="BK65" s="16" t="s">
        <v>51</v>
      </c>
      <c r="BL65" s="16" t="s">
        <v>54</v>
      </c>
      <c r="BM65" s="20" t="s">
        <v>411</v>
      </c>
      <c r="BN65" s="16" t="s">
        <v>51</v>
      </c>
      <c r="BO65" s="20" t="str">
        <f t="shared" si="89"/>
        <v>S05S706</v>
      </c>
      <c r="BP65" s="16" t="s">
        <v>402</v>
      </c>
      <c r="BQ65" s="16" t="s">
        <v>402</v>
      </c>
      <c r="BR65" s="20" t="s">
        <v>161</v>
      </c>
      <c r="BS65" s="16" t="s">
        <v>50</v>
      </c>
      <c r="BT65" s="16" t="s">
        <v>135</v>
      </c>
      <c r="BU65" s="16" t="s">
        <v>393</v>
      </c>
      <c r="BV65" s="16" t="s">
        <v>51</v>
      </c>
      <c r="BW65" s="16" t="s">
        <v>154</v>
      </c>
      <c r="BX65" s="16"/>
      <c r="BY65" s="16"/>
      <c r="BZ65" s="16" t="s">
        <v>157</v>
      </c>
      <c r="CA65" s="16" t="s">
        <v>269</v>
      </c>
      <c r="CB65" s="16" t="s">
        <v>412</v>
      </c>
      <c r="CC65" s="16" t="s">
        <v>781</v>
      </c>
      <c r="CD65" s="16" t="s">
        <v>392</v>
      </c>
      <c r="CE65" s="16" t="s">
        <v>396</v>
      </c>
      <c r="CF65" s="16" t="s">
        <v>398</v>
      </c>
      <c r="CG65" s="16" t="s">
        <v>418</v>
      </c>
      <c r="CH65" s="16" t="s">
        <v>159</v>
      </c>
      <c r="CI65" s="11"/>
      <c r="CJ65" s="11"/>
      <c r="CK65" s="12"/>
      <c r="CL65" s="7"/>
      <c r="CM65" s="7"/>
      <c r="CN65" s="11"/>
      <c r="CO65" s="6"/>
      <c r="CP65" s="7"/>
      <c r="CQ65" s="6"/>
      <c r="CR65" s="11"/>
      <c r="CS65" s="7"/>
      <c r="CT65" s="27"/>
      <c r="CU65" s="11"/>
      <c r="CV65" s="7"/>
      <c r="CW65" s="7"/>
      <c r="CX65" s="7"/>
      <c r="CY65" s="7"/>
      <c r="CZ65" s="7"/>
      <c r="DA65" s="7"/>
      <c r="DB65" s="6"/>
      <c r="DC65" s="7"/>
      <c r="DD65" s="12"/>
      <c r="DE65" s="7"/>
      <c r="DF65" s="7"/>
      <c r="DG65" s="7"/>
      <c r="DH65" s="7"/>
      <c r="DI65" s="7"/>
      <c r="DJ65" s="10"/>
      <c r="DK65" s="12"/>
      <c r="DL65" s="40"/>
      <c r="DM65" s="40"/>
      <c r="DN65" s="38" t="str">
        <f t="shared" si="38"/>
        <v>DS_Pass-706</v>
      </c>
      <c r="DO65" s="40"/>
      <c r="DP65" s="40"/>
      <c r="DQ65" s="40"/>
      <c r="DR65" s="41"/>
      <c r="DS65" s="41"/>
      <c r="DT65" s="40"/>
      <c r="DU65" s="40"/>
      <c r="DV65" s="40"/>
      <c r="DW65" s="41"/>
      <c r="DX65" s="40"/>
      <c r="DY65" s="40"/>
      <c r="DZ65" s="37" t="s">
        <v>402</v>
      </c>
      <c r="EA65" s="39"/>
      <c r="EB65" s="37"/>
      <c r="EC65" s="37"/>
      <c r="ED65" s="16"/>
      <c r="EE65" s="1"/>
      <c r="EF65" s="55"/>
    </row>
    <row r="66" spans="1:136">
      <c r="A66" s="219" t="s">
        <v>906</v>
      </c>
      <c r="B66" s="219" t="s">
        <v>892</v>
      </c>
      <c r="C66" s="219" t="s">
        <v>865</v>
      </c>
      <c r="D66" s="13">
        <f>'Run Parameters'!$B$1 + ROW()-1</f>
        <v>707</v>
      </c>
      <c r="E66" s="15" t="s">
        <v>47</v>
      </c>
      <c r="F66" s="18" t="s">
        <v>403</v>
      </c>
      <c r="G66" s="13" t="str">
        <f t="shared" si="73"/>
        <v>Access Dtls-707</v>
      </c>
      <c r="H66" s="15" t="s">
        <v>275</v>
      </c>
      <c r="I66" s="13" t="str">
        <f>("MR. Test_65_EXCH2_"&amp;D66&amp;"")</f>
        <v>MR. Test_65_EXCH2_707</v>
      </c>
      <c r="J66" s="18"/>
      <c r="K66" s="19" t="s">
        <v>425</v>
      </c>
      <c r="L66" s="13" t="str">
        <f t="shared" si="74"/>
        <v>Cust. Ref-707</v>
      </c>
      <c r="M66" s="15" t="s">
        <v>48</v>
      </c>
      <c r="N66" s="15" t="s">
        <v>425</v>
      </c>
      <c r="O66" s="13"/>
      <c r="P66" s="13" t="str">
        <f t="shared" si="75"/>
        <v>SN-707</v>
      </c>
      <c r="Q66" s="13" t="str">
        <f t="shared" si="76"/>
        <v>SI-707</v>
      </c>
      <c r="R66" s="13" t="str">
        <f t="shared" si="77"/>
        <v>SE-707</v>
      </c>
      <c r="S66" s="54" t="str">
        <f t="shared" si="78"/>
        <v>Prev_RA-707</v>
      </c>
      <c r="T66" s="54" t="str">
        <f t="shared" si="79"/>
        <v>Prev_Comms-707</v>
      </c>
      <c r="U66" s="17" t="s">
        <v>75</v>
      </c>
      <c r="V66" s="15" t="s">
        <v>401</v>
      </c>
      <c r="W66" s="17" t="s">
        <v>75</v>
      </c>
      <c r="X66" s="15" t="s">
        <v>396</v>
      </c>
      <c r="Y66" s="13" t="str">
        <f t="shared" si="80"/>
        <v>Forward Add-707</v>
      </c>
      <c r="Z66" s="15" t="s">
        <v>401</v>
      </c>
      <c r="AA66" s="136" t="str">
        <f>'Run Parameters'!$B$2</f>
        <v>2018-08-13 08:00</v>
      </c>
      <c r="AB66" s="223" t="str">
        <f>'Run Parameters'!B$3</f>
        <v>2018-08-13 18:00</v>
      </c>
      <c r="AC66" s="26">
        <f>('Run Parameters'!$B$2) - 7</f>
        <v>43318.333333333336</v>
      </c>
      <c r="AD66" s="17" t="s">
        <v>75</v>
      </c>
      <c r="AE66" s="18" t="str">
        <f t="shared" si="81"/>
        <v>LAST_METER-707</v>
      </c>
      <c r="AF66" s="136" t="str">
        <f>'Run Parameters'!$B$2</f>
        <v>2018-08-13 08:00</v>
      </c>
      <c r="AG66" s="13" t="str">
        <f>'Run Parameters'!B$4</f>
        <v>AUTOTEST2</v>
      </c>
      <c r="AH66" s="54" t="str">
        <f t="shared" si="82"/>
        <v>Site_Contact_707</v>
      </c>
      <c r="AI66" s="136" t="str">
        <f>'Run Parameters'!B$2</f>
        <v>2018-08-13 08:00</v>
      </c>
      <c r="AJ66" s="223" t="str">
        <f>'Run Parameters'!B$3</f>
        <v>2018-08-13 18:00</v>
      </c>
      <c r="AK66" s="13" t="s">
        <v>396</v>
      </c>
      <c r="AL66" s="54" t="str">
        <f t="shared" si="83"/>
        <v>01159707</v>
      </c>
      <c r="AM66" s="13" t="str">
        <f t="shared" si="84"/>
        <v>0115707</v>
      </c>
      <c r="AN66" s="15"/>
      <c r="AO66" s="52"/>
      <c r="AP66" s="13">
        <v>1</v>
      </c>
      <c r="AQ66" s="53" t="s">
        <v>49</v>
      </c>
      <c r="AR66" s="15"/>
      <c r="AS66" s="13"/>
      <c r="AT66" s="7"/>
      <c r="AU66" s="7"/>
      <c r="AV66" s="13">
        <f t="shared" si="85"/>
        <v>707</v>
      </c>
      <c r="AW66" s="13" t="s">
        <v>423</v>
      </c>
      <c r="AX66" s="13" t="s">
        <v>420</v>
      </c>
      <c r="AY66" s="13" t="s">
        <v>421</v>
      </c>
      <c r="AZ66" s="15" t="s">
        <v>334</v>
      </c>
      <c r="BA66" s="14" t="s">
        <v>154</v>
      </c>
      <c r="BB66" s="21">
        <v>1</v>
      </c>
      <c r="BC66" s="20">
        <f t="shared" si="86"/>
        <v>707</v>
      </c>
      <c r="BD66" s="16" t="s">
        <v>410</v>
      </c>
      <c r="BE66" s="16" t="s">
        <v>391</v>
      </c>
      <c r="BF66" s="16" t="s">
        <v>390</v>
      </c>
      <c r="BG66" s="20" t="s">
        <v>403</v>
      </c>
      <c r="BH66" s="20" t="str">
        <f t="shared" si="87"/>
        <v>707_1</v>
      </c>
      <c r="BI66" s="21"/>
      <c r="BJ66" s="21" t="str">
        <f t="shared" si="88"/>
        <v>10000000707</v>
      </c>
      <c r="BK66" s="16" t="s">
        <v>51</v>
      </c>
      <c r="BL66" s="16" t="s">
        <v>54</v>
      </c>
      <c r="BM66" s="20" t="s">
        <v>411</v>
      </c>
      <c r="BN66" s="16" t="s">
        <v>51</v>
      </c>
      <c r="BO66" s="20" t="str">
        <f t="shared" si="89"/>
        <v>S05S707</v>
      </c>
      <c r="BP66" s="16" t="s">
        <v>402</v>
      </c>
      <c r="BQ66" s="16" t="s">
        <v>402</v>
      </c>
      <c r="BR66" s="20" t="s">
        <v>161</v>
      </c>
      <c r="BS66" s="16" t="s">
        <v>50</v>
      </c>
      <c r="BT66" s="16" t="s">
        <v>135</v>
      </c>
      <c r="BU66" s="16" t="s">
        <v>393</v>
      </c>
      <c r="BV66" s="16" t="s">
        <v>51</v>
      </c>
      <c r="BW66" s="16" t="s">
        <v>154</v>
      </c>
      <c r="BX66" s="16"/>
      <c r="BY66" s="16"/>
      <c r="BZ66" s="16" t="s">
        <v>157</v>
      </c>
      <c r="CA66" s="16" t="s">
        <v>269</v>
      </c>
      <c r="CB66" s="16" t="s">
        <v>412</v>
      </c>
      <c r="CC66" s="16" t="s">
        <v>781</v>
      </c>
      <c r="CD66" s="16" t="s">
        <v>392</v>
      </c>
      <c r="CE66" s="16" t="s">
        <v>396</v>
      </c>
      <c r="CF66" s="16" t="s">
        <v>398</v>
      </c>
      <c r="CG66" s="16" t="s">
        <v>418</v>
      </c>
      <c r="CH66" s="16" t="s">
        <v>159</v>
      </c>
      <c r="CI66" s="11"/>
      <c r="CJ66" s="11"/>
      <c r="CK66" s="12"/>
      <c r="CL66" s="7"/>
      <c r="CM66" s="7"/>
      <c r="CN66" s="11"/>
      <c r="CO66" s="6"/>
      <c r="CP66" s="7"/>
      <c r="CQ66" s="6"/>
      <c r="CR66" s="11"/>
      <c r="CS66" s="7"/>
      <c r="CT66" s="27"/>
      <c r="CU66" s="11"/>
      <c r="CV66" s="7"/>
      <c r="CW66" s="7"/>
      <c r="CX66" s="7"/>
      <c r="CY66" s="7"/>
      <c r="CZ66" s="7"/>
      <c r="DA66" s="7"/>
      <c r="DB66" s="6"/>
      <c r="DC66" s="7"/>
      <c r="DD66" s="12"/>
      <c r="DE66" s="7"/>
      <c r="DF66" s="7"/>
      <c r="DG66" s="7"/>
      <c r="DH66" s="7"/>
      <c r="DI66" s="7"/>
      <c r="DJ66" s="10"/>
      <c r="DK66" s="12"/>
      <c r="DL66" s="40"/>
      <c r="DM66" s="40"/>
      <c r="DN66" s="38" t="str">
        <f t="shared" si="38"/>
        <v>DS_Pass-707</v>
      </c>
      <c r="DO66" s="40"/>
      <c r="DP66" s="40"/>
      <c r="DQ66" s="40"/>
      <c r="DR66" s="41"/>
      <c r="DS66" s="41"/>
      <c r="DT66" s="40"/>
      <c r="DU66" s="40"/>
      <c r="DV66" s="40"/>
      <c r="DW66" s="41"/>
      <c r="DX66" s="40"/>
      <c r="DY66" s="40"/>
      <c r="DZ66" s="37" t="s">
        <v>402</v>
      </c>
      <c r="EA66" s="39"/>
      <c r="EB66" s="37"/>
      <c r="EC66" s="37"/>
      <c r="ED66" s="16"/>
      <c r="EE66" s="1"/>
      <c r="EF66" s="55"/>
    </row>
    <row r="67" spans="1:136">
      <c r="A67" s="219" t="s">
        <v>907</v>
      </c>
      <c r="B67" s="219" t="s">
        <v>868</v>
      </c>
      <c r="C67" s="219" t="s">
        <v>865</v>
      </c>
      <c r="D67" s="13">
        <f>'Run Parameters'!$B$1 + ROW()-1</f>
        <v>708</v>
      </c>
      <c r="E67" s="15" t="s">
        <v>47</v>
      </c>
      <c r="F67" s="18" t="s">
        <v>403</v>
      </c>
      <c r="G67" s="13" t="str">
        <f t="shared" si="73"/>
        <v>Access Dtls-708</v>
      </c>
      <c r="H67" s="15" t="s">
        <v>275</v>
      </c>
      <c r="I67" s="13" t="str">
        <f>("MR. Test_66_EXCH2_"&amp;D67&amp;"")</f>
        <v>MR. Test_66_EXCH2_708</v>
      </c>
      <c r="J67" s="18"/>
      <c r="K67" s="19" t="s">
        <v>425</v>
      </c>
      <c r="L67" s="13" t="str">
        <f t="shared" si="74"/>
        <v>Cust. Ref-708</v>
      </c>
      <c r="M67" s="15" t="s">
        <v>48</v>
      </c>
      <c r="N67" s="15" t="s">
        <v>425</v>
      </c>
      <c r="O67" s="13"/>
      <c r="P67" s="13" t="str">
        <f t="shared" si="75"/>
        <v>SN-708</v>
      </c>
      <c r="Q67" s="13" t="str">
        <f t="shared" si="76"/>
        <v>SI-708</v>
      </c>
      <c r="R67" s="13" t="str">
        <f t="shared" si="77"/>
        <v>SE-708</v>
      </c>
      <c r="S67" s="54" t="str">
        <f t="shared" si="78"/>
        <v>Prev_RA-708</v>
      </c>
      <c r="T67" s="54" t="str">
        <f t="shared" si="79"/>
        <v>Prev_Comms-708</v>
      </c>
      <c r="U67" s="17" t="s">
        <v>75</v>
      </c>
      <c r="V67" s="15" t="s">
        <v>401</v>
      </c>
      <c r="W67" s="17" t="s">
        <v>75</v>
      </c>
      <c r="X67" s="15" t="s">
        <v>396</v>
      </c>
      <c r="Y67" s="13" t="str">
        <f t="shared" si="80"/>
        <v>Forward Add-708</v>
      </c>
      <c r="Z67" s="15" t="s">
        <v>401</v>
      </c>
      <c r="AA67" s="136" t="str">
        <f>'Run Parameters'!$B$2</f>
        <v>2018-08-13 08:00</v>
      </c>
      <c r="AB67" s="223" t="str">
        <f>'Run Parameters'!B$3</f>
        <v>2018-08-13 18:00</v>
      </c>
      <c r="AC67" s="26">
        <f>('Run Parameters'!$B$2) - 7</f>
        <v>43318.333333333336</v>
      </c>
      <c r="AD67" s="17" t="s">
        <v>75</v>
      </c>
      <c r="AE67" s="18" t="str">
        <f t="shared" si="81"/>
        <v>LAST_METER-708</v>
      </c>
      <c r="AF67" s="136" t="str">
        <f>'Run Parameters'!$B$2</f>
        <v>2018-08-13 08:00</v>
      </c>
      <c r="AG67" s="13" t="str">
        <f>'Run Parameters'!B$4</f>
        <v>AUTOTEST2</v>
      </c>
      <c r="AH67" s="54" t="str">
        <f t="shared" si="82"/>
        <v>Site_Contact_708</v>
      </c>
      <c r="AI67" s="136" t="str">
        <f>'Run Parameters'!B$2</f>
        <v>2018-08-13 08:00</v>
      </c>
      <c r="AJ67" s="223" t="str">
        <f>'Run Parameters'!B$3</f>
        <v>2018-08-13 18:00</v>
      </c>
      <c r="AK67" s="13" t="s">
        <v>396</v>
      </c>
      <c r="AL67" s="54" t="str">
        <f t="shared" si="83"/>
        <v>01159708</v>
      </c>
      <c r="AM67" s="13" t="str">
        <f t="shared" si="84"/>
        <v>0115708</v>
      </c>
      <c r="AN67" s="15"/>
      <c r="AO67" s="52"/>
      <c r="AP67" s="13">
        <v>1</v>
      </c>
      <c r="AQ67" s="53" t="s">
        <v>49</v>
      </c>
      <c r="AR67" s="15"/>
      <c r="AS67" s="13"/>
      <c r="AT67" s="7"/>
      <c r="AU67" s="7"/>
      <c r="AV67" s="13">
        <f t="shared" si="85"/>
        <v>708</v>
      </c>
      <c r="AW67" s="13" t="s">
        <v>423</v>
      </c>
      <c r="AX67" s="13" t="s">
        <v>420</v>
      </c>
      <c r="AY67" s="13" t="s">
        <v>421</v>
      </c>
      <c r="AZ67" s="15" t="s">
        <v>334</v>
      </c>
      <c r="BA67" s="14" t="s">
        <v>154</v>
      </c>
      <c r="BB67" s="21">
        <v>1</v>
      </c>
      <c r="BC67" s="20">
        <f t="shared" si="86"/>
        <v>708</v>
      </c>
      <c r="BD67" s="16" t="s">
        <v>410</v>
      </c>
      <c r="BE67" s="16" t="s">
        <v>391</v>
      </c>
      <c r="BF67" s="16" t="s">
        <v>390</v>
      </c>
      <c r="BG67" s="20" t="s">
        <v>403</v>
      </c>
      <c r="BH67" s="20" t="str">
        <f t="shared" si="87"/>
        <v>708_1</v>
      </c>
      <c r="BI67" s="21"/>
      <c r="BJ67" s="21" t="str">
        <f t="shared" si="88"/>
        <v>10000000708</v>
      </c>
      <c r="BK67" s="16" t="s">
        <v>51</v>
      </c>
      <c r="BL67" s="16" t="s">
        <v>54</v>
      </c>
      <c r="BM67" s="20" t="s">
        <v>411</v>
      </c>
      <c r="BN67" s="16" t="s">
        <v>51</v>
      </c>
      <c r="BO67" s="20" t="str">
        <f t="shared" si="89"/>
        <v>S05S708</v>
      </c>
      <c r="BP67" s="16" t="s">
        <v>402</v>
      </c>
      <c r="BQ67" s="16" t="s">
        <v>402</v>
      </c>
      <c r="BR67" s="20" t="s">
        <v>161</v>
      </c>
      <c r="BS67" s="16" t="s">
        <v>50</v>
      </c>
      <c r="BT67" s="16" t="s">
        <v>135</v>
      </c>
      <c r="BU67" s="16" t="s">
        <v>393</v>
      </c>
      <c r="BV67" s="16" t="s">
        <v>51</v>
      </c>
      <c r="BW67" s="16" t="s">
        <v>154</v>
      </c>
      <c r="BX67" s="16"/>
      <c r="BY67" s="16"/>
      <c r="BZ67" s="16" t="s">
        <v>157</v>
      </c>
      <c r="CA67" s="16" t="s">
        <v>269</v>
      </c>
      <c r="CB67" s="16" t="s">
        <v>412</v>
      </c>
      <c r="CC67" s="16" t="s">
        <v>781</v>
      </c>
      <c r="CD67" s="16" t="s">
        <v>392</v>
      </c>
      <c r="CE67" s="16" t="s">
        <v>396</v>
      </c>
      <c r="CF67" s="16" t="s">
        <v>398</v>
      </c>
      <c r="CG67" s="16" t="s">
        <v>418</v>
      </c>
      <c r="CH67" s="16" t="s">
        <v>159</v>
      </c>
      <c r="CI67" s="11"/>
      <c r="CJ67" s="11"/>
      <c r="CK67" s="12"/>
      <c r="CL67" s="7"/>
      <c r="CM67" s="7"/>
      <c r="CN67" s="11"/>
      <c r="CO67" s="6"/>
      <c r="CP67" s="7"/>
      <c r="CQ67" s="6"/>
      <c r="CR67" s="11"/>
      <c r="CS67" s="7"/>
      <c r="CT67" s="27"/>
      <c r="CU67" s="11"/>
      <c r="CV67" s="7"/>
      <c r="CW67" s="7"/>
      <c r="CX67" s="7"/>
      <c r="CY67" s="7"/>
      <c r="CZ67" s="7"/>
      <c r="DA67" s="7"/>
      <c r="DB67" s="6"/>
      <c r="DC67" s="7"/>
      <c r="DD67" s="12"/>
      <c r="DE67" s="7"/>
      <c r="DF67" s="7"/>
      <c r="DG67" s="7"/>
      <c r="DH67" s="7"/>
      <c r="DI67" s="7"/>
      <c r="DJ67" s="10"/>
      <c r="DK67" s="12"/>
      <c r="DL67" s="40"/>
      <c r="DM67" s="40"/>
      <c r="DN67" s="38" t="str">
        <f t="shared" si="38"/>
        <v>DS_Pass-708</v>
      </c>
      <c r="DO67" s="40"/>
      <c r="DP67" s="40"/>
      <c r="DQ67" s="40"/>
      <c r="DR67" s="41"/>
      <c r="DS67" s="41"/>
      <c r="DT67" s="40"/>
      <c r="DU67" s="40"/>
      <c r="DV67" s="40"/>
      <c r="DW67" s="41"/>
      <c r="DX67" s="40"/>
      <c r="DY67" s="40"/>
      <c r="DZ67" s="37" t="s">
        <v>402</v>
      </c>
      <c r="EA67" s="39"/>
      <c r="EB67" s="37"/>
      <c r="EC67" s="37"/>
      <c r="ED67" s="16"/>
      <c r="EE67" s="1"/>
      <c r="EF67" s="55"/>
    </row>
    <row r="68" spans="1:136">
      <c r="A68" s="219" t="s">
        <v>908</v>
      </c>
      <c r="B68" s="219" t="s">
        <v>892</v>
      </c>
      <c r="C68" s="219" t="s">
        <v>865</v>
      </c>
      <c r="D68" s="13">
        <f>'Run Parameters'!$B$1 + ROW()-1</f>
        <v>709</v>
      </c>
      <c r="E68" s="15" t="s">
        <v>47</v>
      </c>
      <c r="F68" s="18" t="s">
        <v>403</v>
      </c>
      <c r="G68" s="13" t="str">
        <f t="shared" si="73"/>
        <v>Access Dtls-709</v>
      </c>
      <c r="H68" s="15" t="s">
        <v>275</v>
      </c>
      <c r="I68" s="13" t="str">
        <f>("MR. Test_67_EXCH2_"&amp;D68&amp;"")</f>
        <v>MR. Test_67_EXCH2_709</v>
      </c>
      <c r="J68" s="18"/>
      <c r="K68" s="19" t="s">
        <v>425</v>
      </c>
      <c r="L68" s="13" t="str">
        <f t="shared" si="74"/>
        <v>Cust. Ref-709</v>
      </c>
      <c r="M68" s="15" t="s">
        <v>48</v>
      </c>
      <c r="N68" s="15" t="s">
        <v>425</v>
      </c>
      <c r="O68" s="13"/>
      <c r="P68" s="13" t="str">
        <f t="shared" si="75"/>
        <v>SN-709</v>
      </c>
      <c r="Q68" s="13" t="str">
        <f t="shared" si="76"/>
        <v>SI-709</v>
      </c>
      <c r="R68" s="13" t="str">
        <f t="shared" si="77"/>
        <v>SE-709</v>
      </c>
      <c r="S68" s="54" t="str">
        <f t="shared" si="78"/>
        <v>Prev_RA-709</v>
      </c>
      <c r="T68" s="54" t="str">
        <f t="shared" si="79"/>
        <v>Prev_Comms-709</v>
      </c>
      <c r="U68" s="17" t="s">
        <v>75</v>
      </c>
      <c r="V68" s="15" t="s">
        <v>401</v>
      </c>
      <c r="W68" s="17" t="s">
        <v>75</v>
      </c>
      <c r="X68" s="15" t="s">
        <v>396</v>
      </c>
      <c r="Y68" s="13" t="str">
        <f t="shared" si="80"/>
        <v>Forward Add-709</v>
      </c>
      <c r="Z68" s="15" t="s">
        <v>401</v>
      </c>
      <c r="AA68" s="136" t="str">
        <f>'Run Parameters'!$B$2</f>
        <v>2018-08-13 08:00</v>
      </c>
      <c r="AB68" s="223" t="str">
        <f>'Run Parameters'!B$3</f>
        <v>2018-08-13 18:00</v>
      </c>
      <c r="AC68" s="26">
        <f>('Run Parameters'!$B$2) - 7</f>
        <v>43318.333333333336</v>
      </c>
      <c r="AD68" s="17" t="s">
        <v>75</v>
      </c>
      <c r="AE68" s="18" t="str">
        <f t="shared" si="81"/>
        <v>LAST_METER-709</v>
      </c>
      <c r="AF68" s="136" t="str">
        <f>'Run Parameters'!$B$2</f>
        <v>2018-08-13 08:00</v>
      </c>
      <c r="AG68" s="13" t="str">
        <f>'Run Parameters'!B$4</f>
        <v>AUTOTEST2</v>
      </c>
      <c r="AH68" s="54" t="str">
        <f t="shared" si="82"/>
        <v>Site_Contact_709</v>
      </c>
      <c r="AI68" s="136" t="str">
        <f>'Run Parameters'!B$2</f>
        <v>2018-08-13 08:00</v>
      </c>
      <c r="AJ68" s="223" t="str">
        <f>'Run Parameters'!B$3</f>
        <v>2018-08-13 18:00</v>
      </c>
      <c r="AK68" s="13" t="s">
        <v>396</v>
      </c>
      <c r="AL68" s="54" t="str">
        <f t="shared" si="83"/>
        <v>01159709</v>
      </c>
      <c r="AM68" s="13" t="str">
        <f t="shared" si="84"/>
        <v>0115709</v>
      </c>
      <c r="AN68" s="15"/>
      <c r="AO68" s="52"/>
      <c r="AP68" s="13">
        <v>1</v>
      </c>
      <c r="AQ68" s="53" t="s">
        <v>49</v>
      </c>
      <c r="AR68" s="15"/>
      <c r="AS68" s="13"/>
      <c r="AT68" s="7"/>
      <c r="AU68" s="7"/>
      <c r="AV68" s="13">
        <f t="shared" si="85"/>
        <v>709</v>
      </c>
      <c r="AW68" s="13" t="s">
        <v>423</v>
      </c>
      <c r="AX68" s="13" t="s">
        <v>420</v>
      </c>
      <c r="AY68" s="13" t="s">
        <v>421</v>
      </c>
      <c r="AZ68" s="15" t="s">
        <v>334</v>
      </c>
      <c r="BA68" s="14" t="s">
        <v>154</v>
      </c>
      <c r="BB68" s="21">
        <v>1</v>
      </c>
      <c r="BC68" s="20">
        <f t="shared" si="86"/>
        <v>709</v>
      </c>
      <c r="BD68" s="16" t="s">
        <v>410</v>
      </c>
      <c r="BE68" s="16" t="s">
        <v>391</v>
      </c>
      <c r="BF68" s="16" t="s">
        <v>390</v>
      </c>
      <c r="BG68" s="20" t="s">
        <v>403</v>
      </c>
      <c r="BH68" s="20" t="str">
        <f t="shared" si="87"/>
        <v>709_1</v>
      </c>
      <c r="BI68" s="21"/>
      <c r="BJ68" s="21" t="str">
        <f t="shared" si="88"/>
        <v>10000000709</v>
      </c>
      <c r="BK68" s="16" t="s">
        <v>51</v>
      </c>
      <c r="BL68" s="16" t="s">
        <v>54</v>
      </c>
      <c r="BM68" s="20" t="s">
        <v>411</v>
      </c>
      <c r="BN68" s="16" t="s">
        <v>51</v>
      </c>
      <c r="BO68" s="20" t="str">
        <f t="shared" si="89"/>
        <v>S05S709</v>
      </c>
      <c r="BP68" s="16" t="s">
        <v>402</v>
      </c>
      <c r="BQ68" s="16" t="s">
        <v>402</v>
      </c>
      <c r="BR68" s="20" t="s">
        <v>161</v>
      </c>
      <c r="BS68" s="16" t="s">
        <v>50</v>
      </c>
      <c r="BT68" s="16" t="s">
        <v>135</v>
      </c>
      <c r="BU68" s="16" t="s">
        <v>393</v>
      </c>
      <c r="BV68" s="16" t="s">
        <v>51</v>
      </c>
      <c r="BW68" s="16" t="s">
        <v>154</v>
      </c>
      <c r="BX68" s="16"/>
      <c r="BY68" s="16"/>
      <c r="BZ68" s="16" t="s">
        <v>157</v>
      </c>
      <c r="CA68" s="16" t="s">
        <v>269</v>
      </c>
      <c r="CB68" s="16" t="s">
        <v>412</v>
      </c>
      <c r="CC68" s="16" t="s">
        <v>781</v>
      </c>
      <c r="CD68" s="16" t="s">
        <v>392</v>
      </c>
      <c r="CE68" s="16" t="s">
        <v>396</v>
      </c>
      <c r="CF68" s="16" t="s">
        <v>398</v>
      </c>
      <c r="CG68" s="16" t="s">
        <v>418</v>
      </c>
      <c r="CH68" s="16" t="s">
        <v>159</v>
      </c>
      <c r="CI68" s="11"/>
      <c r="CJ68" s="11"/>
      <c r="CK68" s="12"/>
      <c r="CL68" s="7"/>
      <c r="CM68" s="7"/>
      <c r="CN68" s="11"/>
      <c r="CO68" s="6"/>
      <c r="CP68" s="7"/>
      <c r="CQ68" s="6"/>
      <c r="CR68" s="11"/>
      <c r="CS68" s="7"/>
      <c r="CT68" s="27"/>
      <c r="CU68" s="11"/>
      <c r="CV68" s="7"/>
      <c r="CW68" s="7"/>
      <c r="CX68" s="7"/>
      <c r="CY68" s="7"/>
      <c r="CZ68" s="7"/>
      <c r="DA68" s="7"/>
      <c r="DB68" s="6"/>
      <c r="DC68" s="7"/>
      <c r="DD68" s="12"/>
      <c r="DE68" s="7"/>
      <c r="DF68" s="7"/>
      <c r="DG68" s="7"/>
      <c r="DH68" s="7"/>
      <c r="DI68" s="7"/>
      <c r="DJ68" s="10"/>
      <c r="DK68" s="12"/>
      <c r="DL68" s="40"/>
      <c r="DM68" s="40"/>
      <c r="DN68" s="38" t="str">
        <f t="shared" si="38"/>
        <v>DS_Pass-709</v>
      </c>
      <c r="DO68" s="40"/>
      <c r="DP68" s="40"/>
      <c r="DQ68" s="40"/>
      <c r="DR68" s="41"/>
      <c r="DS68" s="41"/>
      <c r="DT68" s="40"/>
      <c r="DU68" s="40"/>
      <c r="DV68" s="40"/>
      <c r="DW68" s="41"/>
      <c r="DX68" s="40"/>
      <c r="DY68" s="40"/>
      <c r="DZ68" s="37" t="s">
        <v>402</v>
      </c>
      <c r="EA68" s="39"/>
      <c r="EB68" s="37"/>
      <c r="EC68" s="37"/>
      <c r="ED68" s="16"/>
      <c r="EE68" s="1"/>
      <c r="EF68" s="55"/>
    </row>
    <row r="69" spans="1:136">
      <c r="A69" s="219" t="s">
        <v>909</v>
      </c>
      <c r="B69" s="219" t="s">
        <v>868</v>
      </c>
      <c r="C69" s="219" t="s">
        <v>865</v>
      </c>
      <c r="D69" s="13">
        <f>'Run Parameters'!$B$1 + ROW()-1</f>
        <v>710</v>
      </c>
      <c r="E69" s="15" t="s">
        <v>47</v>
      </c>
      <c r="F69" s="18" t="s">
        <v>403</v>
      </c>
      <c r="G69" s="13" t="str">
        <f t="shared" si="73"/>
        <v>Access Dtls-710</v>
      </c>
      <c r="H69" s="15" t="s">
        <v>275</v>
      </c>
      <c r="I69" s="13" t="str">
        <f>("MR. Test_68_EXCH2_"&amp;D69&amp;"")</f>
        <v>MR. Test_68_EXCH2_710</v>
      </c>
      <c r="J69" s="18"/>
      <c r="K69" s="19" t="s">
        <v>425</v>
      </c>
      <c r="L69" s="13" t="str">
        <f t="shared" si="74"/>
        <v>Cust. Ref-710</v>
      </c>
      <c r="M69" s="15" t="s">
        <v>48</v>
      </c>
      <c r="N69" s="15" t="s">
        <v>425</v>
      </c>
      <c r="O69" s="13"/>
      <c r="P69" s="13" t="str">
        <f t="shared" si="75"/>
        <v>SN-710</v>
      </c>
      <c r="Q69" s="13" t="str">
        <f t="shared" si="76"/>
        <v>SI-710</v>
      </c>
      <c r="R69" s="13" t="str">
        <f t="shared" si="77"/>
        <v>SE-710</v>
      </c>
      <c r="S69" s="54" t="str">
        <f t="shared" si="78"/>
        <v>Prev_RA-710</v>
      </c>
      <c r="T69" s="54" t="str">
        <f t="shared" si="79"/>
        <v>Prev_Comms-710</v>
      </c>
      <c r="U69" s="17" t="s">
        <v>75</v>
      </c>
      <c r="V69" s="15" t="s">
        <v>401</v>
      </c>
      <c r="W69" s="17" t="s">
        <v>75</v>
      </c>
      <c r="X69" s="15" t="s">
        <v>396</v>
      </c>
      <c r="Y69" s="13" t="str">
        <f t="shared" si="80"/>
        <v>Forward Add-710</v>
      </c>
      <c r="Z69" s="15" t="s">
        <v>401</v>
      </c>
      <c r="AA69" s="136" t="str">
        <f>'Run Parameters'!$B$2</f>
        <v>2018-08-13 08:00</v>
      </c>
      <c r="AB69" s="223" t="str">
        <f>'Run Parameters'!B$3</f>
        <v>2018-08-13 18:00</v>
      </c>
      <c r="AC69" s="26">
        <f>('Run Parameters'!$B$2) - 7</f>
        <v>43318.333333333336</v>
      </c>
      <c r="AD69" s="17" t="s">
        <v>75</v>
      </c>
      <c r="AE69" s="18" t="str">
        <f t="shared" si="81"/>
        <v>LAST_METER-710</v>
      </c>
      <c r="AF69" s="136" t="str">
        <f>'Run Parameters'!$B$2</f>
        <v>2018-08-13 08:00</v>
      </c>
      <c r="AG69" s="13" t="str">
        <f>'Run Parameters'!B$4</f>
        <v>AUTOTEST2</v>
      </c>
      <c r="AH69" s="54" t="str">
        <f t="shared" si="82"/>
        <v>Site_Contact_710</v>
      </c>
      <c r="AI69" s="136" t="str">
        <f>'Run Parameters'!B$2</f>
        <v>2018-08-13 08:00</v>
      </c>
      <c r="AJ69" s="223" t="str">
        <f>'Run Parameters'!B$3</f>
        <v>2018-08-13 18:00</v>
      </c>
      <c r="AK69" s="13" t="s">
        <v>396</v>
      </c>
      <c r="AL69" s="54" t="str">
        <f t="shared" si="83"/>
        <v>01159710</v>
      </c>
      <c r="AM69" s="13" t="str">
        <f t="shared" si="84"/>
        <v>0115710</v>
      </c>
      <c r="AN69" s="15"/>
      <c r="AO69" s="52"/>
      <c r="AP69" s="13">
        <v>1</v>
      </c>
      <c r="AQ69" s="53" t="s">
        <v>49</v>
      </c>
      <c r="AR69" s="15"/>
      <c r="AS69" s="13"/>
      <c r="AT69" s="7"/>
      <c r="AU69" s="7"/>
      <c r="AV69" s="13">
        <f t="shared" si="85"/>
        <v>710</v>
      </c>
      <c r="AW69" s="13" t="s">
        <v>423</v>
      </c>
      <c r="AX69" s="13" t="s">
        <v>420</v>
      </c>
      <c r="AY69" s="13" t="s">
        <v>421</v>
      </c>
      <c r="AZ69" s="15" t="s">
        <v>334</v>
      </c>
      <c r="BA69" s="14" t="s">
        <v>154</v>
      </c>
      <c r="BB69" s="21">
        <v>1</v>
      </c>
      <c r="BC69" s="20">
        <f t="shared" si="86"/>
        <v>710</v>
      </c>
      <c r="BD69" s="16" t="s">
        <v>410</v>
      </c>
      <c r="BE69" s="16" t="s">
        <v>391</v>
      </c>
      <c r="BF69" s="16" t="s">
        <v>390</v>
      </c>
      <c r="BG69" s="20" t="s">
        <v>403</v>
      </c>
      <c r="BH69" s="20" t="str">
        <f t="shared" si="87"/>
        <v>710_1</v>
      </c>
      <c r="BI69" s="21"/>
      <c r="BJ69" s="21" t="str">
        <f t="shared" si="88"/>
        <v>10000000710</v>
      </c>
      <c r="BK69" s="16" t="s">
        <v>51</v>
      </c>
      <c r="BL69" s="16" t="s">
        <v>54</v>
      </c>
      <c r="BM69" s="20" t="s">
        <v>411</v>
      </c>
      <c r="BN69" s="16" t="s">
        <v>51</v>
      </c>
      <c r="BO69" s="20" t="str">
        <f t="shared" si="89"/>
        <v>S05S710</v>
      </c>
      <c r="BP69" s="16" t="s">
        <v>402</v>
      </c>
      <c r="BQ69" s="16" t="s">
        <v>402</v>
      </c>
      <c r="BR69" s="20" t="s">
        <v>161</v>
      </c>
      <c r="BS69" s="16" t="s">
        <v>50</v>
      </c>
      <c r="BT69" s="16" t="s">
        <v>135</v>
      </c>
      <c r="BU69" s="16" t="s">
        <v>393</v>
      </c>
      <c r="BV69" s="16" t="s">
        <v>51</v>
      </c>
      <c r="BW69" s="16" t="s">
        <v>154</v>
      </c>
      <c r="BX69" s="16"/>
      <c r="BY69" s="16"/>
      <c r="BZ69" s="16" t="s">
        <v>157</v>
      </c>
      <c r="CA69" s="16" t="s">
        <v>269</v>
      </c>
      <c r="CB69" s="16" t="s">
        <v>412</v>
      </c>
      <c r="CC69" s="16" t="s">
        <v>781</v>
      </c>
      <c r="CD69" s="16" t="s">
        <v>392</v>
      </c>
      <c r="CE69" s="16" t="s">
        <v>396</v>
      </c>
      <c r="CF69" s="16" t="s">
        <v>398</v>
      </c>
      <c r="CG69" s="16" t="s">
        <v>418</v>
      </c>
      <c r="CH69" s="16" t="s">
        <v>159</v>
      </c>
      <c r="CI69" s="11"/>
      <c r="CJ69" s="11"/>
      <c r="CK69" s="12"/>
      <c r="CL69" s="7"/>
      <c r="CM69" s="7"/>
      <c r="CN69" s="11"/>
      <c r="CO69" s="6"/>
      <c r="CP69" s="7"/>
      <c r="CQ69" s="6"/>
      <c r="CR69" s="11"/>
      <c r="CS69" s="7"/>
      <c r="CT69" s="27"/>
      <c r="CU69" s="11"/>
      <c r="CV69" s="7"/>
      <c r="CW69" s="7"/>
      <c r="CX69" s="7"/>
      <c r="CY69" s="7"/>
      <c r="CZ69" s="7"/>
      <c r="DA69" s="7"/>
      <c r="DB69" s="6"/>
      <c r="DC69" s="7"/>
      <c r="DD69" s="12"/>
      <c r="DE69" s="7"/>
      <c r="DF69" s="7"/>
      <c r="DG69" s="7"/>
      <c r="DH69" s="7"/>
      <c r="DI69" s="7"/>
      <c r="DJ69" s="10"/>
      <c r="DK69" s="12"/>
      <c r="DL69" s="40"/>
      <c r="DM69" s="40"/>
      <c r="DN69" s="38" t="str">
        <f t="shared" si="38"/>
        <v>DS_Pass-710</v>
      </c>
      <c r="DO69" s="40"/>
      <c r="DP69" s="40"/>
      <c r="DQ69" s="40"/>
      <c r="DR69" s="41"/>
      <c r="DS69" s="41"/>
      <c r="DT69" s="40"/>
      <c r="DU69" s="40"/>
      <c r="DV69" s="40"/>
      <c r="DW69" s="41"/>
      <c r="DX69" s="40"/>
      <c r="DY69" s="40"/>
      <c r="DZ69" s="37" t="s">
        <v>402</v>
      </c>
      <c r="EA69" s="39"/>
      <c r="EB69" s="37"/>
      <c r="EC69" s="37"/>
      <c r="ED69" s="16"/>
      <c r="EE69" s="1"/>
      <c r="EF69" s="55"/>
    </row>
    <row r="70" spans="1:136" s="244" customFormat="1">
      <c r="A70" s="230" t="s">
        <v>910</v>
      </c>
      <c r="B70" s="230" t="s">
        <v>892</v>
      </c>
      <c r="C70" s="230" t="s">
        <v>865</v>
      </c>
      <c r="D70" s="231">
        <f>'Run Parameters'!$B$1 + ROW()-1</f>
        <v>711</v>
      </c>
      <c r="E70" s="232" t="s">
        <v>47</v>
      </c>
      <c r="F70" s="233" t="s">
        <v>403</v>
      </c>
      <c r="G70" s="231" t="str">
        <f t="shared" si="73"/>
        <v>Access Dtls-711</v>
      </c>
      <c r="H70" s="232" t="s">
        <v>275</v>
      </c>
      <c r="I70" s="13" t="str">
        <f>("MR. Test_69_EXCH2_"&amp;D70&amp;"")</f>
        <v>MR. Test_69_EXCH2_711</v>
      </c>
      <c r="J70" s="233"/>
      <c r="K70" s="230" t="s">
        <v>425</v>
      </c>
      <c r="L70" s="231" t="str">
        <f t="shared" si="74"/>
        <v>Cust. Ref-711</v>
      </c>
      <c r="M70" s="232" t="s">
        <v>48</v>
      </c>
      <c r="N70" s="232" t="s">
        <v>425</v>
      </c>
      <c r="O70" s="231"/>
      <c r="P70" s="231" t="str">
        <f t="shared" si="75"/>
        <v>SN-711</v>
      </c>
      <c r="Q70" s="231" t="str">
        <f t="shared" si="76"/>
        <v>SI-711</v>
      </c>
      <c r="R70" s="231" t="str">
        <f t="shared" si="77"/>
        <v>SE-711</v>
      </c>
      <c r="S70" s="234" t="str">
        <f t="shared" si="78"/>
        <v>Prev_RA-711</v>
      </c>
      <c r="T70" s="234" t="str">
        <f t="shared" si="79"/>
        <v>Prev_Comms-711</v>
      </c>
      <c r="U70" s="232" t="s">
        <v>75</v>
      </c>
      <c r="V70" s="232" t="s">
        <v>401</v>
      </c>
      <c r="W70" s="232" t="s">
        <v>75</v>
      </c>
      <c r="X70" s="232" t="s">
        <v>396</v>
      </c>
      <c r="Y70" s="231" t="str">
        <f t="shared" si="80"/>
        <v>Forward Add-711</v>
      </c>
      <c r="Z70" s="232" t="s">
        <v>401</v>
      </c>
      <c r="AA70" s="235" t="str">
        <f>'Run Parameters'!$B$2</f>
        <v>2018-08-13 08:00</v>
      </c>
      <c r="AB70" s="236" t="str">
        <f>'Run Parameters'!B$3</f>
        <v>2018-08-13 18:00</v>
      </c>
      <c r="AC70" s="237">
        <f>('Run Parameters'!$B$2) - 7</f>
        <v>43318.333333333336</v>
      </c>
      <c r="AD70" s="232" t="s">
        <v>75</v>
      </c>
      <c r="AE70" s="233" t="str">
        <f t="shared" si="81"/>
        <v>LAST_METER-711</v>
      </c>
      <c r="AF70" s="235" t="str">
        <f>'Run Parameters'!$B$2</f>
        <v>2018-08-13 08:00</v>
      </c>
      <c r="AG70" s="231" t="str">
        <f>'Run Parameters'!B$4</f>
        <v>AUTOTEST2</v>
      </c>
      <c r="AH70" s="234" t="str">
        <f t="shared" si="82"/>
        <v>Site_Contact_711</v>
      </c>
      <c r="AI70" s="235" t="str">
        <f>'Run Parameters'!B$2</f>
        <v>2018-08-13 08:00</v>
      </c>
      <c r="AJ70" s="236" t="str">
        <f>'Run Parameters'!B$3</f>
        <v>2018-08-13 18:00</v>
      </c>
      <c r="AK70" s="231" t="s">
        <v>396</v>
      </c>
      <c r="AL70" s="234" t="str">
        <f t="shared" si="83"/>
        <v>01159711</v>
      </c>
      <c r="AM70" s="231" t="str">
        <f t="shared" si="84"/>
        <v>0115711</v>
      </c>
      <c r="AN70" s="232"/>
      <c r="AO70" s="238"/>
      <c r="AP70" s="231">
        <v>1</v>
      </c>
      <c r="AQ70" s="239" t="s">
        <v>49</v>
      </c>
      <c r="AR70" s="232"/>
      <c r="AS70" s="231"/>
      <c r="AT70" s="240"/>
      <c r="AU70" s="240"/>
      <c r="AV70" s="231">
        <f t="shared" si="85"/>
        <v>711</v>
      </c>
      <c r="AW70" s="231" t="s">
        <v>423</v>
      </c>
      <c r="AX70" s="231" t="s">
        <v>420</v>
      </c>
      <c r="AY70" s="231" t="s">
        <v>421</v>
      </c>
      <c r="AZ70" s="232" t="s">
        <v>334</v>
      </c>
      <c r="BA70" s="240" t="s">
        <v>154</v>
      </c>
      <c r="BB70" s="231">
        <v>1</v>
      </c>
      <c r="BC70" s="233">
        <f t="shared" si="86"/>
        <v>711</v>
      </c>
      <c r="BD70" s="240" t="s">
        <v>410</v>
      </c>
      <c r="BE70" s="240" t="s">
        <v>391</v>
      </c>
      <c r="BF70" s="16" t="s">
        <v>390</v>
      </c>
      <c r="BG70" s="233" t="s">
        <v>403</v>
      </c>
      <c r="BH70" s="233" t="str">
        <f t="shared" si="87"/>
        <v>711_1</v>
      </c>
      <c r="BI70" s="231"/>
      <c r="BJ70" s="231" t="str">
        <f t="shared" si="88"/>
        <v>10000000711</v>
      </c>
      <c r="BK70" s="240" t="s">
        <v>51</v>
      </c>
      <c r="BL70" s="240" t="s">
        <v>54</v>
      </c>
      <c r="BM70" s="233" t="s">
        <v>411</v>
      </c>
      <c r="BN70" s="240" t="s">
        <v>51</v>
      </c>
      <c r="BO70" s="233" t="str">
        <f t="shared" si="89"/>
        <v>S05S711</v>
      </c>
      <c r="BP70" s="240" t="s">
        <v>402</v>
      </c>
      <c r="BQ70" s="240" t="s">
        <v>402</v>
      </c>
      <c r="BR70" s="233" t="s">
        <v>161</v>
      </c>
      <c r="BS70" s="240" t="s">
        <v>50</v>
      </c>
      <c r="BT70" s="240" t="s">
        <v>135</v>
      </c>
      <c r="BU70" s="240" t="s">
        <v>393</v>
      </c>
      <c r="BV70" s="240" t="s">
        <v>51</v>
      </c>
      <c r="BW70" s="240" t="s">
        <v>154</v>
      </c>
      <c r="BX70" s="240"/>
      <c r="BY70" s="240"/>
      <c r="BZ70" s="240" t="s">
        <v>157</v>
      </c>
      <c r="CA70" s="240" t="s">
        <v>269</v>
      </c>
      <c r="CB70" s="240" t="s">
        <v>412</v>
      </c>
      <c r="CC70" s="240" t="s">
        <v>781</v>
      </c>
      <c r="CD70" s="240" t="s">
        <v>392</v>
      </c>
      <c r="CE70" s="240" t="s">
        <v>396</v>
      </c>
      <c r="CF70" s="240" t="s">
        <v>398</v>
      </c>
      <c r="CG70" s="240" t="s">
        <v>418</v>
      </c>
      <c r="CH70" s="240" t="s">
        <v>159</v>
      </c>
      <c r="CI70" s="231"/>
      <c r="CJ70" s="231"/>
      <c r="CK70" s="232"/>
      <c r="CL70" s="240"/>
      <c r="CM70" s="240"/>
      <c r="CN70" s="231"/>
      <c r="CO70" s="233"/>
      <c r="CP70" s="240"/>
      <c r="CQ70" s="233"/>
      <c r="CR70" s="231"/>
      <c r="CS70" s="240"/>
      <c r="CT70" s="241"/>
      <c r="CU70" s="231"/>
      <c r="CV70" s="240"/>
      <c r="CW70" s="240"/>
      <c r="CX70" s="240"/>
      <c r="CY70" s="240"/>
      <c r="CZ70" s="240"/>
      <c r="DA70" s="240"/>
      <c r="DB70" s="233"/>
      <c r="DC70" s="240"/>
      <c r="DD70" s="232"/>
      <c r="DE70" s="240"/>
      <c r="DF70" s="240"/>
      <c r="DG70" s="240"/>
      <c r="DH70" s="240"/>
      <c r="DI70" s="240"/>
      <c r="DJ70" s="242"/>
      <c r="DK70" s="232"/>
      <c r="DL70" s="232"/>
      <c r="DM70" s="232"/>
      <c r="DN70" s="233" t="str">
        <f t="shared" si="38"/>
        <v>DS_Pass-711</v>
      </c>
      <c r="DO70" s="232"/>
      <c r="DP70" s="232"/>
      <c r="DQ70" s="232"/>
      <c r="DR70" s="231"/>
      <c r="DS70" s="231"/>
      <c r="DT70" s="232"/>
      <c r="DU70" s="232"/>
      <c r="DV70" s="232"/>
      <c r="DW70" s="231"/>
      <c r="DX70" s="232"/>
      <c r="DY70" s="232"/>
      <c r="DZ70" s="240" t="s">
        <v>402</v>
      </c>
      <c r="EA70" s="234"/>
      <c r="EB70" s="240"/>
      <c r="EC70" s="240"/>
      <c r="ED70" s="240"/>
      <c r="EE70" s="243"/>
    </row>
    <row r="71" spans="1:136">
      <c r="A71" s="252" t="s">
        <v>1084</v>
      </c>
      <c r="B71" s="219" t="s">
        <v>892</v>
      </c>
      <c r="C71" s="219" t="s">
        <v>865</v>
      </c>
      <c r="D71" s="13">
        <f>'Run Parameters'!$B$1 + ROW()-1</f>
        <v>712</v>
      </c>
      <c r="E71" s="15" t="s">
        <v>47</v>
      </c>
      <c r="F71" s="18" t="s">
        <v>403</v>
      </c>
      <c r="G71" s="13" t="str">
        <f t="shared" si="73"/>
        <v>Access Dtls-712</v>
      </c>
      <c r="H71" s="15" t="s">
        <v>275</v>
      </c>
      <c r="I71" s="13" t="str">
        <f>("MR. Test_70_EXCH2_"&amp;D71&amp;"")</f>
        <v>MR. Test_70_EXCH2_712</v>
      </c>
      <c r="J71" s="18"/>
      <c r="K71" s="19" t="s">
        <v>425</v>
      </c>
      <c r="L71" s="13" t="str">
        <f t="shared" si="74"/>
        <v>Cust. Ref-712</v>
      </c>
      <c r="M71" s="15" t="s">
        <v>48</v>
      </c>
      <c r="N71" s="15" t="s">
        <v>425</v>
      </c>
      <c r="O71" s="13"/>
      <c r="P71" s="13" t="str">
        <f t="shared" si="75"/>
        <v>SN-712</v>
      </c>
      <c r="Q71" s="13" t="str">
        <f t="shared" si="76"/>
        <v>SI-712</v>
      </c>
      <c r="R71" s="13" t="str">
        <f t="shared" si="77"/>
        <v>SE-712</v>
      </c>
      <c r="S71" s="54" t="str">
        <f t="shared" si="78"/>
        <v>Prev_RA-712</v>
      </c>
      <c r="T71" s="54" t="str">
        <f t="shared" si="79"/>
        <v>Prev_Comms-712</v>
      </c>
      <c r="U71" s="17" t="s">
        <v>75</v>
      </c>
      <c r="V71" s="15" t="s">
        <v>401</v>
      </c>
      <c r="W71" s="17" t="s">
        <v>75</v>
      </c>
      <c r="X71" s="15" t="s">
        <v>1081</v>
      </c>
      <c r="Y71" s="13" t="str">
        <f t="shared" si="80"/>
        <v>Forward Add-712</v>
      </c>
      <c r="Z71" s="15" t="s">
        <v>401</v>
      </c>
      <c r="AA71" s="136" t="str">
        <f>'Run Parameters'!$B$2</f>
        <v>2018-08-13 08:00</v>
      </c>
      <c r="AB71" s="223" t="str">
        <f>'Run Parameters'!B$3</f>
        <v>2018-08-13 18:00</v>
      </c>
      <c r="AC71" s="26">
        <f>('Run Parameters'!$B$2) - 7</f>
        <v>43318.333333333336</v>
      </c>
      <c r="AD71" s="17" t="s">
        <v>75</v>
      </c>
      <c r="AE71" s="18" t="str">
        <f t="shared" si="81"/>
        <v>LAST_METER-712</v>
      </c>
      <c r="AF71" s="136" t="str">
        <f>'Run Parameters'!$B$2</f>
        <v>2018-08-13 08:00</v>
      </c>
      <c r="AG71" s="13" t="str">
        <f>'Run Parameters'!B$4</f>
        <v>AUTOTEST2</v>
      </c>
      <c r="AH71" s="54" t="str">
        <f t="shared" si="82"/>
        <v>Site_Contact_712</v>
      </c>
      <c r="AI71" s="136" t="str">
        <f>'Run Parameters'!B$2</f>
        <v>2018-08-13 08:00</v>
      </c>
      <c r="AJ71" s="223" t="str">
        <f>'Run Parameters'!B$3</f>
        <v>2018-08-13 18:00</v>
      </c>
      <c r="AK71" s="13" t="s">
        <v>1081</v>
      </c>
      <c r="AL71" s="54" t="str">
        <f t="shared" si="83"/>
        <v>01159712</v>
      </c>
      <c r="AM71" s="13" t="str">
        <f t="shared" si="84"/>
        <v>0115712</v>
      </c>
      <c r="AN71" s="15"/>
      <c r="AO71" s="52"/>
      <c r="AP71" s="13">
        <v>1</v>
      </c>
      <c r="AQ71" s="53" t="s">
        <v>49</v>
      </c>
      <c r="AR71" s="15"/>
      <c r="AS71" s="13"/>
      <c r="AT71" s="7"/>
      <c r="AU71" s="7"/>
      <c r="AV71" s="13">
        <f t="shared" si="85"/>
        <v>712</v>
      </c>
      <c r="AW71" s="13" t="s">
        <v>423</v>
      </c>
      <c r="AX71" s="13" t="s">
        <v>420</v>
      </c>
      <c r="AY71" s="13" t="s">
        <v>421</v>
      </c>
      <c r="AZ71" s="15" t="s">
        <v>334</v>
      </c>
      <c r="BA71" s="14" t="s">
        <v>154</v>
      </c>
      <c r="BB71" s="21">
        <v>1</v>
      </c>
      <c r="BC71" s="20">
        <f t="shared" si="86"/>
        <v>712</v>
      </c>
      <c r="BD71" s="16" t="s">
        <v>1096</v>
      </c>
      <c r="BE71" s="16" t="s">
        <v>391</v>
      </c>
      <c r="BF71" s="16" t="s">
        <v>390</v>
      </c>
      <c r="BG71" s="20" t="s">
        <v>403</v>
      </c>
      <c r="BH71" s="20" t="str">
        <f t="shared" si="87"/>
        <v>712_1</v>
      </c>
      <c r="BI71" s="21"/>
      <c r="BJ71" s="21" t="str">
        <f t="shared" si="88"/>
        <v>10000000712</v>
      </c>
      <c r="BK71" s="16" t="s">
        <v>51</v>
      </c>
      <c r="BL71" s="16" t="s">
        <v>54</v>
      </c>
      <c r="BM71" s="20" t="s">
        <v>411</v>
      </c>
      <c r="BN71" s="16" t="s">
        <v>51</v>
      </c>
      <c r="BO71" s="20" t="str">
        <f t="shared" si="89"/>
        <v>S05S712</v>
      </c>
      <c r="BP71" s="16" t="s">
        <v>402</v>
      </c>
      <c r="BQ71" s="16" t="s">
        <v>402</v>
      </c>
      <c r="BR71" s="20" t="s">
        <v>161</v>
      </c>
      <c r="BS71" s="16" t="s">
        <v>50</v>
      </c>
      <c r="BT71" s="16" t="s">
        <v>135</v>
      </c>
      <c r="BU71" s="16" t="s">
        <v>393</v>
      </c>
      <c r="BV71" s="16" t="s">
        <v>51</v>
      </c>
      <c r="BW71" s="16" t="s">
        <v>154</v>
      </c>
      <c r="BX71" s="16"/>
      <c r="BY71" s="16"/>
      <c r="BZ71" s="16" t="s">
        <v>157</v>
      </c>
      <c r="CA71" s="16" t="s">
        <v>269</v>
      </c>
      <c r="CB71" s="16" t="s">
        <v>412</v>
      </c>
      <c r="CC71" s="16" t="s">
        <v>781</v>
      </c>
      <c r="CD71" s="16" t="s">
        <v>392</v>
      </c>
      <c r="CE71" s="16" t="s">
        <v>1081</v>
      </c>
      <c r="CF71" s="16" t="s">
        <v>398</v>
      </c>
      <c r="CG71" s="16" t="s">
        <v>418</v>
      </c>
      <c r="CH71" s="16" t="s">
        <v>159</v>
      </c>
      <c r="CI71" s="11"/>
      <c r="CJ71" s="11"/>
      <c r="CK71" s="12"/>
      <c r="CL71" s="7"/>
      <c r="CM71" s="7"/>
      <c r="CN71" s="11"/>
      <c r="CO71" s="6"/>
      <c r="CP71" s="7"/>
      <c r="CQ71" s="6"/>
      <c r="CR71" s="11"/>
      <c r="CS71" s="7"/>
      <c r="CT71" s="27"/>
      <c r="CU71" s="11"/>
      <c r="CV71" s="7"/>
      <c r="CW71" s="7"/>
      <c r="CX71" s="7"/>
      <c r="CY71" s="7"/>
      <c r="CZ71" s="7"/>
      <c r="DA71" s="7"/>
      <c r="DB71" s="6"/>
      <c r="DC71" s="7"/>
      <c r="DD71" s="12"/>
      <c r="DE71" s="7"/>
      <c r="DF71" s="7"/>
      <c r="DG71" s="7"/>
      <c r="DH71" s="7"/>
      <c r="DI71" s="7"/>
      <c r="DJ71" s="10"/>
      <c r="DK71" s="12"/>
      <c r="DL71" s="40"/>
      <c r="DM71" s="40"/>
      <c r="DN71" s="38" t="str">
        <f t="shared" si="38"/>
        <v>DS_Pass-712</v>
      </c>
      <c r="DO71" s="40"/>
      <c r="DP71" s="40"/>
      <c r="DQ71" s="40"/>
      <c r="DR71" s="41"/>
      <c r="DS71" s="41"/>
      <c r="DT71" s="40"/>
      <c r="DU71" s="40"/>
      <c r="DV71" s="40"/>
      <c r="DW71" s="41"/>
      <c r="DX71" s="40"/>
      <c r="DY71" s="40"/>
      <c r="DZ71" s="37" t="s">
        <v>402</v>
      </c>
      <c r="EA71" s="39"/>
      <c r="EB71" s="37"/>
      <c r="EC71" s="37"/>
      <c r="ED71" s="16"/>
      <c r="EE71" s="1"/>
      <c r="EF71" s="55"/>
    </row>
    <row r="72" spans="1:136">
      <c r="A72" s="219" t="s">
        <v>969</v>
      </c>
      <c r="B72" s="219" t="s">
        <v>892</v>
      </c>
      <c r="C72" s="219" t="s">
        <v>865</v>
      </c>
      <c r="D72" s="13">
        <f>'Run Parameters'!$B$1 + ROW()-1</f>
        <v>713</v>
      </c>
      <c r="E72" s="15" t="s">
        <v>47</v>
      </c>
      <c r="F72" s="18" t="s">
        <v>966</v>
      </c>
      <c r="G72" s="13" t="str">
        <f t="shared" ref="G72:G83" si="90">("Access Dtls-" &amp; D72)</f>
        <v>Access Dtls-713</v>
      </c>
      <c r="H72" s="15" t="s">
        <v>275</v>
      </c>
      <c r="I72" s="13" t="str">
        <f>("MR. Test_71_EXCH5_"&amp;D72&amp;"")</f>
        <v>MR. Test_71_EXCH5_713</v>
      </c>
      <c r="J72" s="18"/>
      <c r="K72" s="19" t="s">
        <v>425</v>
      </c>
      <c r="L72" s="13" t="str">
        <f t="shared" ref="L72:L83" si="91">("Cust. Ref-" &amp; D72)</f>
        <v>Cust. Ref-713</v>
      </c>
      <c r="M72" s="15" t="s">
        <v>48</v>
      </c>
      <c r="N72" s="15" t="s">
        <v>425</v>
      </c>
      <c r="O72" s="13"/>
      <c r="P72" s="13" t="str">
        <f t="shared" ref="P72:P83" si="92">("SN-" &amp; D72)</f>
        <v>SN-713</v>
      </c>
      <c r="Q72" s="13" t="str">
        <f t="shared" ref="Q72:Q83" si="93">("SI-" &amp; D72)</f>
        <v>SI-713</v>
      </c>
      <c r="R72" s="13" t="str">
        <f t="shared" ref="R72:R83" si="94">("SE-" &amp; D72)</f>
        <v>SE-713</v>
      </c>
      <c r="S72" s="54" t="str">
        <f t="shared" ref="S72:S83" si="95">("Prev_RA-" &amp; D72)</f>
        <v>Prev_RA-713</v>
      </c>
      <c r="T72" s="54" t="str">
        <f t="shared" ref="T72:T83" si="96">("Prev_Comms-" &amp; D72)</f>
        <v>Prev_Comms-713</v>
      </c>
      <c r="U72" s="17" t="s">
        <v>75</v>
      </c>
      <c r="V72" s="15" t="s">
        <v>401</v>
      </c>
      <c r="W72" s="17" t="s">
        <v>75</v>
      </c>
      <c r="X72" s="15" t="s">
        <v>396</v>
      </c>
      <c r="Y72" s="13" t="str">
        <f t="shared" ref="Y72:Y83" si="97">("Forward Add-" &amp; D72)</f>
        <v>Forward Add-713</v>
      </c>
      <c r="Z72" s="15" t="s">
        <v>401</v>
      </c>
      <c r="AA72" s="136" t="str">
        <f>'Run Parameters'!$B$2</f>
        <v>2018-08-13 08:00</v>
      </c>
      <c r="AB72" s="223" t="str">
        <f>'Run Parameters'!B$3</f>
        <v>2018-08-13 18:00</v>
      </c>
      <c r="AC72" s="26">
        <f>('Run Parameters'!$B$2) - 7</f>
        <v>43318.333333333336</v>
      </c>
      <c r="AD72" s="17" t="s">
        <v>75</v>
      </c>
      <c r="AE72" s="18" t="str">
        <f t="shared" ref="AE72:AE83" si="98">("LAST_METER-" &amp; D72)</f>
        <v>LAST_METER-713</v>
      </c>
      <c r="AF72" s="136" t="str">
        <f>'Run Parameters'!$B$2</f>
        <v>2018-08-13 08:00</v>
      </c>
      <c r="AG72" s="13" t="str">
        <f>'Run Parameters'!B$4</f>
        <v>AUTOTEST2</v>
      </c>
      <c r="AH72" s="54" t="str">
        <f t="shared" ref="AH72:AH83" si="99">("Site_Contact_" &amp; D72)</f>
        <v>Site_Contact_713</v>
      </c>
      <c r="AI72" s="136" t="str">
        <f>'Run Parameters'!B$2</f>
        <v>2018-08-13 08:00</v>
      </c>
      <c r="AJ72" s="223" t="str">
        <f>'Run Parameters'!B$3</f>
        <v>2018-08-13 18:00</v>
      </c>
      <c r="AK72" s="13" t="s">
        <v>396</v>
      </c>
      <c r="AL72" s="54" t="str">
        <f t="shared" ref="AL72:AL83" si="100">"01159" &amp; D72</f>
        <v>01159713</v>
      </c>
      <c r="AM72" s="13" t="str">
        <f t="shared" ref="AM72:AM83" si="101">("0115" &amp; D72)</f>
        <v>0115713</v>
      </c>
      <c r="AN72" s="15"/>
      <c r="AO72" s="52"/>
      <c r="AP72" s="13">
        <v>1</v>
      </c>
      <c r="AQ72" s="53" t="s">
        <v>49</v>
      </c>
      <c r="AR72" s="15"/>
      <c r="AS72" s="13"/>
      <c r="AT72" s="7"/>
      <c r="AU72" s="7"/>
      <c r="AV72" s="13">
        <f t="shared" ref="AV72:AV83" si="102">D72</f>
        <v>713</v>
      </c>
      <c r="AW72" s="13" t="s">
        <v>422</v>
      </c>
      <c r="AX72" s="13" t="s">
        <v>420</v>
      </c>
      <c r="AY72" s="13" t="s">
        <v>421</v>
      </c>
      <c r="AZ72" s="15" t="s">
        <v>334</v>
      </c>
      <c r="BA72" s="14" t="s">
        <v>154</v>
      </c>
      <c r="BB72" s="21">
        <v>1</v>
      </c>
      <c r="BC72" s="20">
        <f t="shared" ref="BC72:BC83" si="103">D72</f>
        <v>713</v>
      </c>
      <c r="BD72" s="16" t="s">
        <v>967</v>
      </c>
      <c r="BE72" s="16" t="s">
        <v>391</v>
      </c>
      <c r="BF72" s="16" t="s">
        <v>391</v>
      </c>
      <c r="BG72" s="20" t="s">
        <v>966</v>
      </c>
      <c r="BH72" s="20" t="str">
        <f t="shared" ref="BH72:BH83" si="104">BC72&amp;"_"&amp;BB72</f>
        <v>713_1</v>
      </c>
      <c r="BI72" s="21"/>
      <c r="BJ72" s="21" t="str">
        <f t="shared" ref="BJ72:BJ83" si="105">"10000000" &amp; D72</f>
        <v>10000000713</v>
      </c>
      <c r="BK72" s="16" t="s">
        <v>51</v>
      </c>
      <c r="BL72" s="16" t="s">
        <v>54</v>
      </c>
      <c r="BM72" s="20" t="s">
        <v>411</v>
      </c>
      <c r="BN72" s="16" t="s">
        <v>51</v>
      </c>
      <c r="BO72" s="20" t="str">
        <f t="shared" ref="BO72:BO83" si="106">"S05S" &amp; D72</f>
        <v>S05S713</v>
      </c>
      <c r="BP72" s="16" t="s">
        <v>402</v>
      </c>
      <c r="BQ72" s="16" t="s">
        <v>402</v>
      </c>
      <c r="BR72" s="20" t="s">
        <v>161</v>
      </c>
      <c r="BS72" s="16" t="s">
        <v>50</v>
      </c>
      <c r="BT72" s="16" t="s">
        <v>135</v>
      </c>
      <c r="BU72" s="16" t="s">
        <v>393</v>
      </c>
      <c r="BV72" s="16" t="s">
        <v>51</v>
      </c>
      <c r="BW72" s="16" t="s">
        <v>154</v>
      </c>
      <c r="BX72" s="16"/>
      <c r="BY72" s="16"/>
      <c r="BZ72" s="16" t="s">
        <v>157</v>
      </c>
      <c r="CA72" s="16" t="s">
        <v>269</v>
      </c>
      <c r="CB72" s="16" t="s">
        <v>412</v>
      </c>
      <c r="CC72" s="16" t="s">
        <v>781</v>
      </c>
      <c r="CD72" s="16" t="s">
        <v>392</v>
      </c>
      <c r="CE72" s="16" t="s">
        <v>396</v>
      </c>
      <c r="CF72" s="16" t="s">
        <v>398</v>
      </c>
      <c r="CG72" s="16" t="s">
        <v>968</v>
      </c>
      <c r="CH72" s="16" t="s">
        <v>159</v>
      </c>
      <c r="CI72" s="11"/>
      <c r="CJ72" s="11"/>
      <c r="CK72" s="12"/>
      <c r="CL72" s="7"/>
      <c r="CM72" s="7"/>
      <c r="CN72" s="11"/>
      <c r="CO72" s="6"/>
      <c r="CP72" s="7"/>
      <c r="CQ72" s="6"/>
      <c r="CR72" s="11"/>
      <c r="CS72" s="7"/>
      <c r="CT72" s="27"/>
      <c r="CU72" s="11"/>
      <c r="CV72" s="7"/>
      <c r="CW72" s="7"/>
      <c r="CX72" s="7"/>
      <c r="CY72" s="7"/>
      <c r="CZ72" s="7"/>
      <c r="DA72" s="7"/>
      <c r="DB72" s="6"/>
      <c r="DC72" s="7"/>
      <c r="DD72" s="12"/>
      <c r="DE72" s="7"/>
      <c r="DF72" s="7"/>
      <c r="DG72" s="7"/>
      <c r="DH72" s="7"/>
      <c r="DI72" s="7"/>
      <c r="DJ72" s="10"/>
      <c r="DK72" s="12"/>
      <c r="DL72" s="40"/>
      <c r="DM72" s="40"/>
      <c r="DN72" s="38" t="str">
        <f t="shared" si="38"/>
        <v>DS_Pass-713</v>
      </c>
      <c r="DO72" s="40"/>
      <c r="DP72" s="40"/>
      <c r="DQ72" s="40"/>
      <c r="DR72" s="41"/>
      <c r="DS72" s="41"/>
      <c r="DT72" s="40"/>
      <c r="DU72" s="40"/>
      <c r="DV72" s="40"/>
      <c r="DW72" s="41"/>
      <c r="DX72" s="40"/>
      <c r="DY72" s="40"/>
      <c r="DZ72" s="37" t="s">
        <v>402</v>
      </c>
      <c r="EA72" s="39"/>
      <c r="EB72" s="37"/>
      <c r="EC72" s="37"/>
      <c r="ED72" s="16"/>
      <c r="EE72" s="1"/>
      <c r="EF72" s="55"/>
    </row>
    <row r="73" spans="1:136">
      <c r="A73" s="219" t="s">
        <v>970</v>
      </c>
      <c r="B73" s="219" t="s">
        <v>868</v>
      </c>
      <c r="C73" s="219" t="s">
        <v>865</v>
      </c>
      <c r="D73" s="13">
        <f>'Run Parameters'!$B$1 + ROW()-1</f>
        <v>714</v>
      </c>
      <c r="E73" s="15" t="s">
        <v>47</v>
      </c>
      <c r="F73" s="18" t="s">
        <v>966</v>
      </c>
      <c r="G73" s="13" t="str">
        <f t="shared" si="90"/>
        <v>Access Dtls-714</v>
      </c>
      <c r="H73" s="15" t="s">
        <v>275</v>
      </c>
      <c r="I73" s="13" t="str">
        <f>("MR. Test_72_EXCH5_"&amp;D73&amp;"")</f>
        <v>MR. Test_72_EXCH5_714</v>
      </c>
      <c r="J73" s="18"/>
      <c r="K73" s="19" t="s">
        <v>425</v>
      </c>
      <c r="L73" s="13" t="str">
        <f t="shared" si="91"/>
        <v>Cust. Ref-714</v>
      </c>
      <c r="M73" s="15" t="s">
        <v>48</v>
      </c>
      <c r="N73" s="15" t="s">
        <v>425</v>
      </c>
      <c r="O73" s="13"/>
      <c r="P73" s="13" t="str">
        <f t="shared" si="92"/>
        <v>SN-714</v>
      </c>
      <c r="Q73" s="13" t="str">
        <f t="shared" si="93"/>
        <v>SI-714</v>
      </c>
      <c r="R73" s="13" t="str">
        <f t="shared" si="94"/>
        <v>SE-714</v>
      </c>
      <c r="S73" s="54" t="str">
        <f t="shared" si="95"/>
        <v>Prev_RA-714</v>
      </c>
      <c r="T73" s="54" t="str">
        <f t="shared" si="96"/>
        <v>Prev_Comms-714</v>
      </c>
      <c r="U73" s="17" t="s">
        <v>75</v>
      </c>
      <c r="V73" s="15" t="s">
        <v>401</v>
      </c>
      <c r="W73" s="17" t="s">
        <v>75</v>
      </c>
      <c r="X73" s="15" t="s">
        <v>396</v>
      </c>
      <c r="Y73" s="13" t="str">
        <f t="shared" si="97"/>
        <v>Forward Add-714</v>
      </c>
      <c r="Z73" s="15" t="s">
        <v>401</v>
      </c>
      <c r="AA73" s="136" t="str">
        <f>'Run Parameters'!$B$2</f>
        <v>2018-08-13 08:00</v>
      </c>
      <c r="AB73" s="223" t="str">
        <f>'Run Parameters'!B$3</f>
        <v>2018-08-13 18:00</v>
      </c>
      <c r="AC73" s="26">
        <f>('Run Parameters'!$B$2) - 7</f>
        <v>43318.333333333336</v>
      </c>
      <c r="AD73" s="17" t="s">
        <v>75</v>
      </c>
      <c r="AE73" s="18" t="str">
        <f t="shared" si="98"/>
        <v>LAST_METER-714</v>
      </c>
      <c r="AF73" s="136" t="str">
        <f>'Run Parameters'!$B$2</f>
        <v>2018-08-13 08:00</v>
      </c>
      <c r="AG73" s="13" t="str">
        <f>'Run Parameters'!B$4</f>
        <v>AUTOTEST2</v>
      </c>
      <c r="AH73" s="54" t="str">
        <f t="shared" si="99"/>
        <v>Site_Contact_714</v>
      </c>
      <c r="AI73" s="136" t="str">
        <f>'Run Parameters'!B$2</f>
        <v>2018-08-13 08:00</v>
      </c>
      <c r="AJ73" s="223" t="str">
        <f>'Run Parameters'!B$3</f>
        <v>2018-08-13 18:00</v>
      </c>
      <c r="AK73" s="13" t="s">
        <v>396</v>
      </c>
      <c r="AL73" s="54" t="str">
        <f t="shared" si="100"/>
        <v>01159714</v>
      </c>
      <c r="AM73" s="13" t="str">
        <f t="shared" si="101"/>
        <v>0115714</v>
      </c>
      <c r="AN73" s="15"/>
      <c r="AO73" s="52"/>
      <c r="AP73" s="13">
        <v>1</v>
      </c>
      <c r="AQ73" s="53" t="s">
        <v>49</v>
      </c>
      <c r="AR73" s="15"/>
      <c r="AS73" s="13"/>
      <c r="AT73" s="7"/>
      <c r="AU73" s="7"/>
      <c r="AV73" s="13">
        <f t="shared" si="102"/>
        <v>714</v>
      </c>
      <c r="AW73" s="13" t="s">
        <v>422</v>
      </c>
      <c r="AX73" s="13" t="s">
        <v>420</v>
      </c>
      <c r="AY73" s="13" t="s">
        <v>421</v>
      </c>
      <c r="AZ73" s="15" t="s">
        <v>334</v>
      </c>
      <c r="BA73" s="14" t="s">
        <v>154</v>
      </c>
      <c r="BB73" s="21">
        <v>1</v>
      </c>
      <c r="BC73" s="20">
        <f t="shared" si="103"/>
        <v>714</v>
      </c>
      <c r="BD73" s="16" t="s">
        <v>967</v>
      </c>
      <c r="BE73" s="16" t="s">
        <v>391</v>
      </c>
      <c r="BF73" s="16" t="s">
        <v>391</v>
      </c>
      <c r="BG73" s="20" t="s">
        <v>966</v>
      </c>
      <c r="BH73" s="20" t="str">
        <f t="shared" si="104"/>
        <v>714_1</v>
      </c>
      <c r="BI73" s="21"/>
      <c r="BJ73" s="21" t="str">
        <f t="shared" si="105"/>
        <v>10000000714</v>
      </c>
      <c r="BK73" s="16" t="s">
        <v>51</v>
      </c>
      <c r="BL73" s="16" t="s">
        <v>54</v>
      </c>
      <c r="BM73" s="20" t="s">
        <v>411</v>
      </c>
      <c r="BN73" s="16" t="s">
        <v>51</v>
      </c>
      <c r="BO73" s="20" t="str">
        <f t="shared" si="106"/>
        <v>S05S714</v>
      </c>
      <c r="BP73" s="16" t="s">
        <v>402</v>
      </c>
      <c r="BQ73" s="16" t="s">
        <v>402</v>
      </c>
      <c r="BR73" s="20" t="s">
        <v>161</v>
      </c>
      <c r="BS73" s="16" t="s">
        <v>50</v>
      </c>
      <c r="BT73" s="16" t="s">
        <v>135</v>
      </c>
      <c r="BU73" s="16" t="s">
        <v>393</v>
      </c>
      <c r="BV73" s="16" t="s">
        <v>51</v>
      </c>
      <c r="BW73" s="16" t="s">
        <v>154</v>
      </c>
      <c r="BX73" s="16"/>
      <c r="BY73" s="16"/>
      <c r="BZ73" s="16" t="s">
        <v>157</v>
      </c>
      <c r="CA73" s="16" t="s">
        <v>269</v>
      </c>
      <c r="CB73" s="16" t="s">
        <v>412</v>
      </c>
      <c r="CC73" s="16" t="s">
        <v>781</v>
      </c>
      <c r="CD73" s="16" t="s">
        <v>392</v>
      </c>
      <c r="CE73" s="16" t="s">
        <v>396</v>
      </c>
      <c r="CF73" s="16" t="s">
        <v>398</v>
      </c>
      <c r="CG73" s="16" t="s">
        <v>968</v>
      </c>
      <c r="CH73" s="16" t="s">
        <v>159</v>
      </c>
      <c r="CI73" s="11"/>
      <c r="CJ73" s="11"/>
      <c r="CK73" s="12"/>
      <c r="CL73" s="7"/>
      <c r="CM73" s="7"/>
      <c r="CN73" s="11"/>
      <c r="CO73" s="6"/>
      <c r="CP73" s="7"/>
      <c r="CQ73" s="6"/>
      <c r="CR73" s="11"/>
      <c r="CS73" s="7"/>
      <c r="CT73" s="27"/>
      <c r="CU73" s="11"/>
      <c r="CV73" s="7"/>
      <c r="CW73" s="7"/>
      <c r="CX73" s="7"/>
      <c r="CY73" s="7"/>
      <c r="CZ73" s="7"/>
      <c r="DA73" s="7"/>
      <c r="DB73" s="6"/>
      <c r="DC73" s="7"/>
      <c r="DD73" s="12"/>
      <c r="DE73" s="7"/>
      <c r="DF73" s="7"/>
      <c r="DG73" s="7"/>
      <c r="DH73" s="7"/>
      <c r="DI73" s="7"/>
      <c r="DJ73" s="10"/>
      <c r="DK73" s="12"/>
      <c r="DL73" s="40"/>
      <c r="DM73" s="40"/>
      <c r="DN73" s="38" t="str">
        <f t="shared" si="38"/>
        <v>DS_Pass-714</v>
      </c>
      <c r="DO73" s="40"/>
      <c r="DP73" s="40"/>
      <c r="DQ73" s="40"/>
      <c r="DR73" s="41"/>
      <c r="DS73" s="41"/>
      <c r="DT73" s="40"/>
      <c r="DU73" s="40"/>
      <c r="DV73" s="40"/>
      <c r="DW73" s="41"/>
      <c r="DX73" s="40"/>
      <c r="DY73" s="40"/>
      <c r="DZ73" s="37" t="s">
        <v>402</v>
      </c>
      <c r="EA73" s="39"/>
      <c r="EB73" s="37"/>
      <c r="EC73" s="37"/>
      <c r="ED73" s="16"/>
      <c r="EE73" s="1"/>
      <c r="EF73" s="55"/>
    </row>
    <row r="74" spans="1:136">
      <c r="A74" s="219" t="s">
        <v>971</v>
      </c>
      <c r="B74" s="219" t="s">
        <v>892</v>
      </c>
      <c r="C74" s="219" t="s">
        <v>865</v>
      </c>
      <c r="D74" s="13">
        <f>'Run Parameters'!$B$1 + ROW()-1</f>
        <v>715</v>
      </c>
      <c r="E74" s="15" t="s">
        <v>47</v>
      </c>
      <c r="F74" s="18" t="s">
        <v>966</v>
      </c>
      <c r="G74" s="13" t="str">
        <f t="shared" si="90"/>
        <v>Access Dtls-715</v>
      </c>
      <c r="H74" s="15" t="s">
        <v>275</v>
      </c>
      <c r="I74" s="13" t="str">
        <f>("MR. Test_73_EXCH5_"&amp;D74&amp;"")</f>
        <v>MR. Test_73_EXCH5_715</v>
      </c>
      <c r="J74" s="18"/>
      <c r="K74" s="19" t="s">
        <v>425</v>
      </c>
      <c r="L74" s="13" t="str">
        <f t="shared" si="91"/>
        <v>Cust. Ref-715</v>
      </c>
      <c r="M74" s="15" t="s">
        <v>48</v>
      </c>
      <c r="N74" s="15" t="s">
        <v>425</v>
      </c>
      <c r="O74" s="13"/>
      <c r="P74" s="13" t="str">
        <f t="shared" si="92"/>
        <v>SN-715</v>
      </c>
      <c r="Q74" s="13" t="str">
        <f t="shared" si="93"/>
        <v>SI-715</v>
      </c>
      <c r="R74" s="13" t="str">
        <f t="shared" si="94"/>
        <v>SE-715</v>
      </c>
      <c r="S74" s="54" t="str">
        <f t="shared" si="95"/>
        <v>Prev_RA-715</v>
      </c>
      <c r="T74" s="54" t="str">
        <f t="shared" si="96"/>
        <v>Prev_Comms-715</v>
      </c>
      <c r="U74" s="17" t="s">
        <v>75</v>
      </c>
      <c r="V74" s="15" t="s">
        <v>401</v>
      </c>
      <c r="W74" s="17" t="s">
        <v>75</v>
      </c>
      <c r="X74" s="15" t="s">
        <v>396</v>
      </c>
      <c r="Y74" s="13" t="str">
        <f t="shared" si="97"/>
        <v>Forward Add-715</v>
      </c>
      <c r="Z74" s="15" t="s">
        <v>401</v>
      </c>
      <c r="AA74" s="136" t="str">
        <f>'Run Parameters'!$B$2</f>
        <v>2018-08-13 08:00</v>
      </c>
      <c r="AB74" s="223" t="str">
        <f>'Run Parameters'!B$3</f>
        <v>2018-08-13 18:00</v>
      </c>
      <c r="AC74" s="26">
        <f>('Run Parameters'!$B$2) - 7</f>
        <v>43318.333333333336</v>
      </c>
      <c r="AD74" s="17" t="s">
        <v>75</v>
      </c>
      <c r="AE74" s="18" t="str">
        <f t="shared" si="98"/>
        <v>LAST_METER-715</v>
      </c>
      <c r="AF74" s="136" t="str">
        <f>'Run Parameters'!$B$2</f>
        <v>2018-08-13 08:00</v>
      </c>
      <c r="AG74" s="13" t="str">
        <f>'Run Parameters'!B$4</f>
        <v>AUTOTEST2</v>
      </c>
      <c r="AH74" s="54" t="str">
        <f t="shared" si="99"/>
        <v>Site_Contact_715</v>
      </c>
      <c r="AI74" s="136" t="str">
        <f>'Run Parameters'!B$2</f>
        <v>2018-08-13 08:00</v>
      </c>
      <c r="AJ74" s="223" t="str">
        <f>'Run Parameters'!B$3</f>
        <v>2018-08-13 18:00</v>
      </c>
      <c r="AK74" s="13" t="s">
        <v>396</v>
      </c>
      <c r="AL74" s="54" t="str">
        <f t="shared" si="100"/>
        <v>01159715</v>
      </c>
      <c r="AM74" s="13" t="str">
        <f t="shared" si="101"/>
        <v>0115715</v>
      </c>
      <c r="AN74" s="15"/>
      <c r="AO74" s="52"/>
      <c r="AP74" s="13">
        <v>1</v>
      </c>
      <c r="AQ74" s="53" t="s">
        <v>49</v>
      </c>
      <c r="AR74" s="15"/>
      <c r="AS74" s="13"/>
      <c r="AT74" s="7"/>
      <c r="AU74" s="7"/>
      <c r="AV74" s="13">
        <f t="shared" si="102"/>
        <v>715</v>
      </c>
      <c r="AW74" s="13" t="s">
        <v>422</v>
      </c>
      <c r="AX74" s="13" t="s">
        <v>420</v>
      </c>
      <c r="AY74" s="13" t="s">
        <v>421</v>
      </c>
      <c r="AZ74" s="15" t="s">
        <v>334</v>
      </c>
      <c r="BA74" s="14" t="s">
        <v>154</v>
      </c>
      <c r="BB74" s="21">
        <v>1</v>
      </c>
      <c r="BC74" s="20">
        <f t="shared" si="103"/>
        <v>715</v>
      </c>
      <c r="BD74" s="16" t="s">
        <v>967</v>
      </c>
      <c r="BE74" s="16" t="s">
        <v>391</v>
      </c>
      <c r="BF74" s="16" t="s">
        <v>391</v>
      </c>
      <c r="BG74" s="20" t="s">
        <v>966</v>
      </c>
      <c r="BH74" s="20" t="str">
        <f t="shared" si="104"/>
        <v>715_1</v>
      </c>
      <c r="BI74" s="21"/>
      <c r="BJ74" s="21" t="str">
        <f t="shared" si="105"/>
        <v>10000000715</v>
      </c>
      <c r="BK74" s="16" t="s">
        <v>51</v>
      </c>
      <c r="BL74" s="16" t="s">
        <v>54</v>
      </c>
      <c r="BM74" s="20" t="s">
        <v>411</v>
      </c>
      <c r="BN74" s="16" t="s">
        <v>51</v>
      </c>
      <c r="BO74" s="20" t="str">
        <f t="shared" si="106"/>
        <v>S05S715</v>
      </c>
      <c r="BP74" s="16" t="s">
        <v>402</v>
      </c>
      <c r="BQ74" s="16" t="s">
        <v>402</v>
      </c>
      <c r="BR74" s="20" t="s">
        <v>161</v>
      </c>
      <c r="BS74" s="16" t="s">
        <v>50</v>
      </c>
      <c r="BT74" s="16" t="s">
        <v>135</v>
      </c>
      <c r="BU74" s="16" t="s">
        <v>393</v>
      </c>
      <c r="BV74" s="16" t="s">
        <v>51</v>
      </c>
      <c r="BW74" s="16" t="s">
        <v>154</v>
      </c>
      <c r="BX74" s="16"/>
      <c r="BY74" s="16"/>
      <c r="BZ74" s="16" t="s">
        <v>157</v>
      </c>
      <c r="CA74" s="16" t="s">
        <v>269</v>
      </c>
      <c r="CB74" s="16" t="s">
        <v>412</v>
      </c>
      <c r="CC74" s="16" t="s">
        <v>781</v>
      </c>
      <c r="CD74" s="16" t="s">
        <v>392</v>
      </c>
      <c r="CE74" s="16" t="s">
        <v>396</v>
      </c>
      <c r="CF74" s="16" t="s">
        <v>398</v>
      </c>
      <c r="CG74" s="16" t="s">
        <v>968</v>
      </c>
      <c r="CH74" s="16" t="s">
        <v>159</v>
      </c>
      <c r="CI74" s="11"/>
      <c r="CJ74" s="11"/>
      <c r="CK74" s="12"/>
      <c r="CL74" s="7"/>
      <c r="CM74" s="7"/>
      <c r="CN74" s="11"/>
      <c r="CO74" s="6"/>
      <c r="CP74" s="7"/>
      <c r="CQ74" s="6"/>
      <c r="CR74" s="11"/>
      <c r="CS74" s="7"/>
      <c r="CT74" s="27"/>
      <c r="CU74" s="11"/>
      <c r="CV74" s="7"/>
      <c r="CW74" s="7"/>
      <c r="CX74" s="7"/>
      <c r="CY74" s="7"/>
      <c r="CZ74" s="7"/>
      <c r="DA74" s="7"/>
      <c r="DB74" s="6"/>
      <c r="DC74" s="7"/>
      <c r="DD74" s="12"/>
      <c r="DE74" s="7"/>
      <c r="DF74" s="7"/>
      <c r="DG74" s="7"/>
      <c r="DH74" s="7"/>
      <c r="DI74" s="7"/>
      <c r="DJ74" s="10"/>
      <c r="DK74" s="12"/>
      <c r="DL74" s="40"/>
      <c r="DM74" s="40"/>
      <c r="DN74" s="38" t="str">
        <f t="shared" si="38"/>
        <v>DS_Pass-715</v>
      </c>
      <c r="DO74" s="40"/>
      <c r="DP74" s="40"/>
      <c r="DQ74" s="40"/>
      <c r="DR74" s="41"/>
      <c r="DS74" s="41"/>
      <c r="DT74" s="40"/>
      <c r="DU74" s="40"/>
      <c r="DV74" s="40"/>
      <c r="DW74" s="41"/>
      <c r="DX74" s="40"/>
      <c r="DY74" s="40"/>
      <c r="DZ74" s="37" t="s">
        <v>402</v>
      </c>
      <c r="EA74" s="39"/>
      <c r="EB74" s="37"/>
      <c r="EC74" s="37"/>
      <c r="ED74" s="16"/>
      <c r="EE74" s="1"/>
      <c r="EF74" s="55"/>
    </row>
    <row r="75" spans="1:136">
      <c r="A75" s="219" t="s">
        <v>972</v>
      </c>
      <c r="B75" s="219" t="s">
        <v>868</v>
      </c>
      <c r="C75" s="219" t="s">
        <v>865</v>
      </c>
      <c r="D75" s="13">
        <f>'Run Parameters'!$B$1 + ROW()-1</f>
        <v>716</v>
      </c>
      <c r="E75" s="15" t="s">
        <v>47</v>
      </c>
      <c r="F75" s="18" t="s">
        <v>966</v>
      </c>
      <c r="G75" s="13" t="str">
        <f t="shared" si="90"/>
        <v>Access Dtls-716</v>
      </c>
      <c r="H75" s="15" t="s">
        <v>275</v>
      </c>
      <c r="I75" s="13" t="str">
        <f>("MR. Test_74_EXCH5_"&amp;D75&amp;"")</f>
        <v>MR. Test_74_EXCH5_716</v>
      </c>
      <c r="J75" s="18"/>
      <c r="K75" s="19" t="s">
        <v>425</v>
      </c>
      <c r="L75" s="13" t="str">
        <f t="shared" si="91"/>
        <v>Cust. Ref-716</v>
      </c>
      <c r="M75" s="15" t="s">
        <v>48</v>
      </c>
      <c r="N75" s="15" t="s">
        <v>425</v>
      </c>
      <c r="O75" s="13"/>
      <c r="P75" s="13" t="str">
        <f t="shared" si="92"/>
        <v>SN-716</v>
      </c>
      <c r="Q75" s="13" t="str">
        <f t="shared" si="93"/>
        <v>SI-716</v>
      </c>
      <c r="R75" s="13" t="str">
        <f t="shared" si="94"/>
        <v>SE-716</v>
      </c>
      <c r="S75" s="54" t="str">
        <f t="shared" si="95"/>
        <v>Prev_RA-716</v>
      </c>
      <c r="T75" s="54" t="str">
        <f t="shared" si="96"/>
        <v>Prev_Comms-716</v>
      </c>
      <c r="U75" s="17" t="s">
        <v>75</v>
      </c>
      <c r="V75" s="15" t="s">
        <v>401</v>
      </c>
      <c r="W75" s="17" t="s">
        <v>75</v>
      </c>
      <c r="X75" s="15" t="s">
        <v>396</v>
      </c>
      <c r="Y75" s="13" t="str">
        <f t="shared" si="97"/>
        <v>Forward Add-716</v>
      </c>
      <c r="Z75" s="15" t="s">
        <v>401</v>
      </c>
      <c r="AA75" s="136" t="str">
        <f>'Run Parameters'!$B$2</f>
        <v>2018-08-13 08:00</v>
      </c>
      <c r="AB75" s="223" t="str">
        <f>'Run Parameters'!B$3</f>
        <v>2018-08-13 18:00</v>
      </c>
      <c r="AC75" s="26">
        <f>('Run Parameters'!$B$2) - 7</f>
        <v>43318.333333333336</v>
      </c>
      <c r="AD75" s="17" t="s">
        <v>75</v>
      </c>
      <c r="AE75" s="18" t="str">
        <f t="shared" si="98"/>
        <v>LAST_METER-716</v>
      </c>
      <c r="AF75" s="136" t="str">
        <f>'Run Parameters'!$B$2</f>
        <v>2018-08-13 08:00</v>
      </c>
      <c r="AG75" s="13" t="str">
        <f>'Run Parameters'!B$4</f>
        <v>AUTOTEST2</v>
      </c>
      <c r="AH75" s="54" t="str">
        <f t="shared" si="99"/>
        <v>Site_Contact_716</v>
      </c>
      <c r="AI75" s="136" t="str">
        <f>'Run Parameters'!B$2</f>
        <v>2018-08-13 08:00</v>
      </c>
      <c r="AJ75" s="223" t="str">
        <f>'Run Parameters'!B$3</f>
        <v>2018-08-13 18:00</v>
      </c>
      <c r="AK75" s="13" t="s">
        <v>396</v>
      </c>
      <c r="AL75" s="54" t="str">
        <f t="shared" si="100"/>
        <v>01159716</v>
      </c>
      <c r="AM75" s="13" t="str">
        <f t="shared" si="101"/>
        <v>0115716</v>
      </c>
      <c r="AN75" s="15"/>
      <c r="AO75" s="52"/>
      <c r="AP75" s="13">
        <v>1</v>
      </c>
      <c r="AQ75" s="53" t="s">
        <v>49</v>
      </c>
      <c r="AR75" s="15"/>
      <c r="AS75" s="13"/>
      <c r="AT75" s="7"/>
      <c r="AU75" s="7"/>
      <c r="AV75" s="13">
        <f t="shared" si="102"/>
        <v>716</v>
      </c>
      <c r="AW75" s="13" t="s">
        <v>422</v>
      </c>
      <c r="AX75" s="13" t="s">
        <v>420</v>
      </c>
      <c r="AY75" s="13" t="s">
        <v>421</v>
      </c>
      <c r="AZ75" s="15" t="s">
        <v>334</v>
      </c>
      <c r="BA75" s="14" t="s">
        <v>154</v>
      </c>
      <c r="BB75" s="21">
        <v>1</v>
      </c>
      <c r="BC75" s="20">
        <f t="shared" si="103"/>
        <v>716</v>
      </c>
      <c r="BD75" s="16" t="s">
        <v>967</v>
      </c>
      <c r="BE75" s="16" t="s">
        <v>391</v>
      </c>
      <c r="BF75" s="16" t="s">
        <v>391</v>
      </c>
      <c r="BG75" s="20" t="s">
        <v>966</v>
      </c>
      <c r="BH75" s="20" t="str">
        <f t="shared" si="104"/>
        <v>716_1</v>
      </c>
      <c r="BI75" s="21"/>
      <c r="BJ75" s="21" t="str">
        <f t="shared" si="105"/>
        <v>10000000716</v>
      </c>
      <c r="BK75" s="16" t="s">
        <v>51</v>
      </c>
      <c r="BL75" s="16" t="s">
        <v>54</v>
      </c>
      <c r="BM75" s="20" t="s">
        <v>411</v>
      </c>
      <c r="BN75" s="16" t="s">
        <v>51</v>
      </c>
      <c r="BO75" s="20" t="str">
        <f t="shared" si="106"/>
        <v>S05S716</v>
      </c>
      <c r="BP75" s="16" t="s">
        <v>402</v>
      </c>
      <c r="BQ75" s="16" t="s">
        <v>402</v>
      </c>
      <c r="BR75" s="20" t="s">
        <v>161</v>
      </c>
      <c r="BS75" s="16" t="s">
        <v>50</v>
      </c>
      <c r="BT75" s="16" t="s">
        <v>135</v>
      </c>
      <c r="BU75" s="16" t="s">
        <v>393</v>
      </c>
      <c r="BV75" s="16" t="s">
        <v>51</v>
      </c>
      <c r="BW75" s="16" t="s">
        <v>154</v>
      </c>
      <c r="BX75" s="16"/>
      <c r="BY75" s="16"/>
      <c r="BZ75" s="16" t="s">
        <v>157</v>
      </c>
      <c r="CA75" s="16" t="s">
        <v>269</v>
      </c>
      <c r="CB75" s="16" t="s">
        <v>412</v>
      </c>
      <c r="CC75" s="16" t="s">
        <v>781</v>
      </c>
      <c r="CD75" s="16" t="s">
        <v>392</v>
      </c>
      <c r="CE75" s="16" t="s">
        <v>396</v>
      </c>
      <c r="CF75" s="16" t="s">
        <v>398</v>
      </c>
      <c r="CG75" s="16" t="s">
        <v>968</v>
      </c>
      <c r="CH75" s="16" t="s">
        <v>159</v>
      </c>
      <c r="CI75" s="11"/>
      <c r="CJ75" s="11"/>
      <c r="CK75" s="12"/>
      <c r="CL75" s="7"/>
      <c r="CM75" s="7"/>
      <c r="CN75" s="11"/>
      <c r="CO75" s="6"/>
      <c r="CP75" s="7"/>
      <c r="CQ75" s="6"/>
      <c r="CR75" s="11"/>
      <c r="CS75" s="7"/>
      <c r="CT75" s="27"/>
      <c r="CU75" s="11"/>
      <c r="CV75" s="7"/>
      <c r="CW75" s="7"/>
      <c r="CX75" s="7"/>
      <c r="CY75" s="7"/>
      <c r="CZ75" s="7"/>
      <c r="DA75" s="7"/>
      <c r="DB75" s="6"/>
      <c r="DC75" s="7"/>
      <c r="DD75" s="12"/>
      <c r="DE75" s="7"/>
      <c r="DF75" s="7"/>
      <c r="DG75" s="7"/>
      <c r="DH75" s="7"/>
      <c r="DI75" s="7"/>
      <c r="DJ75" s="10"/>
      <c r="DK75" s="12"/>
      <c r="DL75" s="40"/>
      <c r="DM75" s="40"/>
      <c r="DN75" s="38" t="str">
        <f t="shared" si="38"/>
        <v>DS_Pass-716</v>
      </c>
      <c r="DO75" s="40"/>
      <c r="DP75" s="40"/>
      <c r="DQ75" s="40"/>
      <c r="DR75" s="41"/>
      <c r="DS75" s="41"/>
      <c r="DT75" s="40"/>
      <c r="DU75" s="40"/>
      <c r="DV75" s="40"/>
      <c r="DW75" s="41"/>
      <c r="DX75" s="40"/>
      <c r="DY75" s="40"/>
      <c r="DZ75" s="37" t="s">
        <v>402</v>
      </c>
      <c r="EA75" s="39"/>
      <c r="EB75" s="37"/>
      <c r="EC75" s="37"/>
      <c r="ED75" s="16"/>
      <c r="EE75" s="1"/>
      <c r="EF75" s="55"/>
    </row>
    <row r="76" spans="1:136">
      <c r="A76" s="219" t="s">
        <v>973</v>
      </c>
      <c r="B76" s="219" t="s">
        <v>892</v>
      </c>
      <c r="C76" s="219" t="s">
        <v>865</v>
      </c>
      <c r="D76" s="13">
        <f>'Run Parameters'!$B$1 + ROW()-1</f>
        <v>717</v>
      </c>
      <c r="E76" s="15" t="s">
        <v>47</v>
      </c>
      <c r="F76" s="18" t="s">
        <v>966</v>
      </c>
      <c r="G76" s="13" t="str">
        <f t="shared" si="90"/>
        <v>Access Dtls-717</v>
      </c>
      <c r="H76" s="15" t="s">
        <v>275</v>
      </c>
      <c r="I76" s="13" t="str">
        <f>("MR. Test_75_EXCH5_"&amp;D76&amp;"")</f>
        <v>MR. Test_75_EXCH5_717</v>
      </c>
      <c r="J76" s="18"/>
      <c r="K76" s="19" t="s">
        <v>425</v>
      </c>
      <c r="L76" s="13" t="str">
        <f t="shared" si="91"/>
        <v>Cust. Ref-717</v>
      </c>
      <c r="M76" s="15" t="s">
        <v>48</v>
      </c>
      <c r="N76" s="15" t="s">
        <v>425</v>
      </c>
      <c r="O76" s="13"/>
      <c r="P76" s="13" t="str">
        <f t="shared" si="92"/>
        <v>SN-717</v>
      </c>
      <c r="Q76" s="13" t="str">
        <f t="shared" si="93"/>
        <v>SI-717</v>
      </c>
      <c r="R76" s="13" t="str">
        <f t="shared" si="94"/>
        <v>SE-717</v>
      </c>
      <c r="S76" s="54" t="str">
        <f t="shared" si="95"/>
        <v>Prev_RA-717</v>
      </c>
      <c r="T76" s="54" t="str">
        <f t="shared" si="96"/>
        <v>Prev_Comms-717</v>
      </c>
      <c r="U76" s="17" t="s">
        <v>75</v>
      </c>
      <c r="V76" s="15" t="s">
        <v>401</v>
      </c>
      <c r="W76" s="17" t="s">
        <v>75</v>
      </c>
      <c r="X76" s="15" t="s">
        <v>396</v>
      </c>
      <c r="Y76" s="13" t="str">
        <f t="shared" si="97"/>
        <v>Forward Add-717</v>
      </c>
      <c r="Z76" s="15" t="s">
        <v>401</v>
      </c>
      <c r="AA76" s="136" t="str">
        <f>'Run Parameters'!$B$2</f>
        <v>2018-08-13 08:00</v>
      </c>
      <c r="AB76" s="223" t="str">
        <f>'Run Parameters'!B$3</f>
        <v>2018-08-13 18:00</v>
      </c>
      <c r="AC76" s="26">
        <f>('Run Parameters'!$B$2) - 7</f>
        <v>43318.333333333336</v>
      </c>
      <c r="AD76" s="17" t="s">
        <v>75</v>
      </c>
      <c r="AE76" s="18" t="str">
        <f t="shared" si="98"/>
        <v>LAST_METER-717</v>
      </c>
      <c r="AF76" s="136" t="str">
        <f>'Run Parameters'!$B$2</f>
        <v>2018-08-13 08:00</v>
      </c>
      <c r="AG76" s="13" t="str">
        <f>'Run Parameters'!B$4</f>
        <v>AUTOTEST2</v>
      </c>
      <c r="AH76" s="54" t="str">
        <f t="shared" si="99"/>
        <v>Site_Contact_717</v>
      </c>
      <c r="AI76" s="136" t="str">
        <f>'Run Parameters'!B$2</f>
        <v>2018-08-13 08:00</v>
      </c>
      <c r="AJ76" s="223" t="str">
        <f>'Run Parameters'!B$3</f>
        <v>2018-08-13 18:00</v>
      </c>
      <c r="AK76" s="13" t="s">
        <v>396</v>
      </c>
      <c r="AL76" s="54" t="str">
        <f t="shared" si="100"/>
        <v>01159717</v>
      </c>
      <c r="AM76" s="13" t="str">
        <f t="shared" si="101"/>
        <v>0115717</v>
      </c>
      <c r="AN76" s="15"/>
      <c r="AO76" s="52"/>
      <c r="AP76" s="13">
        <v>1</v>
      </c>
      <c r="AQ76" s="53" t="s">
        <v>49</v>
      </c>
      <c r="AR76" s="15"/>
      <c r="AS76" s="13"/>
      <c r="AT76" s="7"/>
      <c r="AU76" s="7"/>
      <c r="AV76" s="13">
        <f t="shared" si="102"/>
        <v>717</v>
      </c>
      <c r="AW76" s="13" t="s">
        <v>422</v>
      </c>
      <c r="AX76" s="13" t="s">
        <v>420</v>
      </c>
      <c r="AY76" s="13" t="s">
        <v>421</v>
      </c>
      <c r="AZ76" s="15" t="s">
        <v>334</v>
      </c>
      <c r="BA76" s="14" t="s">
        <v>154</v>
      </c>
      <c r="BB76" s="21">
        <v>1</v>
      </c>
      <c r="BC76" s="20">
        <f t="shared" si="103"/>
        <v>717</v>
      </c>
      <c r="BD76" s="16" t="s">
        <v>967</v>
      </c>
      <c r="BE76" s="16" t="s">
        <v>391</v>
      </c>
      <c r="BF76" s="16" t="s">
        <v>391</v>
      </c>
      <c r="BG76" s="20" t="s">
        <v>966</v>
      </c>
      <c r="BH76" s="20" t="str">
        <f t="shared" si="104"/>
        <v>717_1</v>
      </c>
      <c r="BI76" s="21"/>
      <c r="BJ76" s="21" t="str">
        <f t="shared" si="105"/>
        <v>10000000717</v>
      </c>
      <c r="BK76" s="16" t="s">
        <v>51</v>
      </c>
      <c r="BL76" s="16" t="s">
        <v>54</v>
      </c>
      <c r="BM76" s="20" t="s">
        <v>411</v>
      </c>
      <c r="BN76" s="16" t="s">
        <v>51</v>
      </c>
      <c r="BO76" s="20" t="str">
        <f t="shared" si="106"/>
        <v>S05S717</v>
      </c>
      <c r="BP76" s="16" t="s">
        <v>402</v>
      </c>
      <c r="BQ76" s="16" t="s">
        <v>402</v>
      </c>
      <c r="BR76" s="20" t="s">
        <v>161</v>
      </c>
      <c r="BS76" s="16" t="s">
        <v>50</v>
      </c>
      <c r="BT76" s="16" t="s">
        <v>135</v>
      </c>
      <c r="BU76" s="16" t="s">
        <v>393</v>
      </c>
      <c r="BV76" s="16" t="s">
        <v>51</v>
      </c>
      <c r="BW76" s="16" t="s">
        <v>154</v>
      </c>
      <c r="BX76" s="16"/>
      <c r="BY76" s="16"/>
      <c r="BZ76" s="16" t="s">
        <v>157</v>
      </c>
      <c r="CA76" s="16" t="s">
        <v>269</v>
      </c>
      <c r="CB76" s="16" t="s">
        <v>412</v>
      </c>
      <c r="CC76" s="16" t="s">
        <v>781</v>
      </c>
      <c r="CD76" s="16" t="s">
        <v>392</v>
      </c>
      <c r="CE76" s="16" t="s">
        <v>396</v>
      </c>
      <c r="CF76" s="16" t="s">
        <v>398</v>
      </c>
      <c r="CG76" s="16" t="s">
        <v>968</v>
      </c>
      <c r="CH76" s="16" t="s">
        <v>159</v>
      </c>
      <c r="CI76" s="11"/>
      <c r="CJ76" s="11"/>
      <c r="CK76" s="12"/>
      <c r="CL76" s="7"/>
      <c r="CM76" s="7"/>
      <c r="CN76" s="11"/>
      <c r="CO76" s="6"/>
      <c r="CP76" s="7"/>
      <c r="CQ76" s="6"/>
      <c r="CR76" s="11"/>
      <c r="CS76" s="7"/>
      <c r="CT76" s="27"/>
      <c r="CU76" s="11"/>
      <c r="CV76" s="7"/>
      <c r="CW76" s="7"/>
      <c r="CX76" s="7"/>
      <c r="CY76" s="7"/>
      <c r="CZ76" s="7"/>
      <c r="DA76" s="7"/>
      <c r="DB76" s="6"/>
      <c r="DC76" s="7"/>
      <c r="DD76" s="12"/>
      <c r="DE76" s="7"/>
      <c r="DF76" s="7"/>
      <c r="DG76" s="7"/>
      <c r="DH76" s="7"/>
      <c r="DI76" s="7"/>
      <c r="DJ76" s="10"/>
      <c r="DK76" s="12"/>
      <c r="DL76" s="40"/>
      <c r="DM76" s="40"/>
      <c r="DN76" s="38" t="str">
        <f t="shared" si="38"/>
        <v>DS_Pass-717</v>
      </c>
      <c r="DO76" s="40"/>
      <c r="DP76" s="40"/>
      <c r="DQ76" s="40"/>
      <c r="DR76" s="41"/>
      <c r="DS76" s="41"/>
      <c r="DT76" s="40"/>
      <c r="DU76" s="40"/>
      <c r="DV76" s="40"/>
      <c r="DW76" s="41"/>
      <c r="DX76" s="40"/>
      <c r="DY76" s="40"/>
      <c r="DZ76" s="37" t="s">
        <v>402</v>
      </c>
      <c r="EA76" s="39"/>
      <c r="EB76" s="37"/>
      <c r="EC76" s="37"/>
      <c r="ED76" s="16"/>
      <c r="EE76" s="1"/>
      <c r="EF76" s="55"/>
    </row>
    <row r="77" spans="1:136">
      <c r="A77" s="219" t="s">
        <v>974</v>
      </c>
      <c r="B77" s="219" t="s">
        <v>868</v>
      </c>
      <c r="C77" s="219" t="s">
        <v>865</v>
      </c>
      <c r="D77" s="13">
        <f>'Run Parameters'!$B$1 + ROW()-1</f>
        <v>718</v>
      </c>
      <c r="E77" s="15" t="s">
        <v>47</v>
      </c>
      <c r="F77" s="18" t="s">
        <v>966</v>
      </c>
      <c r="G77" s="13" t="str">
        <f t="shared" si="90"/>
        <v>Access Dtls-718</v>
      </c>
      <c r="H77" s="15" t="s">
        <v>275</v>
      </c>
      <c r="I77" s="13" t="str">
        <f>("MR. Test_76_EXCH5_"&amp;D77&amp;"")</f>
        <v>MR. Test_76_EXCH5_718</v>
      </c>
      <c r="J77" s="18"/>
      <c r="K77" s="19" t="s">
        <v>425</v>
      </c>
      <c r="L77" s="13" t="str">
        <f t="shared" si="91"/>
        <v>Cust. Ref-718</v>
      </c>
      <c r="M77" s="15" t="s">
        <v>48</v>
      </c>
      <c r="N77" s="15" t="s">
        <v>425</v>
      </c>
      <c r="O77" s="13"/>
      <c r="P77" s="13" t="str">
        <f t="shared" si="92"/>
        <v>SN-718</v>
      </c>
      <c r="Q77" s="13" t="str">
        <f t="shared" si="93"/>
        <v>SI-718</v>
      </c>
      <c r="R77" s="13" t="str">
        <f t="shared" si="94"/>
        <v>SE-718</v>
      </c>
      <c r="S77" s="54" t="str">
        <f t="shared" si="95"/>
        <v>Prev_RA-718</v>
      </c>
      <c r="T77" s="54" t="str">
        <f t="shared" si="96"/>
        <v>Prev_Comms-718</v>
      </c>
      <c r="U77" s="17" t="s">
        <v>75</v>
      </c>
      <c r="V77" s="15" t="s">
        <v>401</v>
      </c>
      <c r="W77" s="17" t="s">
        <v>75</v>
      </c>
      <c r="X77" s="15" t="s">
        <v>396</v>
      </c>
      <c r="Y77" s="13" t="str">
        <f t="shared" si="97"/>
        <v>Forward Add-718</v>
      </c>
      <c r="Z77" s="15" t="s">
        <v>401</v>
      </c>
      <c r="AA77" s="136" t="str">
        <f>'Run Parameters'!$B$2</f>
        <v>2018-08-13 08:00</v>
      </c>
      <c r="AB77" s="223" t="str">
        <f>'Run Parameters'!B$3</f>
        <v>2018-08-13 18:00</v>
      </c>
      <c r="AC77" s="26">
        <f>('Run Parameters'!$B$2) - 7</f>
        <v>43318.333333333336</v>
      </c>
      <c r="AD77" s="17" t="s">
        <v>75</v>
      </c>
      <c r="AE77" s="18" t="str">
        <f t="shared" si="98"/>
        <v>LAST_METER-718</v>
      </c>
      <c r="AF77" s="136" t="str">
        <f>'Run Parameters'!$B$2</f>
        <v>2018-08-13 08:00</v>
      </c>
      <c r="AG77" s="13" t="str">
        <f>'Run Parameters'!B$4</f>
        <v>AUTOTEST2</v>
      </c>
      <c r="AH77" s="54" t="str">
        <f t="shared" si="99"/>
        <v>Site_Contact_718</v>
      </c>
      <c r="AI77" s="136" t="str">
        <f>'Run Parameters'!B$2</f>
        <v>2018-08-13 08:00</v>
      </c>
      <c r="AJ77" s="223" t="str">
        <f>'Run Parameters'!B$3</f>
        <v>2018-08-13 18:00</v>
      </c>
      <c r="AK77" s="13" t="s">
        <v>396</v>
      </c>
      <c r="AL77" s="54" t="str">
        <f t="shared" si="100"/>
        <v>01159718</v>
      </c>
      <c r="AM77" s="13" t="str">
        <f t="shared" si="101"/>
        <v>0115718</v>
      </c>
      <c r="AN77" s="15"/>
      <c r="AO77" s="52"/>
      <c r="AP77" s="13">
        <v>1</v>
      </c>
      <c r="AQ77" s="53" t="s">
        <v>49</v>
      </c>
      <c r="AR77" s="15"/>
      <c r="AS77" s="13"/>
      <c r="AT77" s="7"/>
      <c r="AU77" s="7"/>
      <c r="AV77" s="13">
        <f t="shared" si="102"/>
        <v>718</v>
      </c>
      <c r="AW77" s="13" t="s">
        <v>422</v>
      </c>
      <c r="AX77" s="13" t="s">
        <v>420</v>
      </c>
      <c r="AY77" s="13" t="s">
        <v>421</v>
      </c>
      <c r="AZ77" s="15" t="s">
        <v>334</v>
      </c>
      <c r="BA77" s="14" t="s">
        <v>154</v>
      </c>
      <c r="BB77" s="21">
        <v>1</v>
      </c>
      <c r="BC77" s="20">
        <f t="shared" si="103"/>
        <v>718</v>
      </c>
      <c r="BD77" s="16" t="s">
        <v>967</v>
      </c>
      <c r="BE77" s="16" t="s">
        <v>391</v>
      </c>
      <c r="BF77" s="16" t="s">
        <v>391</v>
      </c>
      <c r="BG77" s="20" t="s">
        <v>966</v>
      </c>
      <c r="BH77" s="20" t="str">
        <f t="shared" si="104"/>
        <v>718_1</v>
      </c>
      <c r="BI77" s="21"/>
      <c r="BJ77" s="21" t="str">
        <f t="shared" si="105"/>
        <v>10000000718</v>
      </c>
      <c r="BK77" s="16" t="s">
        <v>51</v>
      </c>
      <c r="BL77" s="16" t="s">
        <v>54</v>
      </c>
      <c r="BM77" s="20" t="s">
        <v>411</v>
      </c>
      <c r="BN77" s="16" t="s">
        <v>51</v>
      </c>
      <c r="BO77" s="20" t="str">
        <f t="shared" si="106"/>
        <v>S05S718</v>
      </c>
      <c r="BP77" s="16" t="s">
        <v>402</v>
      </c>
      <c r="BQ77" s="16" t="s">
        <v>402</v>
      </c>
      <c r="BR77" s="20" t="s">
        <v>161</v>
      </c>
      <c r="BS77" s="16" t="s">
        <v>50</v>
      </c>
      <c r="BT77" s="16" t="s">
        <v>135</v>
      </c>
      <c r="BU77" s="16" t="s">
        <v>393</v>
      </c>
      <c r="BV77" s="16" t="s">
        <v>51</v>
      </c>
      <c r="BW77" s="16" t="s">
        <v>154</v>
      </c>
      <c r="BX77" s="16"/>
      <c r="BY77" s="16"/>
      <c r="BZ77" s="16" t="s">
        <v>157</v>
      </c>
      <c r="CA77" s="16" t="s">
        <v>269</v>
      </c>
      <c r="CB77" s="16" t="s">
        <v>412</v>
      </c>
      <c r="CC77" s="16" t="s">
        <v>781</v>
      </c>
      <c r="CD77" s="16" t="s">
        <v>392</v>
      </c>
      <c r="CE77" s="16" t="s">
        <v>396</v>
      </c>
      <c r="CF77" s="16" t="s">
        <v>398</v>
      </c>
      <c r="CG77" s="16" t="s">
        <v>968</v>
      </c>
      <c r="CH77" s="16" t="s">
        <v>159</v>
      </c>
      <c r="CI77" s="11"/>
      <c r="CJ77" s="11"/>
      <c r="CK77" s="12"/>
      <c r="CL77" s="7"/>
      <c r="CM77" s="7"/>
      <c r="CN77" s="11"/>
      <c r="CO77" s="6"/>
      <c r="CP77" s="7"/>
      <c r="CQ77" s="6"/>
      <c r="CR77" s="11"/>
      <c r="CS77" s="7"/>
      <c r="CT77" s="27"/>
      <c r="CU77" s="11"/>
      <c r="CV77" s="7"/>
      <c r="CW77" s="7"/>
      <c r="CX77" s="7"/>
      <c r="CY77" s="7"/>
      <c r="CZ77" s="7"/>
      <c r="DA77" s="7"/>
      <c r="DB77" s="6"/>
      <c r="DC77" s="7"/>
      <c r="DD77" s="12"/>
      <c r="DE77" s="7"/>
      <c r="DF77" s="7"/>
      <c r="DG77" s="7"/>
      <c r="DH77" s="7"/>
      <c r="DI77" s="7"/>
      <c r="DJ77" s="10"/>
      <c r="DK77" s="12"/>
      <c r="DL77" s="40"/>
      <c r="DM77" s="40"/>
      <c r="DN77" s="38" t="str">
        <f t="shared" si="38"/>
        <v>DS_Pass-718</v>
      </c>
      <c r="DO77" s="40"/>
      <c r="DP77" s="40"/>
      <c r="DQ77" s="40"/>
      <c r="DR77" s="41"/>
      <c r="DS77" s="41"/>
      <c r="DT77" s="40"/>
      <c r="DU77" s="40"/>
      <c r="DV77" s="40"/>
      <c r="DW77" s="41"/>
      <c r="DX77" s="40"/>
      <c r="DY77" s="40"/>
      <c r="DZ77" s="37" t="s">
        <v>402</v>
      </c>
      <c r="EA77" s="39"/>
      <c r="EB77" s="37"/>
      <c r="EC77" s="37"/>
      <c r="ED77" s="16"/>
      <c r="EE77" s="1"/>
      <c r="EF77" s="55"/>
    </row>
    <row r="78" spans="1:136">
      <c r="A78" s="219" t="s">
        <v>975</v>
      </c>
      <c r="B78" s="219" t="s">
        <v>892</v>
      </c>
      <c r="C78" s="219" t="s">
        <v>865</v>
      </c>
      <c r="D78" s="13">
        <f>'Run Parameters'!$B$1 + ROW()-1</f>
        <v>719</v>
      </c>
      <c r="E78" s="15" t="s">
        <v>47</v>
      </c>
      <c r="F78" s="18" t="s">
        <v>966</v>
      </c>
      <c r="G78" s="13" t="str">
        <f t="shared" si="90"/>
        <v>Access Dtls-719</v>
      </c>
      <c r="H78" s="15" t="s">
        <v>275</v>
      </c>
      <c r="I78" s="13" t="str">
        <f>("MR. Test_77_EXCH5_"&amp;D78&amp;"")</f>
        <v>MR. Test_77_EXCH5_719</v>
      </c>
      <c r="J78" s="18"/>
      <c r="K78" s="19" t="s">
        <v>425</v>
      </c>
      <c r="L78" s="13" t="str">
        <f t="shared" si="91"/>
        <v>Cust. Ref-719</v>
      </c>
      <c r="M78" s="15" t="s">
        <v>48</v>
      </c>
      <c r="N78" s="15" t="s">
        <v>425</v>
      </c>
      <c r="O78" s="13"/>
      <c r="P78" s="13" t="str">
        <f t="shared" si="92"/>
        <v>SN-719</v>
      </c>
      <c r="Q78" s="13" t="str">
        <f t="shared" si="93"/>
        <v>SI-719</v>
      </c>
      <c r="R78" s="13" t="str">
        <f t="shared" si="94"/>
        <v>SE-719</v>
      </c>
      <c r="S78" s="54" t="str">
        <f t="shared" si="95"/>
        <v>Prev_RA-719</v>
      </c>
      <c r="T78" s="54" t="str">
        <f t="shared" si="96"/>
        <v>Prev_Comms-719</v>
      </c>
      <c r="U78" s="17" t="s">
        <v>75</v>
      </c>
      <c r="V78" s="15" t="s">
        <v>401</v>
      </c>
      <c r="W78" s="17" t="s">
        <v>75</v>
      </c>
      <c r="X78" s="15" t="s">
        <v>396</v>
      </c>
      <c r="Y78" s="13" t="str">
        <f t="shared" si="97"/>
        <v>Forward Add-719</v>
      </c>
      <c r="Z78" s="15" t="s">
        <v>401</v>
      </c>
      <c r="AA78" s="136" t="str">
        <f>'Run Parameters'!$B$2</f>
        <v>2018-08-13 08:00</v>
      </c>
      <c r="AB78" s="223" t="str">
        <f>'Run Parameters'!B$3</f>
        <v>2018-08-13 18:00</v>
      </c>
      <c r="AC78" s="26">
        <f>('Run Parameters'!$B$2) - 7</f>
        <v>43318.333333333336</v>
      </c>
      <c r="AD78" s="17" t="s">
        <v>75</v>
      </c>
      <c r="AE78" s="18" t="str">
        <f t="shared" si="98"/>
        <v>LAST_METER-719</v>
      </c>
      <c r="AF78" s="136" t="str">
        <f>'Run Parameters'!$B$2</f>
        <v>2018-08-13 08:00</v>
      </c>
      <c r="AG78" s="13" t="str">
        <f>'Run Parameters'!B$4</f>
        <v>AUTOTEST2</v>
      </c>
      <c r="AH78" s="54" t="str">
        <f t="shared" si="99"/>
        <v>Site_Contact_719</v>
      </c>
      <c r="AI78" s="136" t="str">
        <f>'Run Parameters'!B$2</f>
        <v>2018-08-13 08:00</v>
      </c>
      <c r="AJ78" s="223" t="str">
        <f>'Run Parameters'!B$3</f>
        <v>2018-08-13 18:00</v>
      </c>
      <c r="AK78" s="13" t="s">
        <v>396</v>
      </c>
      <c r="AL78" s="54" t="str">
        <f t="shared" si="100"/>
        <v>01159719</v>
      </c>
      <c r="AM78" s="13" t="str">
        <f t="shared" si="101"/>
        <v>0115719</v>
      </c>
      <c r="AN78" s="15"/>
      <c r="AO78" s="52"/>
      <c r="AP78" s="13">
        <v>1</v>
      </c>
      <c r="AQ78" s="53" t="s">
        <v>49</v>
      </c>
      <c r="AR78" s="15"/>
      <c r="AS78" s="13"/>
      <c r="AT78" s="7"/>
      <c r="AU78" s="7"/>
      <c r="AV78" s="13">
        <f t="shared" si="102"/>
        <v>719</v>
      </c>
      <c r="AW78" s="13" t="s">
        <v>422</v>
      </c>
      <c r="AX78" s="13" t="s">
        <v>420</v>
      </c>
      <c r="AY78" s="13" t="s">
        <v>421</v>
      </c>
      <c r="AZ78" s="15" t="s">
        <v>334</v>
      </c>
      <c r="BA78" s="14" t="s">
        <v>154</v>
      </c>
      <c r="BB78" s="21">
        <v>1</v>
      </c>
      <c r="BC78" s="20">
        <f t="shared" si="103"/>
        <v>719</v>
      </c>
      <c r="BD78" s="16" t="s">
        <v>967</v>
      </c>
      <c r="BE78" s="16" t="s">
        <v>391</v>
      </c>
      <c r="BF78" s="16" t="s">
        <v>391</v>
      </c>
      <c r="BG78" s="20" t="s">
        <v>966</v>
      </c>
      <c r="BH78" s="20" t="str">
        <f t="shared" si="104"/>
        <v>719_1</v>
      </c>
      <c r="BI78" s="21"/>
      <c r="BJ78" s="21" t="str">
        <f t="shared" si="105"/>
        <v>10000000719</v>
      </c>
      <c r="BK78" s="16" t="s">
        <v>51</v>
      </c>
      <c r="BL78" s="16" t="s">
        <v>54</v>
      </c>
      <c r="BM78" s="20" t="s">
        <v>411</v>
      </c>
      <c r="BN78" s="16" t="s">
        <v>51</v>
      </c>
      <c r="BO78" s="20" t="str">
        <f t="shared" si="106"/>
        <v>S05S719</v>
      </c>
      <c r="BP78" s="16" t="s">
        <v>402</v>
      </c>
      <c r="BQ78" s="16" t="s">
        <v>402</v>
      </c>
      <c r="BR78" s="20" t="s">
        <v>161</v>
      </c>
      <c r="BS78" s="16" t="s">
        <v>50</v>
      </c>
      <c r="BT78" s="16" t="s">
        <v>135</v>
      </c>
      <c r="BU78" s="16" t="s">
        <v>393</v>
      </c>
      <c r="BV78" s="16" t="s">
        <v>51</v>
      </c>
      <c r="BW78" s="16" t="s">
        <v>154</v>
      </c>
      <c r="BX78" s="16"/>
      <c r="BY78" s="16"/>
      <c r="BZ78" s="16" t="s">
        <v>157</v>
      </c>
      <c r="CA78" s="16" t="s">
        <v>269</v>
      </c>
      <c r="CB78" s="16" t="s">
        <v>412</v>
      </c>
      <c r="CC78" s="16" t="s">
        <v>781</v>
      </c>
      <c r="CD78" s="16" t="s">
        <v>392</v>
      </c>
      <c r="CE78" s="16" t="s">
        <v>396</v>
      </c>
      <c r="CF78" s="16" t="s">
        <v>398</v>
      </c>
      <c r="CG78" s="16" t="s">
        <v>968</v>
      </c>
      <c r="CH78" s="16" t="s">
        <v>159</v>
      </c>
      <c r="CI78" s="11"/>
      <c r="CJ78" s="11"/>
      <c r="CK78" s="12"/>
      <c r="CL78" s="7"/>
      <c r="CM78" s="7"/>
      <c r="CN78" s="11"/>
      <c r="CO78" s="6"/>
      <c r="CP78" s="7"/>
      <c r="CQ78" s="6"/>
      <c r="CR78" s="11"/>
      <c r="CS78" s="7"/>
      <c r="CT78" s="27"/>
      <c r="CU78" s="11"/>
      <c r="CV78" s="7"/>
      <c r="CW78" s="7"/>
      <c r="CX78" s="7"/>
      <c r="CY78" s="7"/>
      <c r="CZ78" s="7"/>
      <c r="DA78" s="7"/>
      <c r="DB78" s="6"/>
      <c r="DC78" s="7"/>
      <c r="DD78" s="12"/>
      <c r="DE78" s="7"/>
      <c r="DF78" s="7"/>
      <c r="DG78" s="7"/>
      <c r="DH78" s="7"/>
      <c r="DI78" s="7"/>
      <c r="DJ78" s="10"/>
      <c r="DK78" s="12"/>
      <c r="DL78" s="40"/>
      <c r="DM78" s="40"/>
      <c r="DN78" s="38" t="str">
        <f t="shared" si="38"/>
        <v>DS_Pass-719</v>
      </c>
      <c r="DO78" s="40"/>
      <c r="DP78" s="40"/>
      <c r="DQ78" s="40"/>
      <c r="DR78" s="41"/>
      <c r="DS78" s="41"/>
      <c r="DT78" s="40"/>
      <c r="DU78" s="40"/>
      <c r="DV78" s="40"/>
      <c r="DW78" s="41"/>
      <c r="DX78" s="40"/>
      <c r="DY78" s="40"/>
      <c r="DZ78" s="37" t="s">
        <v>402</v>
      </c>
      <c r="EA78" s="39"/>
      <c r="EB78" s="37"/>
      <c r="EC78" s="37"/>
      <c r="ED78" s="16"/>
      <c r="EE78" s="1"/>
      <c r="EF78" s="55"/>
    </row>
    <row r="79" spans="1:136">
      <c r="A79" s="219" t="s">
        <v>976</v>
      </c>
      <c r="B79" s="219" t="s">
        <v>868</v>
      </c>
      <c r="C79" s="219" t="s">
        <v>865</v>
      </c>
      <c r="D79" s="13">
        <f>'Run Parameters'!$B$1 + ROW()-1</f>
        <v>720</v>
      </c>
      <c r="E79" s="15" t="s">
        <v>47</v>
      </c>
      <c r="F79" s="18" t="s">
        <v>966</v>
      </c>
      <c r="G79" s="13" t="str">
        <f t="shared" si="90"/>
        <v>Access Dtls-720</v>
      </c>
      <c r="H79" s="15" t="s">
        <v>275</v>
      </c>
      <c r="I79" s="13" t="str">
        <f>("MR. Test_78_EXCH5_"&amp;D79&amp;"")</f>
        <v>MR. Test_78_EXCH5_720</v>
      </c>
      <c r="J79" s="18"/>
      <c r="K79" s="19" t="s">
        <v>425</v>
      </c>
      <c r="L79" s="13" t="str">
        <f t="shared" si="91"/>
        <v>Cust. Ref-720</v>
      </c>
      <c r="M79" s="15" t="s">
        <v>48</v>
      </c>
      <c r="N79" s="15" t="s">
        <v>425</v>
      </c>
      <c r="O79" s="13"/>
      <c r="P79" s="13" t="str">
        <f t="shared" si="92"/>
        <v>SN-720</v>
      </c>
      <c r="Q79" s="13" t="str">
        <f t="shared" si="93"/>
        <v>SI-720</v>
      </c>
      <c r="R79" s="13" t="str">
        <f t="shared" si="94"/>
        <v>SE-720</v>
      </c>
      <c r="S79" s="54" t="str">
        <f t="shared" si="95"/>
        <v>Prev_RA-720</v>
      </c>
      <c r="T79" s="54" t="str">
        <f t="shared" si="96"/>
        <v>Prev_Comms-720</v>
      </c>
      <c r="U79" s="17" t="s">
        <v>75</v>
      </c>
      <c r="V79" s="15" t="s">
        <v>401</v>
      </c>
      <c r="W79" s="17" t="s">
        <v>75</v>
      </c>
      <c r="X79" s="15" t="s">
        <v>396</v>
      </c>
      <c r="Y79" s="13" t="str">
        <f t="shared" si="97"/>
        <v>Forward Add-720</v>
      </c>
      <c r="Z79" s="15" t="s">
        <v>401</v>
      </c>
      <c r="AA79" s="136" t="str">
        <f>'Run Parameters'!$B$2</f>
        <v>2018-08-13 08:00</v>
      </c>
      <c r="AB79" s="223" t="str">
        <f>'Run Parameters'!B$3</f>
        <v>2018-08-13 18:00</v>
      </c>
      <c r="AC79" s="26">
        <f>('Run Parameters'!$B$2) - 7</f>
        <v>43318.333333333336</v>
      </c>
      <c r="AD79" s="17" t="s">
        <v>75</v>
      </c>
      <c r="AE79" s="18" t="str">
        <f t="shared" si="98"/>
        <v>LAST_METER-720</v>
      </c>
      <c r="AF79" s="136" t="str">
        <f>'Run Parameters'!$B$2</f>
        <v>2018-08-13 08:00</v>
      </c>
      <c r="AG79" s="13" t="str">
        <f>'Run Parameters'!B$4</f>
        <v>AUTOTEST2</v>
      </c>
      <c r="AH79" s="54" t="str">
        <f t="shared" si="99"/>
        <v>Site_Contact_720</v>
      </c>
      <c r="AI79" s="136" t="str">
        <f>'Run Parameters'!B$2</f>
        <v>2018-08-13 08:00</v>
      </c>
      <c r="AJ79" s="223" t="str">
        <f>'Run Parameters'!B$3</f>
        <v>2018-08-13 18:00</v>
      </c>
      <c r="AK79" s="13" t="s">
        <v>396</v>
      </c>
      <c r="AL79" s="54" t="str">
        <f t="shared" si="100"/>
        <v>01159720</v>
      </c>
      <c r="AM79" s="13" t="str">
        <f t="shared" si="101"/>
        <v>0115720</v>
      </c>
      <c r="AN79" s="15"/>
      <c r="AO79" s="52"/>
      <c r="AP79" s="13">
        <v>1</v>
      </c>
      <c r="AQ79" s="53" t="s">
        <v>49</v>
      </c>
      <c r="AR79" s="15"/>
      <c r="AS79" s="13"/>
      <c r="AT79" s="7"/>
      <c r="AU79" s="7"/>
      <c r="AV79" s="13">
        <f t="shared" si="102"/>
        <v>720</v>
      </c>
      <c r="AW79" s="13" t="s">
        <v>422</v>
      </c>
      <c r="AX79" s="13" t="s">
        <v>420</v>
      </c>
      <c r="AY79" s="13" t="s">
        <v>421</v>
      </c>
      <c r="AZ79" s="15" t="s">
        <v>334</v>
      </c>
      <c r="BA79" s="14" t="s">
        <v>154</v>
      </c>
      <c r="BB79" s="21">
        <v>1</v>
      </c>
      <c r="BC79" s="20">
        <f t="shared" si="103"/>
        <v>720</v>
      </c>
      <c r="BD79" s="16" t="s">
        <v>967</v>
      </c>
      <c r="BE79" s="16" t="s">
        <v>391</v>
      </c>
      <c r="BF79" s="16" t="s">
        <v>391</v>
      </c>
      <c r="BG79" s="20" t="s">
        <v>966</v>
      </c>
      <c r="BH79" s="20" t="str">
        <f t="shared" si="104"/>
        <v>720_1</v>
      </c>
      <c r="BI79" s="21"/>
      <c r="BJ79" s="21" t="str">
        <f t="shared" si="105"/>
        <v>10000000720</v>
      </c>
      <c r="BK79" s="16" t="s">
        <v>51</v>
      </c>
      <c r="BL79" s="16" t="s">
        <v>54</v>
      </c>
      <c r="BM79" s="20" t="s">
        <v>411</v>
      </c>
      <c r="BN79" s="16" t="s">
        <v>51</v>
      </c>
      <c r="BO79" s="20" t="str">
        <f t="shared" si="106"/>
        <v>S05S720</v>
      </c>
      <c r="BP79" s="16" t="s">
        <v>402</v>
      </c>
      <c r="BQ79" s="16" t="s">
        <v>402</v>
      </c>
      <c r="BR79" s="20" t="s">
        <v>161</v>
      </c>
      <c r="BS79" s="16" t="s">
        <v>50</v>
      </c>
      <c r="BT79" s="16" t="s">
        <v>135</v>
      </c>
      <c r="BU79" s="16" t="s">
        <v>393</v>
      </c>
      <c r="BV79" s="16" t="s">
        <v>51</v>
      </c>
      <c r="BW79" s="16" t="s">
        <v>154</v>
      </c>
      <c r="BX79" s="16"/>
      <c r="BY79" s="16"/>
      <c r="BZ79" s="16" t="s">
        <v>157</v>
      </c>
      <c r="CA79" s="16" t="s">
        <v>269</v>
      </c>
      <c r="CB79" s="16" t="s">
        <v>412</v>
      </c>
      <c r="CC79" s="16" t="s">
        <v>781</v>
      </c>
      <c r="CD79" s="16" t="s">
        <v>392</v>
      </c>
      <c r="CE79" s="16" t="s">
        <v>396</v>
      </c>
      <c r="CF79" s="16" t="s">
        <v>398</v>
      </c>
      <c r="CG79" s="16" t="s">
        <v>968</v>
      </c>
      <c r="CH79" s="16" t="s">
        <v>159</v>
      </c>
      <c r="CI79" s="11"/>
      <c r="CJ79" s="11"/>
      <c r="CK79" s="12"/>
      <c r="CL79" s="7"/>
      <c r="CM79" s="7"/>
      <c r="CN79" s="11"/>
      <c r="CO79" s="6"/>
      <c r="CP79" s="7"/>
      <c r="CQ79" s="6"/>
      <c r="CR79" s="11"/>
      <c r="CS79" s="7"/>
      <c r="CT79" s="27"/>
      <c r="CU79" s="11"/>
      <c r="CV79" s="7"/>
      <c r="CW79" s="7"/>
      <c r="CX79" s="7"/>
      <c r="CY79" s="7"/>
      <c r="CZ79" s="7"/>
      <c r="DA79" s="7"/>
      <c r="DB79" s="6"/>
      <c r="DC79" s="7"/>
      <c r="DD79" s="12"/>
      <c r="DE79" s="7"/>
      <c r="DF79" s="7"/>
      <c r="DG79" s="7"/>
      <c r="DH79" s="7"/>
      <c r="DI79" s="7"/>
      <c r="DJ79" s="10"/>
      <c r="DK79" s="12"/>
      <c r="DL79" s="40"/>
      <c r="DM79" s="40"/>
      <c r="DN79" s="38" t="str">
        <f t="shared" si="38"/>
        <v>DS_Pass-720</v>
      </c>
      <c r="DO79" s="40"/>
      <c r="DP79" s="40"/>
      <c r="DQ79" s="40"/>
      <c r="DR79" s="41"/>
      <c r="DS79" s="41"/>
      <c r="DT79" s="40"/>
      <c r="DU79" s="40"/>
      <c r="DV79" s="40"/>
      <c r="DW79" s="41"/>
      <c r="DX79" s="40"/>
      <c r="DY79" s="40"/>
      <c r="DZ79" s="37" t="s">
        <v>402</v>
      </c>
      <c r="EA79" s="39"/>
      <c r="EB79" s="37"/>
      <c r="EC79" s="37"/>
      <c r="ED79" s="16"/>
      <c r="EE79" s="1"/>
      <c r="EF79" s="55"/>
    </row>
    <row r="80" spans="1:136">
      <c r="A80" s="219" t="s">
        <v>977</v>
      </c>
      <c r="B80" s="219" t="s">
        <v>892</v>
      </c>
      <c r="C80" s="219" t="s">
        <v>865</v>
      </c>
      <c r="D80" s="13">
        <f>'Run Parameters'!$B$1 + ROW()-1</f>
        <v>721</v>
      </c>
      <c r="E80" s="15" t="s">
        <v>47</v>
      </c>
      <c r="F80" s="18" t="s">
        <v>966</v>
      </c>
      <c r="G80" s="13" t="str">
        <f t="shared" si="90"/>
        <v>Access Dtls-721</v>
      </c>
      <c r="H80" s="15" t="s">
        <v>275</v>
      </c>
      <c r="I80" s="13" t="str">
        <f>("MR. Test_79_EXCH5_"&amp;D80&amp;"")</f>
        <v>MR. Test_79_EXCH5_721</v>
      </c>
      <c r="J80" s="18"/>
      <c r="K80" s="19" t="s">
        <v>425</v>
      </c>
      <c r="L80" s="13" t="str">
        <f t="shared" si="91"/>
        <v>Cust. Ref-721</v>
      </c>
      <c r="M80" s="15" t="s">
        <v>48</v>
      </c>
      <c r="N80" s="15" t="s">
        <v>425</v>
      </c>
      <c r="O80" s="13"/>
      <c r="P80" s="13" t="str">
        <f t="shared" si="92"/>
        <v>SN-721</v>
      </c>
      <c r="Q80" s="13" t="str">
        <f t="shared" si="93"/>
        <v>SI-721</v>
      </c>
      <c r="R80" s="13" t="str">
        <f t="shared" si="94"/>
        <v>SE-721</v>
      </c>
      <c r="S80" s="54" t="str">
        <f t="shared" si="95"/>
        <v>Prev_RA-721</v>
      </c>
      <c r="T80" s="54" t="str">
        <f t="shared" si="96"/>
        <v>Prev_Comms-721</v>
      </c>
      <c r="U80" s="17" t="s">
        <v>75</v>
      </c>
      <c r="V80" s="15" t="s">
        <v>401</v>
      </c>
      <c r="W80" s="17" t="s">
        <v>75</v>
      </c>
      <c r="X80" s="15" t="s">
        <v>396</v>
      </c>
      <c r="Y80" s="13" t="str">
        <f t="shared" si="97"/>
        <v>Forward Add-721</v>
      </c>
      <c r="Z80" s="15" t="s">
        <v>401</v>
      </c>
      <c r="AA80" s="136" t="str">
        <f>'Run Parameters'!$B$2</f>
        <v>2018-08-13 08:00</v>
      </c>
      <c r="AB80" s="223" t="str">
        <f>'Run Parameters'!B$3</f>
        <v>2018-08-13 18:00</v>
      </c>
      <c r="AC80" s="26">
        <f>('Run Parameters'!$B$2) - 7</f>
        <v>43318.333333333336</v>
      </c>
      <c r="AD80" s="17" t="s">
        <v>75</v>
      </c>
      <c r="AE80" s="18" t="str">
        <f t="shared" si="98"/>
        <v>LAST_METER-721</v>
      </c>
      <c r="AF80" s="136" t="str">
        <f>'Run Parameters'!$B$2</f>
        <v>2018-08-13 08:00</v>
      </c>
      <c r="AG80" s="13" t="str">
        <f>'Run Parameters'!B$4</f>
        <v>AUTOTEST2</v>
      </c>
      <c r="AH80" s="54" t="str">
        <f t="shared" si="99"/>
        <v>Site_Contact_721</v>
      </c>
      <c r="AI80" s="136" t="str">
        <f>'Run Parameters'!B$2</f>
        <v>2018-08-13 08:00</v>
      </c>
      <c r="AJ80" s="223" t="str">
        <f>'Run Parameters'!B$3</f>
        <v>2018-08-13 18:00</v>
      </c>
      <c r="AK80" s="13" t="s">
        <v>396</v>
      </c>
      <c r="AL80" s="54" t="str">
        <f t="shared" si="100"/>
        <v>01159721</v>
      </c>
      <c r="AM80" s="13" t="str">
        <f t="shared" si="101"/>
        <v>0115721</v>
      </c>
      <c r="AN80" s="15"/>
      <c r="AO80" s="52"/>
      <c r="AP80" s="13">
        <v>1</v>
      </c>
      <c r="AQ80" s="53" t="s">
        <v>49</v>
      </c>
      <c r="AR80" s="15"/>
      <c r="AS80" s="13"/>
      <c r="AT80" s="7"/>
      <c r="AU80" s="7"/>
      <c r="AV80" s="13">
        <f t="shared" si="102"/>
        <v>721</v>
      </c>
      <c r="AW80" s="13" t="s">
        <v>422</v>
      </c>
      <c r="AX80" s="13" t="s">
        <v>420</v>
      </c>
      <c r="AY80" s="13" t="s">
        <v>421</v>
      </c>
      <c r="AZ80" s="15" t="s">
        <v>334</v>
      </c>
      <c r="BA80" s="14" t="s">
        <v>154</v>
      </c>
      <c r="BB80" s="21">
        <v>1</v>
      </c>
      <c r="BC80" s="20">
        <f t="shared" si="103"/>
        <v>721</v>
      </c>
      <c r="BD80" s="16" t="s">
        <v>967</v>
      </c>
      <c r="BE80" s="16" t="s">
        <v>391</v>
      </c>
      <c r="BF80" s="16" t="s">
        <v>391</v>
      </c>
      <c r="BG80" s="20" t="s">
        <v>966</v>
      </c>
      <c r="BH80" s="20" t="str">
        <f t="shared" si="104"/>
        <v>721_1</v>
      </c>
      <c r="BI80" s="21"/>
      <c r="BJ80" s="21" t="str">
        <f t="shared" si="105"/>
        <v>10000000721</v>
      </c>
      <c r="BK80" s="16" t="s">
        <v>51</v>
      </c>
      <c r="BL80" s="16" t="s">
        <v>54</v>
      </c>
      <c r="BM80" s="20" t="s">
        <v>411</v>
      </c>
      <c r="BN80" s="16" t="s">
        <v>51</v>
      </c>
      <c r="BO80" s="20" t="str">
        <f t="shared" si="106"/>
        <v>S05S721</v>
      </c>
      <c r="BP80" s="16" t="s">
        <v>402</v>
      </c>
      <c r="BQ80" s="16" t="s">
        <v>402</v>
      </c>
      <c r="BR80" s="20" t="s">
        <v>161</v>
      </c>
      <c r="BS80" s="16" t="s">
        <v>50</v>
      </c>
      <c r="BT80" s="16" t="s">
        <v>135</v>
      </c>
      <c r="BU80" s="16" t="s">
        <v>393</v>
      </c>
      <c r="BV80" s="16" t="s">
        <v>51</v>
      </c>
      <c r="BW80" s="16" t="s">
        <v>154</v>
      </c>
      <c r="BX80" s="16"/>
      <c r="BY80" s="16"/>
      <c r="BZ80" s="16" t="s">
        <v>157</v>
      </c>
      <c r="CA80" s="16" t="s">
        <v>269</v>
      </c>
      <c r="CB80" s="16" t="s">
        <v>412</v>
      </c>
      <c r="CC80" s="16" t="s">
        <v>781</v>
      </c>
      <c r="CD80" s="16" t="s">
        <v>392</v>
      </c>
      <c r="CE80" s="16" t="s">
        <v>396</v>
      </c>
      <c r="CF80" s="16" t="s">
        <v>398</v>
      </c>
      <c r="CG80" s="16" t="s">
        <v>968</v>
      </c>
      <c r="CH80" s="16" t="s">
        <v>159</v>
      </c>
      <c r="CI80" s="11"/>
      <c r="CJ80" s="11"/>
      <c r="CK80" s="12"/>
      <c r="CL80" s="7"/>
      <c r="CM80" s="7"/>
      <c r="CN80" s="11"/>
      <c r="CO80" s="6"/>
      <c r="CP80" s="7"/>
      <c r="CQ80" s="6"/>
      <c r="CR80" s="11"/>
      <c r="CS80" s="7"/>
      <c r="CT80" s="27"/>
      <c r="CU80" s="11"/>
      <c r="CV80" s="7"/>
      <c r="CW80" s="7"/>
      <c r="CX80" s="7"/>
      <c r="CY80" s="7"/>
      <c r="CZ80" s="7"/>
      <c r="DA80" s="7"/>
      <c r="DB80" s="6"/>
      <c r="DC80" s="7"/>
      <c r="DD80" s="12"/>
      <c r="DE80" s="7"/>
      <c r="DF80" s="7"/>
      <c r="DG80" s="7"/>
      <c r="DH80" s="7"/>
      <c r="DI80" s="7"/>
      <c r="DJ80" s="10"/>
      <c r="DK80" s="12"/>
      <c r="DL80" s="40"/>
      <c r="DM80" s="40"/>
      <c r="DN80" s="38" t="str">
        <f t="shared" si="38"/>
        <v>DS_Pass-721</v>
      </c>
      <c r="DO80" s="40"/>
      <c r="DP80" s="40"/>
      <c r="DQ80" s="40"/>
      <c r="DR80" s="41"/>
      <c r="DS80" s="41"/>
      <c r="DT80" s="40"/>
      <c r="DU80" s="40"/>
      <c r="DV80" s="40"/>
      <c r="DW80" s="41"/>
      <c r="DX80" s="40"/>
      <c r="DY80" s="40"/>
      <c r="DZ80" s="37" t="s">
        <v>402</v>
      </c>
      <c r="EA80" s="39"/>
      <c r="EB80" s="37"/>
      <c r="EC80" s="37"/>
      <c r="ED80" s="16"/>
      <c r="EE80" s="1"/>
      <c r="EF80" s="55"/>
    </row>
    <row r="81" spans="1:136">
      <c r="A81" s="219" t="s">
        <v>978</v>
      </c>
      <c r="B81" s="219" t="s">
        <v>868</v>
      </c>
      <c r="C81" s="219" t="s">
        <v>865</v>
      </c>
      <c r="D81" s="13">
        <f>'Run Parameters'!$B$1 + ROW()-1</f>
        <v>722</v>
      </c>
      <c r="E81" s="15" t="s">
        <v>47</v>
      </c>
      <c r="F81" s="18" t="s">
        <v>966</v>
      </c>
      <c r="G81" s="13" t="str">
        <f t="shared" si="90"/>
        <v>Access Dtls-722</v>
      </c>
      <c r="H81" s="15" t="s">
        <v>275</v>
      </c>
      <c r="I81" s="13" t="str">
        <f>("MR. Test_80_EXCH5_"&amp;D81&amp;"")</f>
        <v>MR. Test_80_EXCH5_722</v>
      </c>
      <c r="J81" s="18"/>
      <c r="K81" s="19" t="s">
        <v>425</v>
      </c>
      <c r="L81" s="13" t="str">
        <f t="shared" si="91"/>
        <v>Cust. Ref-722</v>
      </c>
      <c r="M81" s="15" t="s">
        <v>48</v>
      </c>
      <c r="N81" s="15" t="s">
        <v>425</v>
      </c>
      <c r="O81" s="13"/>
      <c r="P81" s="13" t="str">
        <f t="shared" si="92"/>
        <v>SN-722</v>
      </c>
      <c r="Q81" s="13" t="str">
        <f t="shared" si="93"/>
        <v>SI-722</v>
      </c>
      <c r="R81" s="13" t="str">
        <f t="shared" si="94"/>
        <v>SE-722</v>
      </c>
      <c r="S81" s="54" t="str">
        <f t="shared" si="95"/>
        <v>Prev_RA-722</v>
      </c>
      <c r="T81" s="54" t="str">
        <f t="shared" si="96"/>
        <v>Prev_Comms-722</v>
      </c>
      <c r="U81" s="17" t="s">
        <v>75</v>
      </c>
      <c r="V81" s="15" t="s">
        <v>401</v>
      </c>
      <c r="W81" s="17" t="s">
        <v>75</v>
      </c>
      <c r="X81" s="15" t="s">
        <v>396</v>
      </c>
      <c r="Y81" s="13" t="str">
        <f t="shared" si="97"/>
        <v>Forward Add-722</v>
      </c>
      <c r="Z81" s="15" t="s">
        <v>401</v>
      </c>
      <c r="AA81" s="136" t="str">
        <f>'Run Parameters'!$B$2</f>
        <v>2018-08-13 08:00</v>
      </c>
      <c r="AB81" s="223" t="str">
        <f>'Run Parameters'!B$3</f>
        <v>2018-08-13 18:00</v>
      </c>
      <c r="AC81" s="26">
        <f>('Run Parameters'!$B$2) - 7</f>
        <v>43318.333333333336</v>
      </c>
      <c r="AD81" s="17" t="s">
        <v>75</v>
      </c>
      <c r="AE81" s="18" t="str">
        <f t="shared" si="98"/>
        <v>LAST_METER-722</v>
      </c>
      <c r="AF81" s="136" t="str">
        <f>'Run Parameters'!$B$2</f>
        <v>2018-08-13 08:00</v>
      </c>
      <c r="AG81" s="13" t="str">
        <f>'Run Parameters'!B$4</f>
        <v>AUTOTEST2</v>
      </c>
      <c r="AH81" s="54" t="str">
        <f t="shared" si="99"/>
        <v>Site_Contact_722</v>
      </c>
      <c r="AI81" s="136" t="str">
        <f>'Run Parameters'!B$2</f>
        <v>2018-08-13 08:00</v>
      </c>
      <c r="AJ81" s="223" t="str">
        <f>'Run Parameters'!B$3</f>
        <v>2018-08-13 18:00</v>
      </c>
      <c r="AK81" s="13" t="s">
        <v>396</v>
      </c>
      <c r="AL81" s="54" t="str">
        <f t="shared" si="100"/>
        <v>01159722</v>
      </c>
      <c r="AM81" s="13" t="str">
        <f t="shared" si="101"/>
        <v>0115722</v>
      </c>
      <c r="AN81" s="15"/>
      <c r="AO81" s="52"/>
      <c r="AP81" s="13">
        <v>1</v>
      </c>
      <c r="AQ81" s="53" t="s">
        <v>49</v>
      </c>
      <c r="AR81" s="15"/>
      <c r="AS81" s="13"/>
      <c r="AT81" s="7"/>
      <c r="AU81" s="7"/>
      <c r="AV81" s="13">
        <f t="shared" si="102"/>
        <v>722</v>
      </c>
      <c r="AW81" s="13" t="s">
        <v>422</v>
      </c>
      <c r="AX81" s="13" t="s">
        <v>420</v>
      </c>
      <c r="AY81" s="13" t="s">
        <v>421</v>
      </c>
      <c r="AZ81" s="15" t="s">
        <v>334</v>
      </c>
      <c r="BA81" s="14" t="s">
        <v>154</v>
      </c>
      <c r="BB81" s="21">
        <v>1</v>
      </c>
      <c r="BC81" s="20">
        <f t="shared" si="103"/>
        <v>722</v>
      </c>
      <c r="BD81" s="16" t="s">
        <v>967</v>
      </c>
      <c r="BE81" s="16" t="s">
        <v>391</v>
      </c>
      <c r="BF81" s="16" t="s">
        <v>391</v>
      </c>
      <c r="BG81" s="20" t="s">
        <v>966</v>
      </c>
      <c r="BH81" s="20" t="str">
        <f t="shared" si="104"/>
        <v>722_1</v>
      </c>
      <c r="BI81" s="21"/>
      <c r="BJ81" s="21" t="str">
        <f t="shared" si="105"/>
        <v>10000000722</v>
      </c>
      <c r="BK81" s="16" t="s">
        <v>51</v>
      </c>
      <c r="BL81" s="16" t="s">
        <v>54</v>
      </c>
      <c r="BM81" s="20" t="s">
        <v>411</v>
      </c>
      <c r="BN81" s="16" t="s">
        <v>51</v>
      </c>
      <c r="BO81" s="20" t="str">
        <f t="shared" si="106"/>
        <v>S05S722</v>
      </c>
      <c r="BP81" s="16" t="s">
        <v>402</v>
      </c>
      <c r="BQ81" s="16" t="s">
        <v>402</v>
      </c>
      <c r="BR81" s="20" t="s">
        <v>161</v>
      </c>
      <c r="BS81" s="16" t="s">
        <v>50</v>
      </c>
      <c r="BT81" s="16" t="s">
        <v>135</v>
      </c>
      <c r="BU81" s="16" t="s">
        <v>393</v>
      </c>
      <c r="BV81" s="16" t="s">
        <v>51</v>
      </c>
      <c r="BW81" s="16" t="s">
        <v>154</v>
      </c>
      <c r="BX81" s="16"/>
      <c r="BY81" s="16"/>
      <c r="BZ81" s="16" t="s">
        <v>157</v>
      </c>
      <c r="CA81" s="16" t="s">
        <v>269</v>
      </c>
      <c r="CB81" s="16" t="s">
        <v>412</v>
      </c>
      <c r="CC81" s="16" t="s">
        <v>781</v>
      </c>
      <c r="CD81" s="16" t="s">
        <v>392</v>
      </c>
      <c r="CE81" s="16" t="s">
        <v>396</v>
      </c>
      <c r="CF81" s="16" t="s">
        <v>398</v>
      </c>
      <c r="CG81" s="16" t="s">
        <v>968</v>
      </c>
      <c r="CH81" s="16" t="s">
        <v>159</v>
      </c>
      <c r="CI81" s="11"/>
      <c r="CJ81" s="11"/>
      <c r="CK81" s="12"/>
      <c r="CL81" s="7"/>
      <c r="CM81" s="7"/>
      <c r="CN81" s="11"/>
      <c r="CO81" s="6"/>
      <c r="CP81" s="7"/>
      <c r="CQ81" s="6"/>
      <c r="CR81" s="11"/>
      <c r="CS81" s="7"/>
      <c r="CT81" s="27"/>
      <c r="CU81" s="11"/>
      <c r="CV81" s="7"/>
      <c r="CW81" s="7"/>
      <c r="CX81" s="7"/>
      <c r="CY81" s="7"/>
      <c r="CZ81" s="7"/>
      <c r="DA81" s="7"/>
      <c r="DB81" s="6"/>
      <c r="DC81" s="7"/>
      <c r="DD81" s="12"/>
      <c r="DE81" s="7"/>
      <c r="DF81" s="7"/>
      <c r="DG81" s="7"/>
      <c r="DH81" s="7"/>
      <c r="DI81" s="7"/>
      <c r="DJ81" s="10"/>
      <c r="DK81" s="12"/>
      <c r="DL81" s="40"/>
      <c r="DM81" s="40"/>
      <c r="DN81" s="38" t="str">
        <f t="shared" si="38"/>
        <v>DS_Pass-722</v>
      </c>
      <c r="DO81" s="40"/>
      <c r="DP81" s="40"/>
      <c r="DQ81" s="40"/>
      <c r="DR81" s="41"/>
      <c r="DS81" s="41"/>
      <c r="DT81" s="40"/>
      <c r="DU81" s="40"/>
      <c r="DV81" s="40"/>
      <c r="DW81" s="41"/>
      <c r="DX81" s="40"/>
      <c r="DY81" s="40"/>
      <c r="DZ81" s="37" t="s">
        <v>402</v>
      </c>
      <c r="EA81" s="39"/>
      <c r="EB81" s="37"/>
      <c r="EC81" s="37"/>
      <c r="ED81" s="16"/>
      <c r="EE81" s="1"/>
      <c r="EF81" s="55"/>
    </row>
    <row r="82" spans="1:136">
      <c r="A82" s="219" t="s">
        <v>979</v>
      </c>
      <c r="B82" s="219" t="s">
        <v>892</v>
      </c>
      <c r="C82" s="219" t="s">
        <v>865</v>
      </c>
      <c r="D82" s="13">
        <f>'Run Parameters'!$B$1 + ROW()-1</f>
        <v>723</v>
      </c>
      <c r="E82" s="15" t="s">
        <v>47</v>
      </c>
      <c r="F82" s="18" t="s">
        <v>966</v>
      </c>
      <c r="G82" s="13" t="str">
        <f t="shared" si="90"/>
        <v>Access Dtls-723</v>
      </c>
      <c r="H82" s="15" t="s">
        <v>275</v>
      </c>
      <c r="I82" s="13" t="str">
        <f>("MR. Test_81_EXCH5_"&amp;D82&amp;"")</f>
        <v>MR. Test_81_EXCH5_723</v>
      </c>
      <c r="J82" s="18"/>
      <c r="K82" s="19" t="s">
        <v>425</v>
      </c>
      <c r="L82" s="13" t="str">
        <f t="shared" si="91"/>
        <v>Cust. Ref-723</v>
      </c>
      <c r="M82" s="15" t="s">
        <v>48</v>
      </c>
      <c r="N82" s="15" t="s">
        <v>425</v>
      </c>
      <c r="O82" s="13"/>
      <c r="P82" s="13" t="str">
        <f t="shared" si="92"/>
        <v>SN-723</v>
      </c>
      <c r="Q82" s="13" t="str">
        <f t="shared" si="93"/>
        <v>SI-723</v>
      </c>
      <c r="R82" s="13" t="str">
        <f t="shared" si="94"/>
        <v>SE-723</v>
      </c>
      <c r="S82" s="54" t="str">
        <f t="shared" si="95"/>
        <v>Prev_RA-723</v>
      </c>
      <c r="T82" s="54" t="str">
        <f t="shared" si="96"/>
        <v>Prev_Comms-723</v>
      </c>
      <c r="U82" s="17" t="s">
        <v>75</v>
      </c>
      <c r="V82" s="15" t="s">
        <v>401</v>
      </c>
      <c r="W82" s="17" t="s">
        <v>75</v>
      </c>
      <c r="X82" s="15" t="s">
        <v>396</v>
      </c>
      <c r="Y82" s="13" t="str">
        <f t="shared" si="97"/>
        <v>Forward Add-723</v>
      </c>
      <c r="Z82" s="15" t="s">
        <v>401</v>
      </c>
      <c r="AA82" s="136" t="str">
        <f>'Run Parameters'!$B$2</f>
        <v>2018-08-13 08:00</v>
      </c>
      <c r="AB82" s="223" t="str">
        <f>'Run Parameters'!B$3</f>
        <v>2018-08-13 18:00</v>
      </c>
      <c r="AC82" s="26">
        <f>('Run Parameters'!$B$2) - 7</f>
        <v>43318.333333333336</v>
      </c>
      <c r="AD82" s="17" t="s">
        <v>75</v>
      </c>
      <c r="AE82" s="18" t="str">
        <f t="shared" si="98"/>
        <v>LAST_METER-723</v>
      </c>
      <c r="AF82" s="136" t="str">
        <f>'Run Parameters'!$B$2</f>
        <v>2018-08-13 08:00</v>
      </c>
      <c r="AG82" s="13" t="str">
        <f>'Run Parameters'!B$4</f>
        <v>AUTOTEST2</v>
      </c>
      <c r="AH82" s="54" t="str">
        <f t="shared" si="99"/>
        <v>Site_Contact_723</v>
      </c>
      <c r="AI82" s="136" t="str">
        <f>'Run Parameters'!B$2</f>
        <v>2018-08-13 08:00</v>
      </c>
      <c r="AJ82" s="223" t="str">
        <f>'Run Parameters'!B$3</f>
        <v>2018-08-13 18:00</v>
      </c>
      <c r="AK82" s="13" t="s">
        <v>396</v>
      </c>
      <c r="AL82" s="54" t="str">
        <f t="shared" si="100"/>
        <v>01159723</v>
      </c>
      <c r="AM82" s="13" t="str">
        <f t="shared" si="101"/>
        <v>0115723</v>
      </c>
      <c r="AN82" s="15"/>
      <c r="AO82" s="52"/>
      <c r="AP82" s="13">
        <v>1</v>
      </c>
      <c r="AQ82" s="53" t="s">
        <v>49</v>
      </c>
      <c r="AR82" s="15"/>
      <c r="AS82" s="13"/>
      <c r="AT82" s="7"/>
      <c r="AU82" s="7"/>
      <c r="AV82" s="13">
        <f t="shared" si="102"/>
        <v>723</v>
      </c>
      <c r="AW82" s="13" t="s">
        <v>422</v>
      </c>
      <c r="AX82" s="13" t="s">
        <v>420</v>
      </c>
      <c r="AY82" s="13" t="s">
        <v>421</v>
      </c>
      <c r="AZ82" s="15" t="s">
        <v>334</v>
      </c>
      <c r="BA82" s="14" t="s">
        <v>154</v>
      </c>
      <c r="BB82" s="21">
        <v>1</v>
      </c>
      <c r="BC82" s="20">
        <f t="shared" si="103"/>
        <v>723</v>
      </c>
      <c r="BD82" s="16" t="s">
        <v>967</v>
      </c>
      <c r="BE82" s="16" t="s">
        <v>391</v>
      </c>
      <c r="BF82" s="16" t="s">
        <v>391</v>
      </c>
      <c r="BG82" s="20" t="s">
        <v>966</v>
      </c>
      <c r="BH82" s="20" t="str">
        <f t="shared" si="104"/>
        <v>723_1</v>
      </c>
      <c r="BI82" s="21"/>
      <c r="BJ82" s="21" t="str">
        <f t="shared" si="105"/>
        <v>10000000723</v>
      </c>
      <c r="BK82" s="16" t="s">
        <v>51</v>
      </c>
      <c r="BL82" s="16" t="s">
        <v>54</v>
      </c>
      <c r="BM82" s="20" t="s">
        <v>411</v>
      </c>
      <c r="BN82" s="16" t="s">
        <v>51</v>
      </c>
      <c r="BO82" s="20" t="str">
        <f t="shared" si="106"/>
        <v>S05S723</v>
      </c>
      <c r="BP82" s="16" t="s">
        <v>402</v>
      </c>
      <c r="BQ82" s="16" t="s">
        <v>402</v>
      </c>
      <c r="BR82" s="20" t="s">
        <v>161</v>
      </c>
      <c r="BS82" s="16" t="s">
        <v>50</v>
      </c>
      <c r="BT82" s="16" t="s">
        <v>135</v>
      </c>
      <c r="BU82" s="16" t="s">
        <v>393</v>
      </c>
      <c r="BV82" s="16" t="s">
        <v>51</v>
      </c>
      <c r="BW82" s="16" t="s">
        <v>154</v>
      </c>
      <c r="BX82" s="16"/>
      <c r="BY82" s="16"/>
      <c r="BZ82" s="16" t="s">
        <v>157</v>
      </c>
      <c r="CA82" s="16" t="s">
        <v>269</v>
      </c>
      <c r="CB82" s="16" t="s">
        <v>412</v>
      </c>
      <c r="CC82" s="16" t="s">
        <v>781</v>
      </c>
      <c r="CD82" s="16" t="s">
        <v>392</v>
      </c>
      <c r="CE82" s="16" t="s">
        <v>396</v>
      </c>
      <c r="CF82" s="16" t="s">
        <v>398</v>
      </c>
      <c r="CG82" s="16" t="s">
        <v>968</v>
      </c>
      <c r="CH82" s="16" t="s">
        <v>159</v>
      </c>
      <c r="CI82" s="11"/>
      <c r="CJ82" s="11"/>
      <c r="CK82" s="12"/>
      <c r="CL82" s="7"/>
      <c r="CM82" s="7"/>
      <c r="CN82" s="11"/>
      <c r="CO82" s="6"/>
      <c r="CP82" s="7"/>
      <c r="CQ82" s="6"/>
      <c r="CR82" s="11"/>
      <c r="CS82" s="7"/>
      <c r="CT82" s="27"/>
      <c r="CU82" s="11"/>
      <c r="CV82" s="7"/>
      <c r="CW82" s="7"/>
      <c r="CX82" s="7"/>
      <c r="CY82" s="7"/>
      <c r="CZ82" s="7"/>
      <c r="DA82" s="7"/>
      <c r="DB82" s="6"/>
      <c r="DC82" s="7"/>
      <c r="DD82" s="12"/>
      <c r="DE82" s="7"/>
      <c r="DF82" s="7"/>
      <c r="DG82" s="7"/>
      <c r="DH82" s="7"/>
      <c r="DI82" s="7"/>
      <c r="DJ82" s="10"/>
      <c r="DK82" s="12"/>
      <c r="DL82" s="40"/>
      <c r="DM82" s="40"/>
      <c r="DN82" s="38" t="str">
        <f t="shared" si="38"/>
        <v>DS_Pass-723</v>
      </c>
      <c r="DO82" s="40"/>
      <c r="DP82" s="40"/>
      <c r="DQ82" s="40"/>
      <c r="DR82" s="41"/>
      <c r="DS82" s="41"/>
      <c r="DT82" s="40"/>
      <c r="DU82" s="40"/>
      <c r="DV82" s="40"/>
      <c r="DW82" s="41"/>
      <c r="DX82" s="40"/>
      <c r="DY82" s="40"/>
      <c r="DZ82" s="37" t="s">
        <v>402</v>
      </c>
      <c r="EA82" s="39"/>
      <c r="EB82" s="37"/>
      <c r="EC82" s="37"/>
      <c r="ED82" s="16"/>
      <c r="EE82" s="1"/>
      <c r="EF82" s="55"/>
    </row>
    <row r="83" spans="1:136">
      <c r="A83" s="219" t="s">
        <v>1085</v>
      </c>
      <c r="B83" s="219" t="s">
        <v>892</v>
      </c>
      <c r="C83" s="219" t="s">
        <v>865</v>
      </c>
      <c r="D83" s="13">
        <f>'Run Parameters'!$B$1 + ROW()-1</f>
        <v>724</v>
      </c>
      <c r="E83" s="15" t="s">
        <v>47</v>
      </c>
      <c r="F83" s="18" t="s">
        <v>966</v>
      </c>
      <c r="G83" s="13" t="str">
        <f t="shared" si="90"/>
        <v>Access Dtls-724</v>
      </c>
      <c r="H83" s="15" t="s">
        <v>275</v>
      </c>
      <c r="I83" s="13" t="str">
        <f>("MR. Test_82_EXCH5_"&amp;D83&amp;"")</f>
        <v>MR. Test_82_EXCH5_724</v>
      </c>
      <c r="J83" s="18"/>
      <c r="K83" s="19" t="s">
        <v>425</v>
      </c>
      <c r="L83" s="13" t="str">
        <f t="shared" si="91"/>
        <v>Cust. Ref-724</v>
      </c>
      <c r="M83" s="15" t="s">
        <v>48</v>
      </c>
      <c r="N83" s="15" t="s">
        <v>425</v>
      </c>
      <c r="O83" s="13"/>
      <c r="P83" s="13" t="str">
        <f t="shared" si="92"/>
        <v>SN-724</v>
      </c>
      <c r="Q83" s="13" t="str">
        <f t="shared" si="93"/>
        <v>SI-724</v>
      </c>
      <c r="R83" s="13" t="str">
        <f t="shared" si="94"/>
        <v>SE-724</v>
      </c>
      <c r="S83" s="54" t="str">
        <f t="shared" si="95"/>
        <v>Prev_RA-724</v>
      </c>
      <c r="T83" s="54" t="str">
        <f t="shared" si="96"/>
        <v>Prev_Comms-724</v>
      </c>
      <c r="U83" s="17" t="s">
        <v>75</v>
      </c>
      <c r="V83" s="15" t="s">
        <v>401</v>
      </c>
      <c r="W83" s="17" t="s">
        <v>75</v>
      </c>
      <c r="X83" s="15" t="s">
        <v>1081</v>
      </c>
      <c r="Y83" s="13" t="str">
        <f t="shared" si="97"/>
        <v>Forward Add-724</v>
      </c>
      <c r="Z83" s="15" t="s">
        <v>401</v>
      </c>
      <c r="AA83" s="136" t="str">
        <f>'Run Parameters'!$B$2</f>
        <v>2018-08-13 08:00</v>
      </c>
      <c r="AB83" s="223" t="str">
        <f>'Run Parameters'!B$3</f>
        <v>2018-08-13 18:00</v>
      </c>
      <c r="AC83" s="26">
        <f>('Run Parameters'!$B$2) - 7</f>
        <v>43318.333333333336</v>
      </c>
      <c r="AD83" s="17" t="s">
        <v>75</v>
      </c>
      <c r="AE83" s="18" t="str">
        <f t="shared" si="98"/>
        <v>LAST_METER-724</v>
      </c>
      <c r="AF83" s="136" t="str">
        <f>'Run Parameters'!$B$2</f>
        <v>2018-08-13 08:00</v>
      </c>
      <c r="AG83" s="13" t="str">
        <f>'Run Parameters'!B$4</f>
        <v>AUTOTEST2</v>
      </c>
      <c r="AH83" s="54" t="str">
        <f t="shared" si="99"/>
        <v>Site_Contact_724</v>
      </c>
      <c r="AI83" s="136" t="str">
        <f>'Run Parameters'!B$2</f>
        <v>2018-08-13 08:00</v>
      </c>
      <c r="AJ83" s="223" t="str">
        <f>'Run Parameters'!B$3</f>
        <v>2018-08-13 18:00</v>
      </c>
      <c r="AK83" s="13" t="s">
        <v>1081</v>
      </c>
      <c r="AL83" s="54" t="str">
        <f t="shared" si="100"/>
        <v>01159724</v>
      </c>
      <c r="AM83" s="13" t="str">
        <f t="shared" si="101"/>
        <v>0115724</v>
      </c>
      <c r="AN83" s="15"/>
      <c r="AO83" s="52"/>
      <c r="AP83" s="13">
        <v>1</v>
      </c>
      <c r="AQ83" s="53" t="s">
        <v>49</v>
      </c>
      <c r="AR83" s="15"/>
      <c r="AS83" s="13"/>
      <c r="AT83" s="7"/>
      <c r="AU83" s="7"/>
      <c r="AV83" s="13">
        <f t="shared" si="102"/>
        <v>724</v>
      </c>
      <c r="AW83" s="13" t="s">
        <v>422</v>
      </c>
      <c r="AX83" s="13" t="s">
        <v>420</v>
      </c>
      <c r="AY83" s="13" t="s">
        <v>421</v>
      </c>
      <c r="AZ83" s="15" t="s">
        <v>334</v>
      </c>
      <c r="BA83" s="14" t="s">
        <v>154</v>
      </c>
      <c r="BB83" s="21">
        <v>1</v>
      </c>
      <c r="BC83" s="20">
        <f t="shared" si="103"/>
        <v>724</v>
      </c>
      <c r="BD83" s="16" t="s">
        <v>1097</v>
      </c>
      <c r="BE83" s="16" t="s">
        <v>391</v>
      </c>
      <c r="BF83" s="16" t="s">
        <v>391</v>
      </c>
      <c r="BG83" s="20" t="s">
        <v>966</v>
      </c>
      <c r="BH83" s="20" t="str">
        <f t="shared" si="104"/>
        <v>724_1</v>
      </c>
      <c r="BI83" s="21"/>
      <c r="BJ83" s="21" t="str">
        <f t="shared" si="105"/>
        <v>10000000724</v>
      </c>
      <c r="BK83" s="16" t="s">
        <v>51</v>
      </c>
      <c r="BL83" s="16" t="s">
        <v>54</v>
      </c>
      <c r="BM83" s="20" t="s">
        <v>411</v>
      </c>
      <c r="BN83" s="16" t="s">
        <v>51</v>
      </c>
      <c r="BO83" s="20" t="str">
        <f t="shared" si="106"/>
        <v>S05S724</v>
      </c>
      <c r="BP83" s="16" t="s">
        <v>402</v>
      </c>
      <c r="BQ83" s="16" t="s">
        <v>402</v>
      </c>
      <c r="BR83" s="20" t="s">
        <v>161</v>
      </c>
      <c r="BS83" s="16" t="s">
        <v>50</v>
      </c>
      <c r="BT83" s="16" t="s">
        <v>135</v>
      </c>
      <c r="BU83" s="16" t="s">
        <v>393</v>
      </c>
      <c r="BV83" s="16" t="s">
        <v>51</v>
      </c>
      <c r="BW83" s="16" t="s">
        <v>154</v>
      </c>
      <c r="BX83" s="16"/>
      <c r="BY83" s="16"/>
      <c r="BZ83" s="16" t="s">
        <v>157</v>
      </c>
      <c r="CA83" s="16" t="s">
        <v>269</v>
      </c>
      <c r="CB83" s="16" t="s">
        <v>412</v>
      </c>
      <c r="CC83" s="16" t="s">
        <v>781</v>
      </c>
      <c r="CD83" s="16" t="s">
        <v>392</v>
      </c>
      <c r="CE83" s="16" t="s">
        <v>1081</v>
      </c>
      <c r="CF83" s="16" t="s">
        <v>398</v>
      </c>
      <c r="CG83" s="16" t="s">
        <v>968</v>
      </c>
      <c r="CH83" s="16" t="s">
        <v>159</v>
      </c>
      <c r="CI83" s="11"/>
      <c r="CJ83" s="11"/>
      <c r="CK83" s="12"/>
      <c r="CL83" s="7"/>
      <c r="CM83" s="7"/>
      <c r="CN83" s="11"/>
      <c r="CO83" s="6"/>
      <c r="CP83" s="7"/>
      <c r="CQ83" s="6"/>
      <c r="CR83" s="11"/>
      <c r="CS83" s="7"/>
      <c r="CT83" s="27"/>
      <c r="CU83" s="11"/>
      <c r="CV83" s="7"/>
      <c r="CW83" s="7"/>
      <c r="CX83" s="7"/>
      <c r="CY83" s="7"/>
      <c r="CZ83" s="7"/>
      <c r="DA83" s="7"/>
      <c r="DB83" s="6"/>
      <c r="DC83" s="7"/>
      <c r="DD83" s="12"/>
      <c r="DE83" s="7"/>
      <c r="DF83" s="7"/>
      <c r="DG83" s="7"/>
      <c r="DH83" s="7"/>
      <c r="DI83" s="7"/>
      <c r="DJ83" s="10"/>
      <c r="DK83" s="12"/>
      <c r="DL83" s="40"/>
      <c r="DM83" s="40"/>
      <c r="DN83" s="38" t="str">
        <f t="shared" si="38"/>
        <v>DS_Pass-724</v>
      </c>
      <c r="DO83" s="40"/>
      <c r="DP83" s="40"/>
      <c r="DQ83" s="40"/>
      <c r="DR83" s="41"/>
      <c r="DS83" s="41"/>
      <c r="DT83" s="40"/>
      <c r="DU83" s="40"/>
      <c r="DV83" s="40"/>
      <c r="DW83" s="41"/>
      <c r="DX83" s="40"/>
      <c r="DY83" s="40"/>
      <c r="DZ83" s="37" t="s">
        <v>402</v>
      </c>
      <c r="EA83" s="39"/>
      <c r="EB83" s="37"/>
      <c r="EC83" s="37"/>
      <c r="ED83" s="16"/>
      <c r="EE83" s="1"/>
      <c r="EF83" s="55"/>
    </row>
    <row r="84" spans="1:136">
      <c r="A84" s="219" t="s">
        <v>1026</v>
      </c>
      <c r="B84" s="219" t="s">
        <v>892</v>
      </c>
      <c r="C84" s="219" t="s">
        <v>865</v>
      </c>
      <c r="D84" s="13">
        <f>'Run Parameters'!$B$1 + ROW()-1</f>
        <v>725</v>
      </c>
      <c r="E84" s="15" t="s">
        <v>47</v>
      </c>
      <c r="F84" s="18" t="s">
        <v>1024</v>
      </c>
      <c r="G84" s="13" t="str">
        <f t="shared" ref="G84:G95" si="107">("Access Dtls-" &amp; D84)</f>
        <v>Access Dtls-725</v>
      </c>
      <c r="H84" s="15" t="s">
        <v>275</v>
      </c>
      <c r="I84" s="13" t="str">
        <f>("MR. Test_83_EXCH11_"&amp;D84&amp;"")</f>
        <v>MR. Test_83_EXCH11_725</v>
      </c>
      <c r="J84" s="18"/>
      <c r="K84" s="19" t="s">
        <v>425</v>
      </c>
      <c r="L84" s="13" t="str">
        <f t="shared" ref="L84:L95" si="108">("Cust. Ref-" &amp; D84)</f>
        <v>Cust. Ref-725</v>
      </c>
      <c r="M84" s="15" t="s">
        <v>48</v>
      </c>
      <c r="N84" s="15" t="s">
        <v>425</v>
      </c>
      <c r="O84" s="13"/>
      <c r="P84" s="13" t="str">
        <f t="shared" ref="P84:P95" si="109">("SN-" &amp; D84)</f>
        <v>SN-725</v>
      </c>
      <c r="Q84" s="13" t="str">
        <f t="shared" ref="Q84:Q95" si="110">("SI-" &amp; D84)</f>
        <v>SI-725</v>
      </c>
      <c r="R84" s="13" t="str">
        <f t="shared" ref="R84:R95" si="111">("SE-" &amp; D84)</f>
        <v>SE-725</v>
      </c>
      <c r="S84" s="54" t="str">
        <f t="shared" ref="S84:S95" si="112">("Prev_RA-" &amp; D84)</f>
        <v>Prev_RA-725</v>
      </c>
      <c r="T84" s="54" t="str">
        <f t="shared" ref="T84:T95" si="113">("Prev_Comms-" &amp; D84)</f>
        <v>Prev_Comms-725</v>
      </c>
      <c r="U84" s="17" t="s">
        <v>75</v>
      </c>
      <c r="V84" s="15" t="s">
        <v>401</v>
      </c>
      <c r="W84" s="17" t="s">
        <v>75</v>
      </c>
      <c r="X84" s="15" t="s">
        <v>396</v>
      </c>
      <c r="Y84" s="13" t="str">
        <f t="shared" ref="Y84:Y95" si="114">("Forward Add-" &amp; D84)</f>
        <v>Forward Add-725</v>
      </c>
      <c r="Z84" s="15" t="s">
        <v>401</v>
      </c>
      <c r="AA84" s="136" t="str">
        <f>'Run Parameters'!$B$2</f>
        <v>2018-08-13 08:00</v>
      </c>
      <c r="AB84" s="223" t="str">
        <f>'Run Parameters'!B$3</f>
        <v>2018-08-13 18:00</v>
      </c>
      <c r="AC84" s="26">
        <f>('Run Parameters'!$B$2) - 7</f>
        <v>43318.333333333336</v>
      </c>
      <c r="AD84" s="17" t="s">
        <v>75</v>
      </c>
      <c r="AE84" s="18" t="str">
        <f t="shared" ref="AE84:AE95" si="115">("LAST_METER-" &amp; D84)</f>
        <v>LAST_METER-725</v>
      </c>
      <c r="AF84" s="136" t="str">
        <f>'Run Parameters'!$B$2</f>
        <v>2018-08-13 08:00</v>
      </c>
      <c r="AG84" s="13" t="str">
        <f>'Run Parameters'!B$4</f>
        <v>AUTOTEST2</v>
      </c>
      <c r="AH84" s="54" t="str">
        <f t="shared" ref="AH84:AH95" si="116">("Site_Contact_" &amp; D84)</f>
        <v>Site_Contact_725</v>
      </c>
      <c r="AI84" s="136" t="str">
        <f>'Run Parameters'!B$2</f>
        <v>2018-08-13 08:00</v>
      </c>
      <c r="AJ84" s="223" t="str">
        <f>'Run Parameters'!B$3</f>
        <v>2018-08-13 18:00</v>
      </c>
      <c r="AK84" s="13" t="s">
        <v>396</v>
      </c>
      <c r="AL84" s="54" t="str">
        <f t="shared" ref="AL84:AL95" si="117">"01159" &amp; D84</f>
        <v>01159725</v>
      </c>
      <c r="AM84" s="13" t="str">
        <f t="shared" ref="AM84:AM95" si="118">("0115" &amp; D84)</f>
        <v>0115725</v>
      </c>
      <c r="AN84" s="15"/>
      <c r="AO84" s="52"/>
      <c r="AP84" s="13">
        <v>1</v>
      </c>
      <c r="AQ84" s="53" t="s">
        <v>49</v>
      </c>
      <c r="AR84" s="15"/>
      <c r="AS84" s="13"/>
      <c r="AT84" s="7"/>
      <c r="AU84" s="7"/>
      <c r="AV84" s="13">
        <f t="shared" ref="AV84:AV95" si="119">D84</f>
        <v>725</v>
      </c>
      <c r="AW84" s="13" t="s">
        <v>1022</v>
      </c>
      <c r="AX84" s="13" t="s">
        <v>420</v>
      </c>
      <c r="AY84" s="13" t="s">
        <v>421</v>
      </c>
      <c r="AZ84" s="15" t="s">
        <v>334</v>
      </c>
      <c r="BA84" s="14" t="s">
        <v>154</v>
      </c>
      <c r="BB84" s="21">
        <v>1</v>
      </c>
      <c r="BC84" s="20">
        <f t="shared" ref="BC84:BC95" si="120">D84</f>
        <v>725</v>
      </c>
      <c r="BD84" s="16" t="s">
        <v>1023</v>
      </c>
      <c r="BE84" s="16" t="s">
        <v>390</v>
      </c>
      <c r="BF84" s="16" t="s">
        <v>391</v>
      </c>
      <c r="BG84" s="20" t="s">
        <v>1024</v>
      </c>
      <c r="BH84" s="20" t="str">
        <f t="shared" ref="BH84:BH95" si="121">BC84&amp;"_"&amp;BB84</f>
        <v>725_1</v>
      </c>
      <c r="BI84" s="21"/>
      <c r="BJ84" s="21" t="str">
        <f t="shared" ref="BJ84:BJ95" si="122">"10000000" &amp; D84</f>
        <v>10000000725</v>
      </c>
      <c r="BK84" s="16" t="s">
        <v>51</v>
      </c>
      <c r="BL84" s="16" t="s">
        <v>54</v>
      </c>
      <c r="BM84" s="20" t="s">
        <v>411</v>
      </c>
      <c r="BN84" s="16" t="s">
        <v>51</v>
      </c>
      <c r="BO84" s="20" t="str">
        <f t="shared" ref="BO84:BO95" si="123">"S05S" &amp; D84</f>
        <v>S05S725</v>
      </c>
      <c r="BP84" s="16" t="s">
        <v>402</v>
      </c>
      <c r="BQ84" s="16" t="s">
        <v>402</v>
      </c>
      <c r="BR84" s="20" t="s">
        <v>161</v>
      </c>
      <c r="BS84" s="16" t="s">
        <v>50</v>
      </c>
      <c r="BT84" s="16" t="s">
        <v>135</v>
      </c>
      <c r="BU84" s="16" t="s">
        <v>393</v>
      </c>
      <c r="BV84" s="16" t="s">
        <v>51</v>
      </c>
      <c r="BW84" s="16" t="s">
        <v>154</v>
      </c>
      <c r="BX84" s="16"/>
      <c r="BY84" s="16"/>
      <c r="BZ84" s="16" t="s">
        <v>157</v>
      </c>
      <c r="CA84" s="16" t="s">
        <v>269</v>
      </c>
      <c r="CB84" s="16" t="s">
        <v>412</v>
      </c>
      <c r="CC84" s="16" t="s">
        <v>781</v>
      </c>
      <c r="CD84" s="16" t="s">
        <v>392</v>
      </c>
      <c r="CE84" s="16" t="s">
        <v>396</v>
      </c>
      <c r="CF84" s="16" t="s">
        <v>398</v>
      </c>
      <c r="CG84" s="16" t="s">
        <v>1025</v>
      </c>
      <c r="CH84" s="16" t="s">
        <v>159</v>
      </c>
      <c r="CI84" s="11"/>
      <c r="CJ84" s="11"/>
      <c r="CK84" s="12"/>
      <c r="CL84" s="7"/>
      <c r="CM84" s="7"/>
      <c r="CN84" s="11"/>
      <c r="CO84" s="6"/>
      <c r="CP84" s="7"/>
      <c r="CQ84" s="6"/>
      <c r="CR84" s="11"/>
      <c r="CS84" s="7"/>
      <c r="CT84" s="27"/>
      <c r="CU84" s="11"/>
      <c r="CV84" s="7"/>
      <c r="CW84" s="7"/>
      <c r="CX84" s="7"/>
      <c r="CY84" s="7"/>
      <c r="CZ84" s="7"/>
      <c r="DA84" s="7"/>
      <c r="DB84" s="6"/>
      <c r="DC84" s="7"/>
      <c r="DD84" s="12"/>
      <c r="DE84" s="7"/>
      <c r="DF84" s="7"/>
      <c r="DG84" s="7"/>
      <c r="DH84" s="7"/>
      <c r="DI84" s="7"/>
      <c r="DJ84" s="10"/>
      <c r="DK84" s="12"/>
      <c r="DL84" s="40"/>
      <c r="DM84" s="40"/>
      <c r="DN84" s="38" t="str">
        <f t="shared" si="38"/>
        <v>DS_Pass-725</v>
      </c>
      <c r="DO84" s="40"/>
      <c r="DP84" s="40"/>
      <c r="DQ84" s="40"/>
      <c r="DR84" s="41"/>
      <c r="DS84" s="41"/>
      <c r="DT84" s="40"/>
      <c r="DU84" s="40"/>
      <c r="DV84" s="40"/>
      <c r="DW84" s="41"/>
      <c r="DX84" s="40"/>
      <c r="DY84" s="40"/>
      <c r="DZ84" s="37" t="s">
        <v>402</v>
      </c>
      <c r="EA84" s="39"/>
      <c r="EB84" s="37"/>
      <c r="EC84" s="37"/>
      <c r="ED84" s="16"/>
      <c r="EE84" s="1"/>
      <c r="EF84" s="55"/>
    </row>
    <row r="85" spans="1:136">
      <c r="A85" s="219" t="s">
        <v>1027</v>
      </c>
      <c r="B85" s="219" t="s">
        <v>868</v>
      </c>
      <c r="C85" s="219" t="s">
        <v>865</v>
      </c>
      <c r="D85" s="13">
        <f>'Run Parameters'!$B$1 + ROW()-1</f>
        <v>726</v>
      </c>
      <c r="E85" s="15" t="s">
        <v>47</v>
      </c>
      <c r="F85" s="18" t="s">
        <v>1024</v>
      </c>
      <c r="G85" s="13" t="str">
        <f t="shared" si="107"/>
        <v>Access Dtls-726</v>
      </c>
      <c r="H85" s="15" t="s">
        <v>275</v>
      </c>
      <c r="I85" s="13" t="str">
        <f>("MR. Test_84_EXCH11_"&amp;D85&amp;"")</f>
        <v>MR. Test_84_EXCH11_726</v>
      </c>
      <c r="J85" s="18"/>
      <c r="K85" s="19" t="s">
        <v>425</v>
      </c>
      <c r="L85" s="13" t="str">
        <f t="shared" si="108"/>
        <v>Cust. Ref-726</v>
      </c>
      <c r="M85" s="15" t="s">
        <v>48</v>
      </c>
      <c r="N85" s="15" t="s">
        <v>425</v>
      </c>
      <c r="O85" s="13"/>
      <c r="P85" s="13" t="str">
        <f t="shared" si="109"/>
        <v>SN-726</v>
      </c>
      <c r="Q85" s="13" t="str">
        <f t="shared" si="110"/>
        <v>SI-726</v>
      </c>
      <c r="R85" s="13" t="str">
        <f t="shared" si="111"/>
        <v>SE-726</v>
      </c>
      <c r="S85" s="54" t="str">
        <f t="shared" si="112"/>
        <v>Prev_RA-726</v>
      </c>
      <c r="T85" s="54" t="str">
        <f t="shared" si="113"/>
        <v>Prev_Comms-726</v>
      </c>
      <c r="U85" s="17" t="s">
        <v>75</v>
      </c>
      <c r="V85" s="15" t="s">
        <v>401</v>
      </c>
      <c r="W85" s="17" t="s">
        <v>75</v>
      </c>
      <c r="X85" s="15" t="s">
        <v>396</v>
      </c>
      <c r="Y85" s="13" t="str">
        <f t="shared" si="114"/>
        <v>Forward Add-726</v>
      </c>
      <c r="Z85" s="15" t="s">
        <v>401</v>
      </c>
      <c r="AA85" s="136" t="str">
        <f>'Run Parameters'!$B$2</f>
        <v>2018-08-13 08:00</v>
      </c>
      <c r="AB85" s="223" t="str">
        <f>'Run Parameters'!B$3</f>
        <v>2018-08-13 18:00</v>
      </c>
      <c r="AC85" s="26">
        <f>('Run Parameters'!$B$2) - 7</f>
        <v>43318.333333333336</v>
      </c>
      <c r="AD85" s="17" t="s">
        <v>75</v>
      </c>
      <c r="AE85" s="18" t="str">
        <f t="shared" si="115"/>
        <v>LAST_METER-726</v>
      </c>
      <c r="AF85" s="136" t="str">
        <f>'Run Parameters'!$B$2</f>
        <v>2018-08-13 08:00</v>
      </c>
      <c r="AG85" s="13" t="str">
        <f>'Run Parameters'!B$4</f>
        <v>AUTOTEST2</v>
      </c>
      <c r="AH85" s="54" t="str">
        <f t="shared" si="116"/>
        <v>Site_Contact_726</v>
      </c>
      <c r="AI85" s="136" t="str">
        <f>'Run Parameters'!B$2</f>
        <v>2018-08-13 08:00</v>
      </c>
      <c r="AJ85" s="223" t="str">
        <f>'Run Parameters'!B$3</f>
        <v>2018-08-13 18:00</v>
      </c>
      <c r="AK85" s="13" t="s">
        <v>396</v>
      </c>
      <c r="AL85" s="54" t="str">
        <f t="shared" si="117"/>
        <v>01159726</v>
      </c>
      <c r="AM85" s="13" t="str">
        <f t="shared" si="118"/>
        <v>0115726</v>
      </c>
      <c r="AN85" s="15"/>
      <c r="AO85" s="52"/>
      <c r="AP85" s="13">
        <v>1</v>
      </c>
      <c r="AQ85" s="53" t="s">
        <v>49</v>
      </c>
      <c r="AR85" s="15"/>
      <c r="AS85" s="13"/>
      <c r="AT85" s="7"/>
      <c r="AU85" s="7"/>
      <c r="AV85" s="13">
        <f t="shared" si="119"/>
        <v>726</v>
      </c>
      <c r="AW85" s="13" t="s">
        <v>1022</v>
      </c>
      <c r="AX85" s="13" t="s">
        <v>420</v>
      </c>
      <c r="AY85" s="13" t="s">
        <v>421</v>
      </c>
      <c r="AZ85" s="15" t="s">
        <v>334</v>
      </c>
      <c r="BA85" s="14" t="s">
        <v>154</v>
      </c>
      <c r="BB85" s="21">
        <v>1</v>
      </c>
      <c r="BC85" s="20">
        <f t="shared" si="120"/>
        <v>726</v>
      </c>
      <c r="BD85" s="16" t="s">
        <v>1023</v>
      </c>
      <c r="BE85" s="16" t="s">
        <v>390</v>
      </c>
      <c r="BF85" s="16" t="s">
        <v>391</v>
      </c>
      <c r="BG85" s="20" t="s">
        <v>1024</v>
      </c>
      <c r="BH85" s="20" t="str">
        <f t="shared" si="121"/>
        <v>726_1</v>
      </c>
      <c r="BI85" s="21"/>
      <c r="BJ85" s="21" t="str">
        <f t="shared" si="122"/>
        <v>10000000726</v>
      </c>
      <c r="BK85" s="16" t="s">
        <v>51</v>
      </c>
      <c r="BL85" s="16" t="s">
        <v>54</v>
      </c>
      <c r="BM85" s="20" t="s">
        <v>411</v>
      </c>
      <c r="BN85" s="16" t="s">
        <v>51</v>
      </c>
      <c r="BO85" s="20" t="str">
        <f t="shared" si="123"/>
        <v>S05S726</v>
      </c>
      <c r="BP85" s="16" t="s">
        <v>402</v>
      </c>
      <c r="BQ85" s="16" t="s">
        <v>402</v>
      </c>
      <c r="BR85" s="20" t="s">
        <v>161</v>
      </c>
      <c r="BS85" s="16" t="s">
        <v>50</v>
      </c>
      <c r="BT85" s="16" t="s">
        <v>135</v>
      </c>
      <c r="BU85" s="16" t="s">
        <v>393</v>
      </c>
      <c r="BV85" s="16" t="s">
        <v>51</v>
      </c>
      <c r="BW85" s="16" t="s">
        <v>154</v>
      </c>
      <c r="BX85" s="16"/>
      <c r="BY85" s="16"/>
      <c r="BZ85" s="16" t="s">
        <v>157</v>
      </c>
      <c r="CA85" s="16" t="s">
        <v>269</v>
      </c>
      <c r="CB85" s="16" t="s">
        <v>412</v>
      </c>
      <c r="CC85" s="16" t="s">
        <v>781</v>
      </c>
      <c r="CD85" s="16" t="s">
        <v>392</v>
      </c>
      <c r="CE85" s="16" t="s">
        <v>396</v>
      </c>
      <c r="CF85" s="16" t="s">
        <v>398</v>
      </c>
      <c r="CG85" s="16" t="s">
        <v>1025</v>
      </c>
      <c r="CH85" s="16" t="s">
        <v>159</v>
      </c>
      <c r="CI85" s="11"/>
      <c r="CJ85" s="11"/>
      <c r="CK85" s="12"/>
      <c r="CL85" s="7"/>
      <c r="CM85" s="7"/>
      <c r="CN85" s="11"/>
      <c r="CO85" s="6"/>
      <c r="CP85" s="7"/>
      <c r="CQ85" s="6"/>
      <c r="CR85" s="11"/>
      <c r="CS85" s="7"/>
      <c r="CT85" s="27"/>
      <c r="CU85" s="11"/>
      <c r="CV85" s="7"/>
      <c r="CW85" s="7"/>
      <c r="CX85" s="7"/>
      <c r="CY85" s="7"/>
      <c r="CZ85" s="7"/>
      <c r="DA85" s="7"/>
      <c r="DB85" s="6"/>
      <c r="DC85" s="7"/>
      <c r="DD85" s="12"/>
      <c r="DE85" s="7"/>
      <c r="DF85" s="7"/>
      <c r="DG85" s="7"/>
      <c r="DH85" s="7"/>
      <c r="DI85" s="7"/>
      <c r="DJ85" s="10"/>
      <c r="DK85" s="12"/>
      <c r="DL85" s="40"/>
      <c r="DM85" s="40"/>
      <c r="DN85" s="38" t="str">
        <f t="shared" si="38"/>
        <v>DS_Pass-726</v>
      </c>
      <c r="DO85" s="40"/>
      <c r="DP85" s="40"/>
      <c r="DQ85" s="40"/>
      <c r="DR85" s="41"/>
      <c r="DS85" s="41"/>
      <c r="DT85" s="40"/>
      <c r="DU85" s="40"/>
      <c r="DV85" s="40"/>
      <c r="DW85" s="41"/>
      <c r="DX85" s="40"/>
      <c r="DY85" s="40"/>
      <c r="DZ85" s="37" t="s">
        <v>402</v>
      </c>
      <c r="EA85" s="39"/>
      <c r="EB85" s="37"/>
      <c r="EC85" s="37"/>
      <c r="ED85" s="16"/>
      <c r="EE85" s="1"/>
      <c r="EF85" s="55"/>
    </row>
    <row r="86" spans="1:136">
      <c r="A86" s="219" t="s">
        <v>1028</v>
      </c>
      <c r="B86" s="219" t="s">
        <v>892</v>
      </c>
      <c r="C86" s="219" t="s">
        <v>865</v>
      </c>
      <c r="D86" s="13">
        <f>'Run Parameters'!$B$1 + ROW()-1</f>
        <v>727</v>
      </c>
      <c r="E86" s="15" t="s">
        <v>47</v>
      </c>
      <c r="F86" s="18" t="s">
        <v>1024</v>
      </c>
      <c r="G86" s="13" t="str">
        <f t="shared" si="107"/>
        <v>Access Dtls-727</v>
      </c>
      <c r="H86" s="15" t="s">
        <v>275</v>
      </c>
      <c r="I86" s="13" t="str">
        <f>("MR. Test_85_EXCH11_"&amp;D86&amp;"")</f>
        <v>MR. Test_85_EXCH11_727</v>
      </c>
      <c r="J86" s="18"/>
      <c r="K86" s="19" t="s">
        <v>425</v>
      </c>
      <c r="L86" s="13" t="str">
        <f t="shared" si="108"/>
        <v>Cust. Ref-727</v>
      </c>
      <c r="M86" s="15" t="s">
        <v>48</v>
      </c>
      <c r="N86" s="15" t="s">
        <v>425</v>
      </c>
      <c r="O86" s="13"/>
      <c r="P86" s="13" t="str">
        <f t="shared" si="109"/>
        <v>SN-727</v>
      </c>
      <c r="Q86" s="13" t="str">
        <f t="shared" si="110"/>
        <v>SI-727</v>
      </c>
      <c r="R86" s="13" t="str">
        <f t="shared" si="111"/>
        <v>SE-727</v>
      </c>
      <c r="S86" s="54" t="str">
        <f t="shared" si="112"/>
        <v>Prev_RA-727</v>
      </c>
      <c r="T86" s="54" t="str">
        <f t="shared" si="113"/>
        <v>Prev_Comms-727</v>
      </c>
      <c r="U86" s="17" t="s">
        <v>75</v>
      </c>
      <c r="V86" s="15" t="s">
        <v>401</v>
      </c>
      <c r="W86" s="17" t="s">
        <v>75</v>
      </c>
      <c r="X86" s="15" t="s">
        <v>396</v>
      </c>
      <c r="Y86" s="13" t="str">
        <f t="shared" si="114"/>
        <v>Forward Add-727</v>
      </c>
      <c r="Z86" s="15" t="s">
        <v>401</v>
      </c>
      <c r="AA86" s="136" t="str">
        <f>'Run Parameters'!$B$2</f>
        <v>2018-08-13 08:00</v>
      </c>
      <c r="AB86" s="223" t="str">
        <f>'Run Parameters'!B$3</f>
        <v>2018-08-13 18:00</v>
      </c>
      <c r="AC86" s="26">
        <f>('Run Parameters'!$B$2) - 7</f>
        <v>43318.333333333336</v>
      </c>
      <c r="AD86" s="17" t="s">
        <v>75</v>
      </c>
      <c r="AE86" s="18" t="str">
        <f t="shared" si="115"/>
        <v>LAST_METER-727</v>
      </c>
      <c r="AF86" s="136" t="str">
        <f>'Run Parameters'!$B$2</f>
        <v>2018-08-13 08:00</v>
      </c>
      <c r="AG86" s="13" t="str">
        <f>'Run Parameters'!B$4</f>
        <v>AUTOTEST2</v>
      </c>
      <c r="AH86" s="54" t="str">
        <f t="shared" si="116"/>
        <v>Site_Contact_727</v>
      </c>
      <c r="AI86" s="136" t="str">
        <f>'Run Parameters'!B$2</f>
        <v>2018-08-13 08:00</v>
      </c>
      <c r="AJ86" s="223" t="str">
        <f>'Run Parameters'!B$3</f>
        <v>2018-08-13 18:00</v>
      </c>
      <c r="AK86" s="13" t="s">
        <v>396</v>
      </c>
      <c r="AL86" s="54" t="str">
        <f t="shared" si="117"/>
        <v>01159727</v>
      </c>
      <c r="AM86" s="13" t="str">
        <f t="shared" si="118"/>
        <v>0115727</v>
      </c>
      <c r="AN86" s="15"/>
      <c r="AO86" s="52"/>
      <c r="AP86" s="13">
        <v>1</v>
      </c>
      <c r="AQ86" s="53" t="s">
        <v>49</v>
      </c>
      <c r="AR86" s="15"/>
      <c r="AS86" s="13"/>
      <c r="AT86" s="7"/>
      <c r="AU86" s="7"/>
      <c r="AV86" s="13">
        <f t="shared" si="119"/>
        <v>727</v>
      </c>
      <c r="AW86" s="13" t="s">
        <v>1022</v>
      </c>
      <c r="AX86" s="13" t="s">
        <v>420</v>
      </c>
      <c r="AY86" s="13" t="s">
        <v>421</v>
      </c>
      <c r="AZ86" s="15" t="s">
        <v>334</v>
      </c>
      <c r="BA86" s="14" t="s">
        <v>154</v>
      </c>
      <c r="BB86" s="21">
        <v>1</v>
      </c>
      <c r="BC86" s="20">
        <f t="shared" si="120"/>
        <v>727</v>
      </c>
      <c r="BD86" s="16" t="s">
        <v>1023</v>
      </c>
      <c r="BE86" s="16" t="s">
        <v>390</v>
      </c>
      <c r="BF86" s="16" t="s">
        <v>391</v>
      </c>
      <c r="BG86" s="20" t="s">
        <v>1024</v>
      </c>
      <c r="BH86" s="20" t="str">
        <f t="shared" si="121"/>
        <v>727_1</v>
      </c>
      <c r="BI86" s="21"/>
      <c r="BJ86" s="21" t="str">
        <f t="shared" si="122"/>
        <v>10000000727</v>
      </c>
      <c r="BK86" s="16" t="s">
        <v>51</v>
      </c>
      <c r="BL86" s="16" t="s">
        <v>54</v>
      </c>
      <c r="BM86" s="20" t="s">
        <v>411</v>
      </c>
      <c r="BN86" s="16" t="s">
        <v>51</v>
      </c>
      <c r="BO86" s="20" t="str">
        <f t="shared" si="123"/>
        <v>S05S727</v>
      </c>
      <c r="BP86" s="16" t="s">
        <v>402</v>
      </c>
      <c r="BQ86" s="16" t="s">
        <v>402</v>
      </c>
      <c r="BR86" s="20" t="s">
        <v>161</v>
      </c>
      <c r="BS86" s="16" t="s">
        <v>50</v>
      </c>
      <c r="BT86" s="16" t="s">
        <v>135</v>
      </c>
      <c r="BU86" s="16" t="s">
        <v>393</v>
      </c>
      <c r="BV86" s="16" t="s">
        <v>51</v>
      </c>
      <c r="BW86" s="16" t="s">
        <v>154</v>
      </c>
      <c r="BX86" s="16"/>
      <c r="BY86" s="16"/>
      <c r="BZ86" s="16" t="s">
        <v>157</v>
      </c>
      <c r="CA86" s="16" t="s">
        <v>269</v>
      </c>
      <c r="CB86" s="16" t="s">
        <v>412</v>
      </c>
      <c r="CC86" s="16" t="s">
        <v>781</v>
      </c>
      <c r="CD86" s="16" t="s">
        <v>392</v>
      </c>
      <c r="CE86" s="16" t="s">
        <v>396</v>
      </c>
      <c r="CF86" s="16" t="s">
        <v>398</v>
      </c>
      <c r="CG86" s="16" t="s">
        <v>1025</v>
      </c>
      <c r="CH86" s="16" t="s">
        <v>159</v>
      </c>
      <c r="CI86" s="11"/>
      <c r="CJ86" s="11"/>
      <c r="CK86" s="12"/>
      <c r="CL86" s="7"/>
      <c r="CM86" s="7"/>
      <c r="CN86" s="11"/>
      <c r="CO86" s="6"/>
      <c r="CP86" s="7"/>
      <c r="CQ86" s="6"/>
      <c r="CR86" s="11"/>
      <c r="CS86" s="7"/>
      <c r="CT86" s="27"/>
      <c r="CU86" s="11"/>
      <c r="CV86" s="7"/>
      <c r="CW86" s="7"/>
      <c r="CX86" s="7"/>
      <c r="CY86" s="7"/>
      <c r="CZ86" s="7"/>
      <c r="DA86" s="7"/>
      <c r="DB86" s="6"/>
      <c r="DC86" s="7"/>
      <c r="DD86" s="12"/>
      <c r="DE86" s="7"/>
      <c r="DF86" s="7"/>
      <c r="DG86" s="7"/>
      <c r="DH86" s="7"/>
      <c r="DI86" s="7"/>
      <c r="DJ86" s="10"/>
      <c r="DK86" s="12"/>
      <c r="DL86" s="40"/>
      <c r="DM86" s="40"/>
      <c r="DN86" s="38" t="str">
        <f t="shared" si="38"/>
        <v>DS_Pass-727</v>
      </c>
      <c r="DO86" s="40"/>
      <c r="DP86" s="40"/>
      <c r="DQ86" s="40"/>
      <c r="DR86" s="41"/>
      <c r="DS86" s="41"/>
      <c r="DT86" s="40"/>
      <c r="DU86" s="40"/>
      <c r="DV86" s="40"/>
      <c r="DW86" s="41"/>
      <c r="DX86" s="40"/>
      <c r="DY86" s="40"/>
      <c r="DZ86" s="37" t="s">
        <v>402</v>
      </c>
      <c r="EA86" s="39"/>
      <c r="EB86" s="37"/>
      <c r="EC86" s="37"/>
      <c r="ED86" s="16"/>
      <c r="EE86" s="1"/>
      <c r="EF86" s="55"/>
    </row>
    <row r="87" spans="1:136">
      <c r="A87" s="219" t="s">
        <v>1092</v>
      </c>
      <c r="B87" s="219" t="s">
        <v>892</v>
      </c>
      <c r="C87" s="219" t="s">
        <v>865</v>
      </c>
      <c r="D87" s="13">
        <f>'Run Parameters'!$B$1 + ROW()-1</f>
        <v>728</v>
      </c>
      <c r="E87" s="15" t="s">
        <v>47</v>
      </c>
      <c r="F87" s="18" t="s">
        <v>1024</v>
      </c>
      <c r="G87" s="13" t="str">
        <f t="shared" si="107"/>
        <v>Access Dtls-728</v>
      </c>
      <c r="H87" s="15" t="s">
        <v>275</v>
      </c>
      <c r="I87" s="13" t="str">
        <f>("MR. Test_86_EXCH11_"&amp;D87&amp;"")</f>
        <v>MR. Test_86_EXCH11_728</v>
      </c>
      <c r="J87" s="18"/>
      <c r="K87" s="19" t="s">
        <v>425</v>
      </c>
      <c r="L87" s="13" t="str">
        <f t="shared" si="108"/>
        <v>Cust. Ref-728</v>
      </c>
      <c r="M87" s="15" t="s">
        <v>48</v>
      </c>
      <c r="N87" s="15" t="s">
        <v>425</v>
      </c>
      <c r="O87" s="13"/>
      <c r="P87" s="13" t="str">
        <f t="shared" si="109"/>
        <v>SN-728</v>
      </c>
      <c r="Q87" s="13" t="str">
        <f t="shared" si="110"/>
        <v>SI-728</v>
      </c>
      <c r="R87" s="13" t="str">
        <f t="shared" si="111"/>
        <v>SE-728</v>
      </c>
      <c r="S87" s="54" t="str">
        <f t="shared" si="112"/>
        <v>Prev_RA-728</v>
      </c>
      <c r="T87" s="54" t="str">
        <f t="shared" si="113"/>
        <v>Prev_Comms-728</v>
      </c>
      <c r="U87" s="17" t="s">
        <v>75</v>
      </c>
      <c r="V87" s="15" t="s">
        <v>401</v>
      </c>
      <c r="W87" s="17" t="s">
        <v>75</v>
      </c>
      <c r="X87" s="15" t="s">
        <v>1081</v>
      </c>
      <c r="Y87" s="13" t="str">
        <f t="shared" si="114"/>
        <v>Forward Add-728</v>
      </c>
      <c r="Z87" s="15" t="s">
        <v>401</v>
      </c>
      <c r="AA87" s="136" t="str">
        <f>'Run Parameters'!$B$2</f>
        <v>2018-08-13 08:00</v>
      </c>
      <c r="AB87" s="223" t="str">
        <f>'Run Parameters'!B$3</f>
        <v>2018-08-13 18:00</v>
      </c>
      <c r="AC87" s="26">
        <f>('Run Parameters'!$B$2) - 7</f>
        <v>43318.333333333336</v>
      </c>
      <c r="AD87" s="17" t="s">
        <v>75</v>
      </c>
      <c r="AE87" s="18" t="str">
        <f t="shared" si="115"/>
        <v>LAST_METER-728</v>
      </c>
      <c r="AF87" s="136" t="str">
        <f>'Run Parameters'!$B$2</f>
        <v>2018-08-13 08:00</v>
      </c>
      <c r="AG87" s="13" t="str">
        <f>'Run Parameters'!B$4</f>
        <v>AUTOTEST2</v>
      </c>
      <c r="AH87" s="54" t="str">
        <f t="shared" si="116"/>
        <v>Site_Contact_728</v>
      </c>
      <c r="AI87" s="136" t="str">
        <f>'Run Parameters'!B$2</f>
        <v>2018-08-13 08:00</v>
      </c>
      <c r="AJ87" s="223" t="str">
        <f>'Run Parameters'!B$3</f>
        <v>2018-08-13 18:00</v>
      </c>
      <c r="AK87" s="13" t="s">
        <v>1081</v>
      </c>
      <c r="AL87" s="54" t="str">
        <f t="shared" si="117"/>
        <v>01159728</v>
      </c>
      <c r="AM87" s="13" t="str">
        <f t="shared" si="118"/>
        <v>0115728</v>
      </c>
      <c r="AN87" s="15"/>
      <c r="AO87" s="52"/>
      <c r="AP87" s="13">
        <v>1</v>
      </c>
      <c r="AQ87" s="53" t="s">
        <v>49</v>
      </c>
      <c r="AR87" s="15"/>
      <c r="AS87" s="13"/>
      <c r="AT87" s="7"/>
      <c r="AU87" s="7"/>
      <c r="AV87" s="13">
        <f t="shared" si="119"/>
        <v>728</v>
      </c>
      <c r="AW87" s="13" t="s">
        <v>1022</v>
      </c>
      <c r="AX87" s="13" t="s">
        <v>420</v>
      </c>
      <c r="AY87" s="13" t="s">
        <v>421</v>
      </c>
      <c r="AZ87" s="15" t="s">
        <v>334</v>
      </c>
      <c r="BA87" s="14" t="s">
        <v>154</v>
      </c>
      <c r="BB87" s="21">
        <v>1</v>
      </c>
      <c r="BC87" s="20">
        <f t="shared" si="120"/>
        <v>728</v>
      </c>
      <c r="BD87" s="16" t="s">
        <v>1023</v>
      </c>
      <c r="BE87" s="16" t="s">
        <v>390</v>
      </c>
      <c r="BF87" s="16" t="s">
        <v>391</v>
      </c>
      <c r="BG87" s="20" t="s">
        <v>1024</v>
      </c>
      <c r="BH87" s="20" t="str">
        <f t="shared" si="121"/>
        <v>728_1</v>
      </c>
      <c r="BI87" s="21"/>
      <c r="BJ87" s="21" t="str">
        <f t="shared" si="122"/>
        <v>10000000728</v>
      </c>
      <c r="BK87" s="16" t="s">
        <v>51</v>
      </c>
      <c r="BL87" s="16" t="s">
        <v>54</v>
      </c>
      <c r="BM87" s="20" t="s">
        <v>411</v>
      </c>
      <c r="BN87" s="16" t="s">
        <v>51</v>
      </c>
      <c r="BO87" s="20" t="str">
        <f t="shared" si="123"/>
        <v>S05S728</v>
      </c>
      <c r="BP87" s="16" t="s">
        <v>402</v>
      </c>
      <c r="BQ87" s="16" t="s">
        <v>402</v>
      </c>
      <c r="BR87" s="20" t="s">
        <v>161</v>
      </c>
      <c r="BS87" s="16" t="s">
        <v>50</v>
      </c>
      <c r="BT87" s="16" t="s">
        <v>135</v>
      </c>
      <c r="BU87" s="16" t="s">
        <v>393</v>
      </c>
      <c r="BV87" s="16" t="s">
        <v>51</v>
      </c>
      <c r="BW87" s="16" t="s">
        <v>154</v>
      </c>
      <c r="BX87" s="16"/>
      <c r="BY87" s="16"/>
      <c r="BZ87" s="16" t="s">
        <v>157</v>
      </c>
      <c r="CA87" s="16" t="s">
        <v>269</v>
      </c>
      <c r="CB87" s="16" t="s">
        <v>412</v>
      </c>
      <c r="CC87" s="16" t="s">
        <v>781</v>
      </c>
      <c r="CD87" s="16" t="s">
        <v>392</v>
      </c>
      <c r="CE87" s="16" t="s">
        <v>1081</v>
      </c>
      <c r="CF87" s="16" t="s">
        <v>398</v>
      </c>
      <c r="CG87" s="16" t="s">
        <v>1025</v>
      </c>
      <c r="CH87" s="16" t="s">
        <v>159</v>
      </c>
      <c r="CI87" s="11"/>
      <c r="CJ87" s="11"/>
      <c r="CK87" s="12"/>
      <c r="CL87" s="7"/>
      <c r="CM87" s="7"/>
      <c r="CN87" s="11"/>
      <c r="CO87" s="6"/>
      <c r="CP87" s="7"/>
      <c r="CQ87" s="6"/>
      <c r="CR87" s="11"/>
      <c r="CS87" s="7"/>
      <c r="CT87" s="27"/>
      <c r="CU87" s="11"/>
      <c r="CV87" s="7"/>
      <c r="CW87" s="7"/>
      <c r="CX87" s="7"/>
      <c r="CY87" s="7"/>
      <c r="CZ87" s="7"/>
      <c r="DA87" s="7"/>
      <c r="DB87" s="6"/>
      <c r="DC87" s="7"/>
      <c r="DD87" s="12"/>
      <c r="DE87" s="7"/>
      <c r="DF87" s="7"/>
      <c r="DG87" s="7"/>
      <c r="DH87" s="7"/>
      <c r="DI87" s="7"/>
      <c r="DJ87" s="10"/>
      <c r="DK87" s="12"/>
      <c r="DL87" s="40"/>
      <c r="DM87" s="40"/>
      <c r="DN87" s="38" t="str">
        <f t="shared" si="38"/>
        <v>DS_Pass-728</v>
      </c>
      <c r="DO87" s="40"/>
      <c r="DP87" s="40"/>
      <c r="DQ87" s="40"/>
      <c r="DR87" s="41"/>
      <c r="DS87" s="41"/>
      <c r="DT87" s="40"/>
      <c r="DU87" s="40"/>
      <c r="DV87" s="40"/>
      <c r="DW87" s="41"/>
      <c r="DX87" s="40"/>
      <c r="DY87" s="40"/>
      <c r="DZ87" s="37" t="s">
        <v>402</v>
      </c>
      <c r="EA87" s="39"/>
      <c r="EB87" s="37"/>
      <c r="EC87" s="37"/>
      <c r="ED87" s="16"/>
      <c r="EE87" s="1"/>
      <c r="EF87" s="55"/>
    </row>
    <row r="88" spans="1:136">
      <c r="A88" s="219" t="s">
        <v>1029</v>
      </c>
      <c r="B88" s="219" t="s">
        <v>892</v>
      </c>
      <c r="C88" s="219" t="s">
        <v>865</v>
      </c>
      <c r="D88" s="13">
        <f>'Run Parameters'!$B$1 + ROW()-1</f>
        <v>729</v>
      </c>
      <c r="E88" s="15" t="s">
        <v>47</v>
      </c>
      <c r="F88" s="18" t="s">
        <v>1024</v>
      </c>
      <c r="G88" s="13" t="str">
        <f t="shared" si="107"/>
        <v>Access Dtls-729</v>
      </c>
      <c r="H88" s="15" t="s">
        <v>275</v>
      </c>
      <c r="I88" s="13" t="str">
        <f>("MR. Test_87_EXCH11_"&amp;D88&amp;"")</f>
        <v>MR. Test_87_EXCH11_729</v>
      </c>
      <c r="J88" s="18"/>
      <c r="K88" s="19" t="s">
        <v>425</v>
      </c>
      <c r="L88" s="13" t="str">
        <f t="shared" si="108"/>
        <v>Cust. Ref-729</v>
      </c>
      <c r="M88" s="15" t="s">
        <v>48</v>
      </c>
      <c r="N88" s="15" t="s">
        <v>425</v>
      </c>
      <c r="O88" s="13"/>
      <c r="P88" s="13" t="str">
        <f t="shared" si="109"/>
        <v>SN-729</v>
      </c>
      <c r="Q88" s="13" t="str">
        <f t="shared" si="110"/>
        <v>SI-729</v>
      </c>
      <c r="R88" s="13" t="str">
        <f t="shared" si="111"/>
        <v>SE-729</v>
      </c>
      <c r="S88" s="54" t="str">
        <f t="shared" si="112"/>
        <v>Prev_RA-729</v>
      </c>
      <c r="T88" s="54" t="str">
        <f t="shared" si="113"/>
        <v>Prev_Comms-729</v>
      </c>
      <c r="U88" s="17" t="s">
        <v>75</v>
      </c>
      <c r="V88" s="15" t="s">
        <v>401</v>
      </c>
      <c r="W88" s="17" t="s">
        <v>75</v>
      </c>
      <c r="X88" s="15" t="s">
        <v>396</v>
      </c>
      <c r="Y88" s="13" t="str">
        <f t="shared" si="114"/>
        <v>Forward Add-729</v>
      </c>
      <c r="Z88" s="15" t="s">
        <v>401</v>
      </c>
      <c r="AA88" s="136" t="str">
        <f>'Run Parameters'!$B$2</f>
        <v>2018-08-13 08:00</v>
      </c>
      <c r="AB88" s="223" t="str">
        <f>'Run Parameters'!B$3</f>
        <v>2018-08-13 18:00</v>
      </c>
      <c r="AC88" s="26">
        <f>('Run Parameters'!$B$2) - 7</f>
        <v>43318.333333333336</v>
      </c>
      <c r="AD88" s="17" t="s">
        <v>75</v>
      </c>
      <c r="AE88" s="18" t="str">
        <f t="shared" si="115"/>
        <v>LAST_METER-729</v>
      </c>
      <c r="AF88" s="136" t="str">
        <f>'Run Parameters'!$B$2</f>
        <v>2018-08-13 08:00</v>
      </c>
      <c r="AG88" s="13" t="str">
        <f>'Run Parameters'!B$4</f>
        <v>AUTOTEST2</v>
      </c>
      <c r="AH88" s="54" t="str">
        <f t="shared" si="116"/>
        <v>Site_Contact_729</v>
      </c>
      <c r="AI88" s="136" t="str">
        <f>'Run Parameters'!B$2</f>
        <v>2018-08-13 08:00</v>
      </c>
      <c r="AJ88" s="223" t="str">
        <f>'Run Parameters'!B$3</f>
        <v>2018-08-13 18:00</v>
      </c>
      <c r="AK88" s="13" t="s">
        <v>396</v>
      </c>
      <c r="AL88" s="54" t="str">
        <f t="shared" si="117"/>
        <v>01159729</v>
      </c>
      <c r="AM88" s="13" t="str">
        <f t="shared" si="118"/>
        <v>0115729</v>
      </c>
      <c r="AN88" s="15"/>
      <c r="AO88" s="52"/>
      <c r="AP88" s="13">
        <v>1</v>
      </c>
      <c r="AQ88" s="53" t="s">
        <v>49</v>
      </c>
      <c r="AR88" s="15"/>
      <c r="AS88" s="13"/>
      <c r="AT88" s="7"/>
      <c r="AU88" s="7"/>
      <c r="AV88" s="13">
        <f t="shared" si="119"/>
        <v>729</v>
      </c>
      <c r="AW88" s="13" t="s">
        <v>1022</v>
      </c>
      <c r="AX88" s="13" t="s">
        <v>420</v>
      </c>
      <c r="AY88" s="13" t="s">
        <v>421</v>
      </c>
      <c r="AZ88" s="15" t="s">
        <v>334</v>
      </c>
      <c r="BA88" s="14" t="s">
        <v>154</v>
      </c>
      <c r="BB88" s="21">
        <v>1</v>
      </c>
      <c r="BC88" s="20">
        <f t="shared" si="120"/>
        <v>729</v>
      </c>
      <c r="BD88" s="16" t="s">
        <v>1023</v>
      </c>
      <c r="BE88" s="16" t="s">
        <v>390</v>
      </c>
      <c r="BF88" s="16" t="s">
        <v>391</v>
      </c>
      <c r="BG88" s="20" t="s">
        <v>1024</v>
      </c>
      <c r="BH88" s="20" t="str">
        <f t="shared" si="121"/>
        <v>729_1</v>
      </c>
      <c r="BI88" s="21"/>
      <c r="BJ88" s="21" t="str">
        <f t="shared" si="122"/>
        <v>10000000729</v>
      </c>
      <c r="BK88" s="16" t="s">
        <v>51</v>
      </c>
      <c r="BL88" s="16" t="s">
        <v>54</v>
      </c>
      <c r="BM88" s="20" t="s">
        <v>411</v>
      </c>
      <c r="BN88" s="16" t="s">
        <v>51</v>
      </c>
      <c r="BO88" s="20" t="str">
        <f t="shared" si="123"/>
        <v>S05S729</v>
      </c>
      <c r="BP88" s="16" t="s">
        <v>402</v>
      </c>
      <c r="BQ88" s="16" t="s">
        <v>402</v>
      </c>
      <c r="BR88" s="20" t="s">
        <v>161</v>
      </c>
      <c r="BS88" s="16" t="s">
        <v>50</v>
      </c>
      <c r="BT88" s="16" t="s">
        <v>135</v>
      </c>
      <c r="BU88" s="16" t="s">
        <v>393</v>
      </c>
      <c r="BV88" s="16" t="s">
        <v>51</v>
      </c>
      <c r="BW88" s="16" t="s">
        <v>154</v>
      </c>
      <c r="BX88" s="16"/>
      <c r="BY88" s="16"/>
      <c r="BZ88" s="16" t="s">
        <v>157</v>
      </c>
      <c r="CA88" s="16" t="s">
        <v>269</v>
      </c>
      <c r="CB88" s="16" t="s">
        <v>412</v>
      </c>
      <c r="CC88" s="16" t="s">
        <v>781</v>
      </c>
      <c r="CD88" s="16" t="s">
        <v>392</v>
      </c>
      <c r="CE88" s="16" t="s">
        <v>396</v>
      </c>
      <c r="CF88" s="16" t="s">
        <v>398</v>
      </c>
      <c r="CG88" s="16" t="s">
        <v>1025</v>
      </c>
      <c r="CH88" s="16" t="s">
        <v>159</v>
      </c>
      <c r="CI88" s="11"/>
      <c r="CJ88" s="11"/>
      <c r="CK88" s="12"/>
      <c r="CL88" s="7"/>
      <c r="CM88" s="7"/>
      <c r="CN88" s="11"/>
      <c r="CO88" s="6"/>
      <c r="CP88" s="7"/>
      <c r="CQ88" s="6"/>
      <c r="CR88" s="11"/>
      <c r="CS88" s="7"/>
      <c r="CT88" s="27"/>
      <c r="CU88" s="11"/>
      <c r="CV88" s="7"/>
      <c r="CW88" s="7"/>
      <c r="CX88" s="7"/>
      <c r="CY88" s="7"/>
      <c r="CZ88" s="7"/>
      <c r="DA88" s="7"/>
      <c r="DB88" s="6"/>
      <c r="DC88" s="7"/>
      <c r="DD88" s="12"/>
      <c r="DE88" s="7"/>
      <c r="DF88" s="7"/>
      <c r="DG88" s="7"/>
      <c r="DH88" s="7"/>
      <c r="DI88" s="7"/>
      <c r="DJ88" s="10"/>
      <c r="DK88" s="12"/>
      <c r="DL88" s="40"/>
      <c r="DM88" s="40"/>
      <c r="DN88" s="38" t="str">
        <f t="shared" si="38"/>
        <v>DS_Pass-729</v>
      </c>
      <c r="DO88" s="40"/>
      <c r="DP88" s="40"/>
      <c r="DQ88" s="40"/>
      <c r="DR88" s="41"/>
      <c r="DS88" s="41"/>
      <c r="DT88" s="40"/>
      <c r="DU88" s="40"/>
      <c r="DV88" s="40"/>
      <c r="DW88" s="41"/>
      <c r="DX88" s="40"/>
      <c r="DY88" s="40"/>
      <c r="DZ88" s="37" t="s">
        <v>402</v>
      </c>
      <c r="EA88" s="39"/>
      <c r="EB88" s="37"/>
      <c r="EC88" s="37"/>
      <c r="ED88" s="16"/>
      <c r="EE88" s="1"/>
      <c r="EF88" s="55"/>
    </row>
    <row r="89" spans="1:136">
      <c r="A89" s="219" t="s">
        <v>1030</v>
      </c>
      <c r="B89" s="219" t="s">
        <v>868</v>
      </c>
      <c r="C89" s="219" t="s">
        <v>865</v>
      </c>
      <c r="D89" s="13">
        <f>'Run Parameters'!$B$1 + ROW()-1</f>
        <v>730</v>
      </c>
      <c r="E89" s="15" t="s">
        <v>47</v>
      </c>
      <c r="F89" s="18" t="s">
        <v>1024</v>
      </c>
      <c r="G89" s="13" t="str">
        <f t="shared" si="107"/>
        <v>Access Dtls-730</v>
      </c>
      <c r="H89" s="15" t="s">
        <v>275</v>
      </c>
      <c r="I89" s="13" t="str">
        <f>("MR. Test_88_EXCH11_"&amp;D89&amp;"")</f>
        <v>MR. Test_88_EXCH11_730</v>
      </c>
      <c r="J89" s="18"/>
      <c r="K89" s="19" t="s">
        <v>425</v>
      </c>
      <c r="L89" s="13" t="str">
        <f t="shared" si="108"/>
        <v>Cust. Ref-730</v>
      </c>
      <c r="M89" s="15" t="s">
        <v>48</v>
      </c>
      <c r="N89" s="15" t="s">
        <v>425</v>
      </c>
      <c r="O89" s="13"/>
      <c r="P89" s="13" t="str">
        <f t="shared" si="109"/>
        <v>SN-730</v>
      </c>
      <c r="Q89" s="13" t="str">
        <f t="shared" si="110"/>
        <v>SI-730</v>
      </c>
      <c r="R89" s="13" t="str">
        <f t="shared" si="111"/>
        <v>SE-730</v>
      </c>
      <c r="S89" s="54" t="str">
        <f t="shared" si="112"/>
        <v>Prev_RA-730</v>
      </c>
      <c r="T89" s="54" t="str">
        <f t="shared" si="113"/>
        <v>Prev_Comms-730</v>
      </c>
      <c r="U89" s="17" t="s">
        <v>75</v>
      </c>
      <c r="V89" s="15" t="s">
        <v>401</v>
      </c>
      <c r="W89" s="17" t="s">
        <v>75</v>
      </c>
      <c r="X89" s="15" t="s">
        <v>396</v>
      </c>
      <c r="Y89" s="13" t="str">
        <f t="shared" si="114"/>
        <v>Forward Add-730</v>
      </c>
      <c r="Z89" s="15" t="s">
        <v>401</v>
      </c>
      <c r="AA89" s="136" t="str">
        <f>'Run Parameters'!$B$2</f>
        <v>2018-08-13 08:00</v>
      </c>
      <c r="AB89" s="223" t="str">
        <f>'Run Parameters'!B$3</f>
        <v>2018-08-13 18:00</v>
      </c>
      <c r="AC89" s="26">
        <f>('Run Parameters'!$B$2) - 7</f>
        <v>43318.333333333336</v>
      </c>
      <c r="AD89" s="17" t="s">
        <v>75</v>
      </c>
      <c r="AE89" s="18" t="str">
        <f t="shared" si="115"/>
        <v>LAST_METER-730</v>
      </c>
      <c r="AF89" s="136" t="str">
        <f>'Run Parameters'!$B$2</f>
        <v>2018-08-13 08:00</v>
      </c>
      <c r="AG89" s="13" t="str">
        <f>'Run Parameters'!B$4</f>
        <v>AUTOTEST2</v>
      </c>
      <c r="AH89" s="54" t="str">
        <f t="shared" si="116"/>
        <v>Site_Contact_730</v>
      </c>
      <c r="AI89" s="136" t="str">
        <f>'Run Parameters'!B$2</f>
        <v>2018-08-13 08:00</v>
      </c>
      <c r="AJ89" s="223" t="str">
        <f>'Run Parameters'!B$3</f>
        <v>2018-08-13 18:00</v>
      </c>
      <c r="AK89" s="13" t="s">
        <v>396</v>
      </c>
      <c r="AL89" s="54" t="str">
        <f t="shared" si="117"/>
        <v>01159730</v>
      </c>
      <c r="AM89" s="13" t="str">
        <f t="shared" si="118"/>
        <v>0115730</v>
      </c>
      <c r="AN89" s="15"/>
      <c r="AO89" s="52"/>
      <c r="AP89" s="13">
        <v>1</v>
      </c>
      <c r="AQ89" s="53" t="s">
        <v>49</v>
      </c>
      <c r="AR89" s="15"/>
      <c r="AS89" s="13"/>
      <c r="AT89" s="7"/>
      <c r="AU89" s="7"/>
      <c r="AV89" s="13">
        <f t="shared" si="119"/>
        <v>730</v>
      </c>
      <c r="AW89" s="13" t="s">
        <v>1022</v>
      </c>
      <c r="AX89" s="13" t="s">
        <v>420</v>
      </c>
      <c r="AY89" s="13" t="s">
        <v>421</v>
      </c>
      <c r="AZ89" s="15" t="s">
        <v>334</v>
      </c>
      <c r="BA89" s="14" t="s">
        <v>154</v>
      </c>
      <c r="BB89" s="21">
        <v>1</v>
      </c>
      <c r="BC89" s="20">
        <f t="shared" si="120"/>
        <v>730</v>
      </c>
      <c r="BD89" s="16" t="s">
        <v>1023</v>
      </c>
      <c r="BE89" s="16" t="s">
        <v>390</v>
      </c>
      <c r="BF89" s="16" t="s">
        <v>391</v>
      </c>
      <c r="BG89" s="20" t="s">
        <v>1024</v>
      </c>
      <c r="BH89" s="20" t="str">
        <f t="shared" si="121"/>
        <v>730_1</v>
      </c>
      <c r="BI89" s="21"/>
      <c r="BJ89" s="21" t="str">
        <f t="shared" si="122"/>
        <v>10000000730</v>
      </c>
      <c r="BK89" s="16" t="s">
        <v>51</v>
      </c>
      <c r="BL89" s="16" t="s">
        <v>54</v>
      </c>
      <c r="BM89" s="20" t="s">
        <v>411</v>
      </c>
      <c r="BN89" s="16" t="s">
        <v>51</v>
      </c>
      <c r="BO89" s="20" t="str">
        <f t="shared" si="123"/>
        <v>S05S730</v>
      </c>
      <c r="BP89" s="16" t="s">
        <v>402</v>
      </c>
      <c r="BQ89" s="16" t="s">
        <v>402</v>
      </c>
      <c r="BR89" s="20" t="s">
        <v>161</v>
      </c>
      <c r="BS89" s="16" t="s">
        <v>50</v>
      </c>
      <c r="BT89" s="16" t="s">
        <v>135</v>
      </c>
      <c r="BU89" s="16" t="s">
        <v>393</v>
      </c>
      <c r="BV89" s="16" t="s">
        <v>51</v>
      </c>
      <c r="BW89" s="16" t="s">
        <v>154</v>
      </c>
      <c r="BX89" s="16"/>
      <c r="BY89" s="16"/>
      <c r="BZ89" s="16" t="s">
        <v>157</v>
      </c>
      <c r="CA89" s="16" t="s">
        <v>269</v>
      </c>
      <c r="CB89" s="16" t="s">
        <v>412</v>
      </c>
      <c r="CC89" s="16" t="s">
        <v>781</v>
      </c>
      <c r="CD89" s="16" t="s">
        <v>392</v>
      </c>
      <c r="CE89" s="16" t="s">
        <v>396</v>
      </c>
      <c r="CF89" s="16" t="s">
        <v>398</v>
      </c>
      <c r="CG89" s="16" t="s">
        <v>1025</v>
      </c>
      <c r="CH89" s="16" t="s">
        <v>159</v>
      </c>
      <c r="CI89" s="11"/>
      <c r="CJ89" s="11"/>
      <c r="CK89" s="12"/>
      <c r="CL89" s="7"/>
      <c r="CM89" s="7"/>
      <c r="CN89" s="11"/>
      <c r="CO89" s="6"/>
      <c r="CP89" s="7"/>
      <c r="CQ89" s="6"/>
      <c r="CR89" s="11"/>
      <c r="CS89" s="7"/>
      <c r="CT89" s="27"/>
      <c r="CU89" s="11"/>
      <c r="CV89" s="7"/>
      <c r="CW89" s="7"/>
      <c r="CX89" s="7"/>
      <c r="CY89" s="7"/>
      <c r="CZ89" s="7"/>
      <c r="DA89" s="7"/>
      <c r="DB89" s="6"/>
      <c r="DC89" s="7"/>
      <c r="DD89" s="12"/>
      <c r="DE89" s="7"/>
      <c r="DF89" s="7"/>
      <c r="DG89" s="7"/>
      <c r="DH89" s="7"/>
      <c r="DI89" s="7"/>
      <c r="DJ89" s="10"/>
      <c r="DK89" s="12"/>
      <c r="DL89" s="40"/>
      <c r="DM89" s="40"/>
      <c r="DN89" s="38" t="str">
        <f t="shared" si="38"/>
        <v>DS_Pass-730</v>
      </c>
      <c r="DO89" s="40"/>
      <c r="DP89" s="40"/>
      <c r="DQ89" s="40"/>
      <c r="DR89" s="41"/>
      <c r="DS89" s="41"/>
      <c r="DT89" s="40"/>
      <c r="DU89" s="40"/>
      <c r="DV89" s="40"/>
      <c r="DW89" s="41"/>
      <c r="DX89" s="40"/>
      <c r="DY89" s="40"/>
      <c r="DZ89" s="37" t="s">
        <v>402</v>
      </c>
      <c r="EA89" s="39"/>
      <c r="EB89" s="37"/>
      <c r="EC89" s="37"/>
      <c r="ED89" s="16"/>
      <c r="EE89" s="1"/>
      <c r="EF89" s="55"/>
    </row>
    <row r="90" spans="1:136">
      <c r="A90" s="219" t="s">
        <v>1031</v>
      </c>
      <c r="B90" s="219" t="s">
        <v>892</v>
      </c>
      <c r="C90" s="219" t="s">
        <v>865</v>
      </c>
      <c r="D90" s="13">
        <f>'Run Parameters'!$B$1 + ROW()-1</f>
        <v>731</v>
      </c>
      <c r="E90" s="15" t="s">
        <v>47</v>
      </c>
      <c r="F90" s="18" t="s">
        <v>1024</v>
      </c>
      <c r="G90" s="13" t="str">
        <f t="shared" si="107"/>
        <v>Access Dtls-731</v>
      </c>
      <c r="H90" s="15" t="s">
        <v>275</v>
      </c>
      <c r="I90" s="13" t="str">
        <f>("MR. Test_89_EXCH11_"&amp;D90&amp;"")</f>
        <v>MR. Test_89_EXCH11_731</v>
      </c>
      <c r="J90" s="18"/>
      <c r="K90" s="19" t="s">
        <v>425</v>
      </c>
      <c r="L90" s="13" t="str">
        <f t="shared" si="108"/>
        <v>Cust. Ref-731</v>
      </c>
      <c r="M90" s="15" t="s">
        <v>48</v>
      </c>
      <c r="N90" s="15" t="s">
        <v>425</v>
      </c>
      <c r="O90" s="13"/>
      <c r="P90" s="13" t="str">
        <f t="shared" si="109"/>
        <v>SN-731</v>
      </c>
      <c r="Q90" s="13" t="str">
        <f t="shared" si="110"/>
        <v>SI-731</v>
      </c>
      <c r="R90" s="13" t="str">
        <f t="shared" si="111"/>
        <v>SE-731</v>
      </c>
      <c r="S90" s="54" t="str">
        <f t="shared" si="112"/>
        <v>Prev_RA-731</v>
      </c>
      <c r="T90" s="54" t="str">
        <f t="shared" si="113"/>
        <v>Prev_Comms-731</v>
      </c>
      <c r="U90" s="17" t="s">
        <v>75</v>
      </c>
      <c r="V90" s="15" t="s">
        <v>401</v>
      </c>
      <c r="W90" s="17" t="s">
        <v>75</v>
      </c>
      <c r="X90" s="15" t="s">
        <v>396</v>
      </c>
      <c r="Y90" s="13" t="str">
        <f t="shared" si="114"/>
        <v>Forward Add-731</v>
      </c>
      <c r="Z90" s="15" t="s">
        <v>401</v>
      </c>
      <c r="AA90" s="136" t="str">
        <f>'Run Parameters'!$B$2</f>
        <v>2018-08-13 08:00</v>
      </c>
      <c r="AB90" s="223" t="str">
        <f>'Run Parameters'!B$3</f>
        <v>2018-08-13 18:00</v>
      </c>
      <c r="AC90" s="26">
        <f>('Run Parameters'!$B$2) - 7</f>
        <v>43318.333333333336</v>
      </c>
      <c r="AD90" s="17" t="s">
        <v>75</v>
      </c>
      <c r="AE90" s="18" t="str">
        <f t="shared" si="115"/>
        <v>LAST_METER-731</v>
      </c>
      <c r="AF90" s="136" t="str">
        <f>'Run Parameters'!$B$2</f>
        <v>2018-08-13 08:00</v>
      </c>
      <c r="AG90" s="13" t="str">
        <f>'Run Parameters'!B$4</f>
        <v>AUTOTEST2</v>
      </c>
      <c r="AH90" s="54" t="str">
        <f t="shared" si="116"/>
        <v>Site_Contact_731</v>
      </c>
      <c r="AI90" s="136" t="str">
        <f>'Run Parameters'!B$2</f>
        <v>2018-08-13 08:00</v>
      </c>
      <c r="AJ90" s="223" t="str">
        <f>'Run Parameters'!B$3</f>
        <v>2018-08-13 18:00</v>
      </c>
      <c r="AK90" s="13" t="s">
        <v>396</v>
      </c>
      <c r="AL90" s="54" t="str">
        <f t="shared" si="117"/>
        <v>01159731</v>
      </c>
      <c r="AM90" s="13" t="str">
        <f t="shared" si="118"/>
        <v>0115731</v>
      </c>
      <c r="AN90" s="15"/>
      <c r="AO90" s="52"/>
      <c r="AP90" s="13">
        <v>1</v>
      </c>
      <c r="AQ90" s="53" t="s">
        <v>49</v>
      </c>
      <c r="AR90" s="15"/>
      <c r="AS90" s="13"/>
      <c r="AT90" s="7"/>
      <c r="AU90" s="7"/>
      <c r="AV90" s="13">
        <f t="shared" si="119"/>
        <v>731</v>
      </c>
      <c r="AW90" s="13" t="s">
        <v>1022</v>
      </c>
      <c r="AX90" s="13" t="s">
        <v>420</v>
      </c>
      <c r="AY90" s="13" t="s">
        <v>421</v>
      </c>
      <c r="AZ90" s="15" t="s">
        <v>334</v>
      </c>
      <c r="BA90" s="14" t="s">
        <v>154</v>
      </c>
      <c r="BB90" s="21">
        <v>1</v>
      </c>
      <c r="BC90" s="20">
        <f t="shared" si="120"/>
        <v>731</v>
      </c>
      <c r="BD90" s="16" t="s">
        <v>1023</v>
      </c>
      <c r="BE90" s="16" t="s">
        <v>390</v>
      </c>
      <c r="BF90" s="16" t="s">
        <v>391</v>
      </c>
      <c r="BG90" s="20" t="s">
        <v>1024</v>
      </c>
      <c r="BH90" s="20" t="str">
        <f t="shared" si="121"/>
        <v>731_1</v>
      </c>
      <c r="BI90" s="21"/>
      <c r="BJ90" s="21" t="str">
        <f t="shared" si="122"/>
        <v>10000000731</v>
      </c>
      <c r="BK90" s="16" t="s">
        <v>51</v>
      </c>
      <c r="BL90" s="16" t="s">
        <v>54</v>
      </c>
      <c r="BM90" s="20" t="s">
        <v>411</v>
      </c>
      <c r="BN90" s="16" t="s">
        <v>51</v>
      </c>
      <c r="BO90" s="20" t="str">
        <f t="shared" si="123"/>
        <v>S05S731</v>
      </c>
      <c r="BP90" s="16" t="s">
        <v>402</v>
      </c>
      <c r="BQ90" s="16" t="s">
        <v>402</v>
      </c>
      <c r="BR90" s="20" t="s">
        <v>161</v>
      </c>
      <c r="BS90" s="16" t="s">
        <v>50</v>
      </c>
      <c r="BT90" s="16" t="s">
        <v>135</v>
      </c>
      <c r="BU90" s="16" t="s">
        <v>393</v>
      </c>
      <c r="BV90" s="16" t="s">
        <v>51</v>
      </c>
      <c r="BW90" s="16" t="s">
        <v>154</v>
      </c>
      <c r="BX90" s="16"/>
      <c r="BY90" s="16"/>
      <c r="BZ90" s="16" t="s">
        <v>157</v>
      </c>
      <c r="CA90" s="16" t="s">
        <v>269</v>
      </c>
      <c r="CB90" s="16" t="s">
        <v>412</v>
      </c>
      <c r="CC90" s="16" t="s">
        <v>781</v>
      </c>
      <c r="CD90" s="16" t="s">
        <v>392</v>
      </c>
      <c r="CE90" s="16" t="s">
        <v>396</v>
      </c>
      <c r="CF90" s="16" t="s">
        <v>398</v>
      </c>
      <c r="CG90" s="16" t="s">
        <v>1025</v>
      </c>
      <c r="CH90" s="16" t="s">
        <v>159</v>
      </c>
      <c r="CI90" s="11"/>
      <c r="CJ90" s="11"/>
      <c r="CK90" s="12"/>
      <c r="CL90" s="7"/>
      <c r="CM90" s="7"/>
      <c r="CN90" s="11"/>
      <c r="CO90" s="6"/>
      <c r="CP90" s="7"/>
      <c r="CQ90" s="6"/>
      <c r="CR90" s="11"/>
      <c r="CS90" s="7"/>
      <c r="CT90" s="27"/>
      <c r="CU90" s="11"/>
      <c r="CV90" s="7"/>
      <c r="CW90" s="7"/>
      <c r="CX90" s="7"/>
      <c r="CY90" s="7"/>
      <c r="CZ90" s="7"/>
      <c r="DA90" s="7"/>
      <c r="DB90" s="6"/>
      <c r="DC90" s="7"/>
      <c r="DD90" s="12"/>
      <c r="DE90" s="7"/>
      <c r="DF90" s="7"/>
      <c r="DG90" s="7"/>
      <c r="DH90" s="7"/>
      <c r="DI90" s="7"/>
      <c r="DJ90" s="10"/>
      <c r="DK90" s="12"/>
      <c r="DL90" s="40"/>
      <c r="DM90" s="40"/>
      <c r="DN90" s="38" t="str">
        <f t="shared" si="38"/>
        <v>DS_Pass-731</v>
      </c>
      <c r="DO90" s="40"/>
      <c r="DP90" s="40"/>
      <c r="DQ90" s="40"/>
      <c r="DR90" s="41"/>
      <c r="DS90" s="41"/>
      <c r="DT90" s="40"/>
      <c r="DU90" s="40"/>
      <c r="DV90" s="40"/>
      <c r="DW90" s="41"/>
      <c r="DX90" s="40"/>
      <c r="DY90" s="40"/>
      <c r="DZ90" s="37" t="s">
        <v>402</v>
      </c>
      <c r="EA90" s="39"/>
      <c r="EB90" s="37"/>
      <c r="EC90" s="37"/>
      <c r="ED90" s="16"/>
      <c r="EE90" s="1"/>
      <c r="EF90" s="55"/>
    </row>
    <row r="91" spans="1:136">
      <c r="A91" s="219" t="s">
        <v>1032</v>
      </c>
      <c r="B91" s="219" t="s">
        <v>868</v>
      </c>
      <c r="C91" s="219" t="s">
        <v>865</v>
      </c>
      <c r="D91" s="13">
        <f>'Run Parameters'!$B$1 + ROW()-1</f>
        <v>732</v>
      </c>
      <c r="E91" s="15" t="s">
        <v>47</v>
      </c>
      <c r="F91" s="18" t="s">
        <v>1024</v>
      </c>
      <c r="G91" s="13" t="str">
        <f t="shared" si="107"/>
        <v>Access Dtls-732</v>
      </c>
      <c r="H91" s="15" t="s">
        <v>275</v>
      </c>
      <c r="I91" s="13" t="str">
        <f>("MR. Test_90_EXCH11_"&amp;D91&amp;"")</f>
        <v>MR. Test_90_EXCH11_732</v>
      </c>
      <c r="J91" s="18"/>
      <c r="K91" s="19" t="s">
        <v>425</v>
      </c>
      <c r="L91" s="13" t="str">
        <f t="shared" si="108"/>
        <v>Cust. Ref-732</v>
      </c>
      <c r="M91" s="15" t="s">
        <v>48</v>
      </c>
      <c r="N91" s="15" t="s">
        <v>425</v>
      </c>
      <c r="O91" s="13"/>
      <c r="P91" s="13" t="str">
        <f t="shared" si="109"/>
        <v>SN-732</v>
      </c>
      <c r="Q91" s="13" t="str">
        <f t="shared" si="110"/>
        <v>SI-732</v>
      </c>
      <c r="R91" s="13" t="str">
        <f t="shared" si="111"/>
        <v>SE-732</v>
      </c>
      <c r="S91" s="54" t="str">
        <f t="shared" si="112"/>
        <v>Prev_RA-732</v>
      </c>
      <c r="T91" s="54" t="str">
        <f t="shared" si="113"/>
        <v>Prev_Comms-732</v>
      </c>
      <c r="U91" s="17" t="s">
        <v>75</v>
      </c>
      <c r="V91" s="15" t="s">
        <v>401</v>
      </c>
      <c r="W91" s="17" t="s">
        <v>75</v>
      </c>
      <c r="X91" s="15" t="s">
        <v>396</v>
      </c>
      <c r="Y91" s="13" t="str">
        <f t="shared" si="114"/>
        <v>Forward Add-732</v>
      </c>
      <c r="Z91" s="15" t="s">
        <v>401</v>
      </c>
      <c r="AA91" s="136" t="str">
        <f>'Run Parameters'!$B$2</f>
        <v>2018-08-13 08:00</v>
      </c>
      <c r="AB91" s="223" t="str">
        <f>'Run Parameters'!B$3</f>
        <v>2018-08-13 18:00</v>
      </c>
      <c r="AC91" s="26">
        <f>('Run Parameters'!$B$2) - 7</f>
        <v>43318.333333333336</v>
      </c>
      <c r="AD91" s="17" t="s">
        <v>75</v>
      </c>
      <c r="AE91" s="18" t="str">
        <f t="shared" si="115"/>
        <v>LAST_METER-732</v>
      </c>
      <c r="AF91" s="136" t="str">
        <f>'Run Parameters'!$B$2</f>
        <v>2018-08-13 08:00</v>
      </c>
      <c r="AG91" s="13" t="str">
        <f>'Run Parameters'!B$4</f>
        <v>AUTOTEST2</v>
      </c>
      <c r="AH91" s="54" t="str">
        <f t="shared" si="116"/>
        <v>Site_Contact_732</v>
      </c>
      <c r="AI91" s="136" t="str">
        <f>'Run Parameters'!B$2</f>
        <v>2018-08-13 08:00</v>
      </c>
      <c r="AJ91" s="223" t="str">
        <f>'Run Parameters'!B$3</f>
        <v>2018-08-13 18:00</v>
      </c>
      <c r="AK91" s="13" t="s">
        <v>396</v>
      </c>
      <c r="AL91" s="54" t="str">
        <f t="shared" si="117"/>
        <v>01159732</v>
      </c>
      <c r="AM91" s="13" t="str">
        <f t="shared" si="118"/>
        <v>0115732</v>
      </c>
      <c r="AN91" s="15"/>
      <c r="AO91" s="52"/>
      <c r="AP91" s="13">
        <v>1</v>
      </c>
      <c r="AQ91" s="53" t="s">
        <v>49</v>
      </c>
      <c r="AR91" s="15"/>
      <c r="AS91" s="13"/>
      <c r="AT91" s="7"/>
      <c r="AU91" s="7"/>
      <c r="AV91" s="13">
        <f t="shared" si="119"/>
        <v>732</v>
      </c>
      <c r="AW91" s="13" t="s">
        <v>1022</v>
      </c>
      <c r="AX91" s="13" t="s">
        <v>420</v>
      </c>
      <c r="AY91" s="13" t="s">
        <v>421</v>
      </c>
      <c r="AZ91" s="15" t="s">
        <v>334</v>
      </c>
      <c r="BA91" s="14" t="s">
        <v>154</v>
      </c>
      <c r="BB91" s="21">
        <v>1</v>
      </c>
      <c r="BC91" s="20">
        <f t="shared" si="120"/>
        <v>732</v>
      </c>
      <c r="BD91" s="16" t="s">
        <v>1023</v>
      </c>
      <c r="BE91" s="16" t="s">
        <v>390</v>
      </c>
      <c r="BF91" s="16" t="s">
        <v>391</v>
      </c>
      <c r="BG91" s="20" t="s">
        <v>1024</v>
      </c>
      <c r="BH91" s="20" t="str">
        <f t="shared" si="121"/>
        <v>732_1</v>
      </c>
      <c r="BI91" s="21"/>
      <c r="BJ91" s="21" t="str">
        <f t="shared" si="122"/>
        <v>10000000732</v>
      </c>
      <c r="BK91" s="16" t="s">
        <v>51</v>
      </c>
      <c r="BL91" s="16" t="s">
        <v>54</v>
      </c>
      <c r="BM91" s="20" t="s">
        <v>411</v>
      </c>
      <c r="BN91" s="16" t="s">
        <v>51</v>
      </c>
      <c r="BO91" s="20" t="str">
        <f t="shared" si="123"/>
        <v>S05S732</v>
      </c>
      <c r="BP91" s="16" t="s">
        <v>402</v>
      </c>
      <c r="BQ91" s="16" t="s">
        <v>402</v>
      </c>
      <c r="BR91" s="20" t="s">
        <v>161</v>
      </c>
      <c r="BS91" s="16" t="s">
        <v>50</v>
      </c>
      <c r="BT91" s="16" t="s">
        <v>135</v>
      </c>
      <c r="BU91" s="16" t="s">
        <v>393</v>
      </c>
      <c r="BV91" s="16" t="s">
        <v>51</v>
      </c>
      <c r="BW91" s="16" t="s">
        <v>154</v>
      </c>
      <c r="BX91" s="16"/>
      <c r="BY91" s="16"/>
      <c r="BZ91" s="16" t="s">
        <v>157</v>
      </c>
      <c r="CA91" s="16" t="s">
        <v>269</v>
      </c>
      <c r="CB91" s="16" t="s">
        <v>412</v>
      </c>
      <c r="CC91" s="16" t="s">
        <v>781</v>
      </c>
      <c r="CD91" s="16" t="s">
        <v>392</v>
      </c>
      <c r="CE91" s="16" t="s">
        <v>396</v>
      </c>
      <c r="CF91" s="16" t="s">
        <v>398</v>
      </c>
      <c r="CG91" s="16" t="s">
        <v>1025</v>
      </c>
      <c r="CH91" s="16" t="s">
        <v>159</v>
      </c>
      <c r="CI91" s="11"/>
      <c r="CJ91" s="11"/>
      <c r="CK91" s="12"/>
      <c r="CL91" s="7"/>
      <c r="CM91" s="7"/>
      <c r="CN91" s="11"/>
      <c r="CO91" s="6"/>
      <c r="CP91" s="7"/>
      <c r="CQ91" s="6"/>
      <c r="CR91" s="11"/>
      <c r="CS91" s="7"/>
      <c r="CT91" s="27"/>
      <c r="CU91" s="11"/>
      <c r="CV91" s="7"/>
      <c r="CW91" s="7"/>
      <c r="CX91" s="7"/>
      <c r="CY91" s="7"/>
      <c r="CZ91" s="7"/>
      <c r="DA91" s="7"/>
      <c r="DB91" s="6"/>
      <c r="DC91" s="7"/>
      <c r="DD91" s="12"/>
      <c r="DE91" s="7"/>
      <c r="DF91" s="7"/>
      <c r="DG91" s="7"/>
      <c r="DH91" s="7"/>
      <c r="DI91" s="7"/>
      <c r="DJ91" s="10"/>
      <c r="DK91" s="12"/>
      <c r="DL91" s="40"/>
      <c r="DM91" s="40"/>
      <c r="DN91" s="38" t="str">
        <f t="shared" si="38"/>
        <v>DS_Pass-732</v>
      </c>
      <c r="DO91" s="40"/>
      <c r="DP91" s="40"/>
      <c r="DQ91" s="40"/>
      <c r="DR91" s="41"/>
      <c r="DS91" s="41"/>
      <c r="DT91" s="40"/>
      <c r="DU91" s="40"/>
      <c r="DV91" s="40"/>
      <c r="DW91" s="41"/>
      <c r="DX91" s="40"/>
      <c r="DY91" s="40"/>
      <c r="DZ91" s="37" t="s">
        <v>402</v>
      </c>
      <c r="EA91" s="39"/>
      <c r="EB91" s="37"/>
      <c r="EC91" s="37"/>
      <c r="ED91" s="16"/>
      <c r="EE91" s="1"/>
      <c r="EF91" s="55"/>
    </row>
    <row r="92" spans="1:136">
      <c r="A92" s="219" t="s">
        <v>1033</v>
      </c>
      <c r="B92" s="219" t="s">
        <v>892</v>
      </c>
      <c r="C92" s="219" t="s">
        <v>865</v>
      </c>
      <c r="D92" s="13">
        <f>'Run Parameters'!$B$1 + ROW()-1</f>
        <v>733</v>
      </c>
      <c r="E92" s="15" t="s">
        <v>47</v>
      </c>
      <c r="F92" s="18" t="s">
        <v>1024</v>
      </c>
      <c r="G92" s="13" t="str">
        <f t="shared" si="107"/>
        <v>Access Dtls-733</v>
      </c>
      <c r="H92" s="15" t="s">
        <v>275</v>
      </c>
      <c r="I92" s="13" t="str">
        <f>("MR. Test_91_EXCH11_"&amp;D92&amp;"")</f>
        <v>MR. Test_91_EXCH11_733</v>
      </c>
      <c r="J92" s="18"/>
      <c r="K92" s="19" t="s">
        <v>425</v>
      </c>
      <c r="L92" s="13" t="str">
        <f t="shared" si="108"/>
        <v>Cust. Ref-733</v>
      </c>
      <c r="M92" s="15" t="s">
        <v>48</v>
      </c>
      <c r="N92" s="15" t="s">
        <v>425</v>
      </c>
      <c r="O92" s="13"/>
      <c r="P92" s="13" t="str">
        <f t="shared" si="109"/>
        <v>SN-733</v>
      </c>
      <c r="Q92" s="13" t="str">
        <f t="shared" si="110"/>
        <v>SI-733</v>
      </c>
      <c r="R92" s="13" t="str">
        <f t="shared" si="111"/>
        <v>SE-733</v>
      </c>
      <c r="S92" s="54" t="str">
        <f t="shared" si="112"/>
        <v>Prev_RA-733</v>
      </c>
      <c r="T92" s="54" t="str">
        <f t="shared" si="113"/>
        <v>Prev_Comms-733</v>
      </c>
      <c r="U92" s="17" t="s">
        <v>75</v>
      </c>
      <c r="V92" s="15" t="s">
        <v>401</v>
      </c>
      <c r="W92" s="17" t="s">
        <v>75</v>
      </c>
      <c r="X92" s="15" t="s">
        <v>396</v>
      </c>
      <c r="Y92" s="13" t="str">
        <f t="shared" si="114"/>
        <v>Forward Add-733</v>
      </c>
      <c r="Z92" s="15" t="s">
        <v>401</v>
      </c>
      <c r="AA92" s="136" t="str">
        <f>'Run Parameters'!$B$2</f>
        <v>2018-08-13 08:00</v>
      </c>
      <c r="AB92" s="223" t="str">
        <f>'Run Parameters'!B$3</f>
        <v>2018-08-13 18:00</v>
      </c>
      <c r="AC92" s="26">
        <f>('Run Parameters'!$B$2) - 7</f>
        <v>43318.333333333336</v>
      </c>
      <c r="AD92" s="17" t="s">
        <v>75</v>
      </c>
      <c r="AE92" s="18" t="str">
        <f t="shared" si="115"/>
        <v>LAST_METER-733</v>
      </c>
      <c r="AF92" s="136" t="str">
        <f>'Run Parameters'!$B$2</f>
        <v>2018-08-13 08:00</v>
      </c>
      <c r="AG92" s="13" t="str">
        <f>'Run Parameters'!B$4</f>
        <v>AUTOTEST2</v>
      </c>
      <c r="AH92" s="54" t="str">
        <f t="shared" si="116"/>
        <v>Site_Contact_733</v>
      </c>
      <c r="AI92" s="136" t="str">
        <f>'Run Parameters'!B$2</f>
        <v>2018-08-13 08:00</v>
      </c>
      <c r="AJ92" s="223" t="str">
        <f>'Run Parameters'!B$3</f>
        <v>2018-08-13 18:00</v>
      </c>
      <c r="AK92" s="13" t="s">
        <v>396</v>
      </c>
      <c r="AL92" s="54" t="str">
        <f t="shared" si="117"/>
        <v>01159733</v>
      </c>
      <c r="AM92" s="13" t="str">
        <f t="shared" si="118"/>
        <v>0115733</v>
      </c>
      <c r="AN92" s="15"/>
      <c r="AO92" s="52"/>
      <c r="AP92" s="13">
        <v>1</v>
      </c>
      <c r="AQ92" s="53" t="s">
        <v>49</v>
      </c>
      <c r="AR92" s="15"/>
      <c r="AS92" s="13"/>
      <c r="AT92" s="7"/>
      <c r="AU92" s="7"/>
      <c r="AV92" s="13">
        <f t="shared" si="119"/>
        <v>733</v>
      </c>
      <c r="AW92" s="13" t="s">
        <v>1022</v>
      </c>
      <c r="AX92" s="13" t="s">
        <v>420</v>
      </c>
      <c r="AY92" s="13" t="s">
        <v>421</v>
      </c>
      <c r="AZ92" s="15" t="s">
        <v>334</v>
      </c>
      <c r="BA92" s="14" t="s">
        <v>154</v>
      </c>
      <c r="BB92" s="21">
        <v>1</v>
      </c>
      <c r="BC92" s="20">
        <f t="shared" si="120"/>
        <v>733</v>
      </c>
      <c r="BD92" s="16" t="s">
        <v>1023</v>
      </c>
      <c r="BE92" s="16" t="s">
        <v>390</v>
      </c>
      <c r="BF92" s="16" t="s">
        <v>391</v>
      </c>
      <c r="BG92" s="20" t="s">
        <v>1024</v>
      </c>
      <c r="BH92" s="20" t="str">
        <f t="shared" si="121"/>
        <v>733_1</v>
      </c>
      <c r="BI92" s="21"/>
      <c r="BJ92" s="21" t="str">
        <f t="shared" si="122"/>
        <v>10000000733</v>
      </c>
      <c r="BK92" s="16" t="s">
        <v>51</v>
      </c>
      <c r="BL92" s="16" t="s">
        <v>54</v>
      </c>
      <c r="BM92" s="20" t="s">
        <v>411</v>
      </c>
      <c r="BN92" s="16" t="s">
        <v>51</v>
      </c>
      <c r="BO92" s="20" t="str">
        <f t="shared" si="123"/>
        <v>S05S733</v>
      </c>
      <c r="BP92" s="16" t="s">
        <v>402</v>
      </c>
      <c r="BQ92" s="16" t="s">
        <v>402</v>
      </c>
      <c r="BR92" s="20" t="s">
        <v>161</v>
      </c>
      <c r="BS92" s="16" t="s">
        <v>50</v>
      </c>
      <c r="BT92" s="16" t="s">
        <v>135</v>
      </c>
      <c r="BU92" s="16" t="s">
        <v>393</v>
      </c>
      <c r="BV92" s="16" t="s">
        <v>51</v>
      </c>
      <c r="BW92" s="16" t="s">
        <v>154</v>
      </c>
      <c r="BX92" s="16"/>
      <c r="BY92" s="16"/>
      <c r="BZ92" s="16" t="s">
        <v>157</v>
      </c>
      <c r="CA92" s="16" t="s">
        <v>269</v>
      </c>
      <c r="CB92" s="16" t="s">
        <v>412</v>
      </c>
      <c r="CC92" s="16" t="s">
        <v>781</v>
      </c>
      <c r="CD92" s="16" t="s">
        <v>392</v>
      </c>
      <c r="CE92" s="16" t="s">
        <v>396</v>
      </c>
      <c r="CF92" s="16" t="s">
        <v>398</v>
      </c>
      <c r="CG92" s="16" t="s">
        <v>1025</v>
      </c>
      <c r="CH92" s="16" t="s">
        <v>159</v>
      </c>
      <c r="CI92" s="11"/>
      <c r="CJ92" s="11"/>
      <c r="CK92" s="12"/>
      <c r="CL92" s="7"/>
      <c r="CM92" s="7"/>
      <c r="CN92" s="11"/>
      <c r="CO92" s="6"/>
      <c r="CP92" s="7"/>
      <c r="CQ92" s="6"/>
      <c r="CR92" s="11"/>
      <c r="CS92" s="7"/>
      <c r="CT92" s="27"/>
      <c r="CU92" s="11"/>
      <c r="CV92" s="7"/>
      <c r="CW92" s="7"/>
      <c r="CX92" s="7"/>
      <c r="CY92" s="7"/>
      <c r="CZ92" s="7"/>
      <c r="DA92" s="7"/>
      <c r="DB92" s="6"/>
      <c r="DC92" s="7"/>
      <c r="DD92" s="12"/>
      <c r="DE92" s="7"/>
      <c r="DF92" s="7"/>
      <c r="DG92" s="7"/>
      <c r="DH92" s="7"/>
      <c r="DI92" s="7"/>
      <c r="DJ92" s="10"/>
      <c r="DK92" s="12"/>
      <c r="DL92" s="40"/>
      <c r="DM92" s="40"/>
      <c r="DN92" s="38" t="str">
        <f t="shared" si="38"/>
        <v>DS_Pass-733</v>
      </c>
      <c r="DO92" s="40"/>
      <c r="DP92" s="40"/>
      <c r="DQ92" s="40"/>
      <c r="DR92" s="41"/>
      <c r="DS92" s="41"/>
      <c r="DT92" s="40"/>
      <c r="DU92" s="40"/>
      <c r="DV92" s="40"/>
      <c r="DW92" s="41"/>
      <c r="DX92" s="40"/>
      <c r="DY92" s="40"/>
      <c r="DZ92" s="37" t="s">
        <v>402</v>
      </c>
      <c r="EA92" s="39"/>
      <c r="EB92" s="37"/>
      <c r="EC92" s="37"/>
      <c r="ED92" s="16"/>
      <c r="EE92" s="1"/>
      <c r="EF92" s="55"/>
    </row>
    <row r="93" spans="1:136">
      <c r="A93" s="219" t="s">
        <v>1034</v>
      </c>
      <c r="B93" s="219" t="s">
        <v>868</v>
      </c>
      <c r="C93" s="219" t="s">
        <v>865</v>
      </c>
      <c r="D93" s="13">
        <f>'Run Parameters'!$B$1 + ROW()-1</f>
        <v>734</v>
      </c>
      <c r="E93" s="15" t="s">
        <v>47</v>
      </c>
      <c r="F93" s="18" t="s">
        <v>1024</v>
      </c>
      <c r="G93" s="13" t="str">
        <f t="shared" si="107"/>
        <v>Access Dtls-734</v>
      </c>
      <c r="H93" s="15" t="s">
        <v>275</v>
      </c>
      <c r="I93" s="13" t="str">
        <f>("MR. Test_92_EXCH11_"&amp;D93&amp;"")</f>
        <v>MR. Test_92_EXCH11_734</v>
      </c>
      <c r="J93" s="18"/>
      <c r="K93" s="19" t="s">
        <v>425</v>
      </c>
      <c r="L93" s="13" t="str">
        <f t="shared" si="108"/>
        <v>Cust. Ref-734</v>
      </c>
      <c r="M93" s="15" t="s">
        <v>48</v>
      </c>
      <c r="N93" s="15" t="s">
        <v>425</v>
      </c>
      <c r="O93" s="13"/>
      <c r="P93" s="13" t="str">
        <f t="shared" si="109"/>
        <v>SN-734</v>
      </c>
      <c r="Q93" s="13" t="str">
        <f t="shared" si="110"/>
        <v>SI-734</v>
      </c>
      <c r="R93" s="13" t="str">
        <f t="shared" si="111"/>
        <v>SE-734</v>
      </c>
      <c r="S93" s="54" t="str">
        <f t="shared" si="112"/>
        <v>Prev_RA-734</v>
      </c>
      <c r="T93" s="54" t="str">
        <f t="shared" si="113"/>
        <v>Prev_Comms-734</v>
      </c>
      <c r="U93" s="17" t="s">
        <v>75</v>
      </c>
      <c r="V93" s="15" t="s">
        <v>401</v>
      </c>
      <c r="W93" s="17" t="s">
        <v>75</v>
      </c>
      <c r="X93" s="15" t="s">
        <v>396</v>
      </c>
      <c r="Y93" s="13" t="str">
        <f t="shared" si="114"/>
        <v>Forward Add-734</v>
      </c>
      <c r="Z93" s="15" t="s">
        <v>401</v>
      </c>
      <c r="AA93" s="136" t="str">
        <f>'Run Parameters'!$B$2</f>
        <v>2018-08-13 08:00</v>
      </c>
      <c r="AB93" s="223" t="str">
        <f>'Run Parameters'!B$3</f>
        <v>2018-08-13 18:00</v>
      </c>
      <c r="AC93" s="26">
        <f>('Run Parameters'!$B$2) - 7</f>
        <v>43318.333333333336</v>
      </c>
      <c r="AD93" s="17" t="s">
        <v>75</v>
      </c>
      <c r="AE93" s="18" t="str">
        <f t="shared" si="115"/>
        <v>LAST_METER-734</v>
      </c>
      <c r="AF93" s="136" t="str">
        <f>'Run Parameters'!$B$2</f>
        <v>2018-08-13 08:00</v>
      </c>
      <c r="AG93" s="13" t="str">
        <f>'Run Parameters'!B$4</f>
        <v>AUTOTEST2</v>
      </c>
      <c r="AH93" s="54" t="str">
        <f t="shared" si="116"/>
        <v>Site_Contact_734</v>
      </c>
      <c r="AI93" s="136" t="str">
        <f>'Run Parameters'!B$2</f>
        <v>2018-08-13 08:00</v>
      </c>
      <c r="AJ93" s="223" t="str">
        <f>'Run Parameters'!B$3</f>
        <v>2018-08-13 18:00</v>
      </c>
      <c r="AK93" s="13" t="s">
        <v>396</v>
      </c>
      <c r="AL93" s="54" t="str">
        <f t="shared" si="117"/>
        <v>01159734</v>
      </c>
      <c r="AM93" s="13" t="str">
        <f t="shared" si="118"/>
        <v>0115734</v>
      </c>
      <c r="AN93" s="15"/>
      <c r="AO93" s="52"/>
      <c r="AP93" s="13">
        <v>1</v>
      </c>
      <c r="AQ93" s="53" t="s">
        <v>49</v>
      </c>
      <c r="AR93" s="15"/>
      <c r="AS93" s="13"/>
      <c r="AT93" s="7"/>
      <c r="AU93" s="7"/>
      <c r="AV93" s="13">
        <f t="shared" si="119"/>
        <v>734</v>
      </c>
      <c r="AW93" s="13" t="s">
        <v>1022</v>
      </c>
      <c r="AX93" s="13" t="s">
        <v>420</v>
      </c>
      <c r="AY93" s="13" t="s">
        <v>421</v>
      </c>
      <c r="AZ93" s="15" t="s">
        <v>334</v>
      </c>
      <c r="BA93" s="14" t="s">
        <v>154</v>
      </c>
      <c r="BB93" s="21">
        <v>1</v>
      </c>
      <c r="BC93" s="20">
        <f t="shared" si="120"/>
        <v>734</v>
      </c>
      <c r="BD93" s="16" t="s">
        <v>1023</v>
      </c>
      <c r="BE93" s="16" t="s">
        <v>390</v>
      </c>
      <c r="BF93" s="16" t="s">
        <v>391</v>
      </c>
      <c r="BG93" s="20" t="s">
        <v>1024</v>
      </c>
      <c r="BH93" s="20" t="str">
        <f t="shared" si="121"/>
        <v>734_1</v>
      </c>
      <c r="BI93" s="21"/>
      <c r="BJ93" s="21" t="str">
        <f t="shared" si="122"/>
        <v>10000000734</v>
      </c>
      <c r="BK93" s="16" t="s">
        <v>51</v>
      </c>
      <c r="BL93" s="16" t="s">
        <v>54</v>
      </c>
      <c r="BM93" s="20" t="s">
        <v>411</v>
      </c>
      <c r="BN93" s="16" t="s">
        <v>51</v>
      </c>
      <c r="BO93" s="20" t="str">
        <f t="shared" si="123"/>
        <v>S05S734</v>
      </c>
      <c r="BP93" s="16" t="s">
        <v>402</v>
      </c>
      <c r="BQ93" s="16" t="s">
        <v>402</v>
      </c>
      <c r="BR93" s="20" t="s">
        <v>161</v>
      </c>
      <c r="BS93" s="16" t="s">
        <v>50</v>
      </c>
      <c r="BT93" s="16" t="s">
        <v>135</v>
      </c>
      <c r="BU93" s="16" t="s">
        <v>393</v>
      </c>
      <c r="BV93" s="16" t="s">
        <v>51</v>
      </c>
      <c r="BW93" s="16" t="s">
        <v>154</v>
      </c>
      <c r="BX93" s="16"/>
      <c r="BY93" s="16"/>
      <c r="BZ93" s="16" t="s">
        <v>157</v>
      </c>
      <c r="CA93" s="16" t="s">
        <v>269</v>
      </c>
      <c r="CB93" s="16" t="s">
        <v>412</v>
      </c>
      <c r="CC93" s="16" t="s">
        <v>781</v>
      </c>
      <c r="CD93" s="16" t="s">
        <v>392</v>
      </c>
      <c r="CE93" s="16" t="s">
        <v>396</v>
      </c>
      <c r="CF93" s="16" t="s">
        <v>398</v>
      </c>
      <c r="CG93" s="16" t="s">
        <v>1025</v>
      </c>
      <c r="CH93" s="16" t="s">
        <v>159</v>
      </c>
      <c r="CI93" s="11"/>
      <c r="CJ93" s="11"/>
      <c r="CK93" s="12"/>
      <c r="CL93" s="7"/>
      <c r="CM93" s="7"/>
      <c r="CN93" s="11"/>
      <c r="CO93" s="6"/>
      <c r="CP93" s="7"/>
      <c r="CQ93" s="6"/>
      <c r="CR93" s="11"/>
      <c r="CS93" s="7"/>
      <c r="CT93" s="27"/>
      <c r="CU93" s="11"/>
      <c r="CV93" s="7"/>
      <c r="CW93" s="7"/>
      <c r="CX93" s="7"/>
      <c r="CY93" s="7"/>
      <c r="CZ93" s="7"/>
      <c r="DA93" s="7"/>
      <c r="DB93" s="6"/>
      <c r="DC93" s="7"/>
      <c r="DD93" s="12"/>
      <c r="DE93" s="7"/>
      <c r="DF93" s="7"/>
      <c r="DG93" s="7"/>
      <c r="DH93" s="7"/>
      <c r="DI93" s="7"/>
      <c r="DJ93" s="10"/>
      <c r="DK93" s="12"/>
      <c r="DL93" s="40"/>
      <c r="DM93" s="40"/>
      <c r="DN93" s="38" t="str">
        <f t="shared" si="38"/>
        <v>DS_Pass-734</v>
      </c>
      <c r="DO93" s="40"/>
      <c r="DP93" s="40"/>
      <c r="DQ93" s="40"/>
      <c r="DR93" s="41"/>
      <c r="DS93" s="41"/>
      <c r="DT93" s="40"/>
      <c r="DU93" s="40"/>
      <c r="DV93" s="40"/>
      <c r="DW93" s="41"/>
      <c r="DX93" s="40"/>
      <c r="DY93" s="40"/>
      <c r="DZ93" s="37" t="s">
        <v>402</v>
      </c>
      <c r="EA93" s="39"/>
      <c r="EB93" s="37"/>
      <c r="EC93" s="37"/>
      <c r="ED93" s="16"/>
      <c r="EE93" s="1"/>
      <c r="EF93" s="55"/>
    </row>
    <row r="94" spans="1:136">
      <c r="A94" s="219" t="s">
        <v>1035</v>
      </c>
      <c r="B94" s="219" t="s">
        <v>892</v>
      </c>
      <c r="C94" s="219" t="s">
        <v>865</v>
      </c>
      <c r="D94" s="13">
        <f>'Run Parameters'!$B$1 + ROW()-1</f>
        <v>735</v>
      </c>
      <c r="E94" s="15" t="s">
        <v>47</v>
      </c>
      <c r="F94" s="18" t="s">
        <v>1024</v>
      </c>
      <c r="G94" s="13" t="str">
        <f t="shared" si="107"/>
        <v>Access Dtls-735</v>
      </c>
      <c r="H94" s="15" t="s">
        <v>275</v>
      </c>
      <c r="I94" s="13" t="str">
        <f>("MR. Test_93_EXCH11_"&amp;D94&amp;"")</f>
        <v>MR. Test_93_EXCH11_735</v>
      </c>
      <c r="J94" s="18"/>
      <c r="K94" s="19" t="s">
        <v>425</v>
      </c>
      <c r="L94" s="13" t="str">
        <f t="shared" si="108"/>
        <v>Cust. Ref-735</v>
      </c>
      <c r="M94" s="15" t="s">
        <v>48</v>
      </c>
      <c r="N94" s="15" t="s">
        <v>425</v>
      </c>
      <c r="O94" s="13"/>
      <c r="P94" s="13" t="str">
        <f t="shared" si="109"/>
        <v>SN-735</v>
      </c>
      <c r="Q94" s="13" t="str">
        <f t="shared" si="110"/>
        <v>SI-735</v>
      </c>
      <c r="R94" s="13" t="str">
        <f t="shared" si="111"/>
        <v>SE-735</v>
      </c>
      <c r="S94" s="54" t="str">
        <f t="shared" si="112"/>
        <v>Prev_RA-735</v>
      </c>
      <c r="T94" s="54" t="str">
        <f t="shared" si="113"/>
        <v>Prev_Comms-735</v>
      </c>
      <c r="U94" s="17" t="s">
        <v>75</v>
      </c>
      <c r="V94" s="15" t="s">
        <v>401</v>
      </c>
      <c r="W94" s="17" t="s">
        <v>75</v>
      </c>
      <c r="X94" s="15" t="s">
        <v>396</v>
      </c>
      <c r="Y94" s="13" t="str">
        <f t="shared" si="114"/>
        <v>Forward Add-735</v>
      </c>
      <c r="Z94" s="15" t="s">
        <v>401</v>
      </c>
      <c r="AA94" s="136" t="str">
        <f>'Run Parameters'!$B$2</f>
        <v>2018-08-13 08:00</v>
      </c>
      <c r="AB94" s="223" t="str">
        <f>'Run Parameters'!B$3</f>
        <v>2018-08-13 18:00</v>
      </c>
      <c r="AC94" s="26">
        <f>('Run Parameters'!$B$2) - 7</f>
        <v>43318.333333333336</v>
      </c>
      <c r="AD94" s="17" t="s">
        <v>75</v>
      </c>
      <c r="AE94" s="18" t="str">
        <f t="shared" si="115"/>
        <v>LAST_METER-735</v>
      </c>
      <c r="AF94" s="136" t="str">
        <f>'Run Parameters'!$B$2</f>
        <v>2018-08-13 08:00</v>
      </c>
      <c r="AG94" s="13" t="str">
        <f>'Run Parameters'!B$4</f>
        <v>AUTOTEST2</v>
      </c>
      <c r="AH94" s="54" t="str">
        <f t="shared" si="116"/>
        <v>Site_Contact_735</v>
      </c>
      <c r="AI94" s="136" t="str">
        <f>'Run Parameters'!B$2</f>
        <v>2018-08-13 08:00</v>
      </c>
      <c r="AJ94" s="223" t="str">
        <f>'Run Parameters'!B$3</f>
        <v>2018-08-13 18:00</v>
      </c>
      <c r="AK94" s="13" t="s">
        <v>396</v>
      </c>
      <c r="AL94" s="54" t="str">
        <f t="shared" si="117"/>
        <v>01159735</v>
      </c>
      <c r="AM94" s="13" t="str">
        <f t="shared" si="118"/>
        <v>0115735</v>
      </c>
      <c r="AN94" s="15"/>
      <c r="AO94" s="52"/>
      <c r="AP94" s="13">
        <v>1</v>
      </c>
      <c r="AQ94" s="53" t="s">
        <v>49</v>
      </c>
      <c r="AR94" s="15"/>
      <c r="AS94" s="13"/>
      <c r="AT94" s="7"/>
      <c r="AU94" s="7"/>
      <c r="AV94" s="13">
        <f t="shared" si="119"/>
        <v>735</v>
      </c>
      <c r="AW94" s="13" t="s">
        <v>1022</v>
      </c>
      <c r="AX94" s="13" t="s">
        <v>420</v>
      </c>
      <c r="AY94" s="13" t="s">
        <v>421</v>
      </c>
      <c r="AZ94" s="15" t="s">
        <v>334</v>
      </c>
      <c r="BA94" s="14" t="s">
        <v>154</v>
      </c>
      <c r="BB94" s="21">
        <v>1</v>
      </c>
      <c r="BC94" s="20">
        <f t="shared" si="120"/>
        <v>735</v>
      </c>
      <c r="BD94" s="16" t="s">
        <v>1023</v>
      </c>
      <c r="BE94" s="16" t="s">
        <v>390</v>
      </c>
      <c r="BF94" s="16" t="s">
        <v>391</v>
      </c>
      <c r="BG94" s="20" t="s">
        <v>1024</v>
      </c>
      <c r="BH94" s="20" t="str">
        <f t="shared" si="121"/>
        <v>735_1</v>
      </c>
      <c r="BI94" s="21"/>
      <c r="BJ94" s="21" t="str">
        <f t="shared" si="122"/>
        <v>10000000735</v>
      </c>
      <c r="BK94" s="16" t="s">
        <v>51</v>
      </c>
      <c r="BL94" s="16" t="s">
        <v>54</v>
      </c>
      <c r="BM94" s="20" t="s">
        <v>411</v>
      </c>
      <c r="BN94" s="16" t="s">
        <v>51</v>
      </c>
      <c r="BO94" s="20" t="str">
        <f t="shared" si="123"/>
        <v>S05S735</v>
      </c>
      <c r="BP94" s="16" t="s">
        <v>402</v>
      </c>
      <c r="BQ94" s="16" t="s">
        <v>402</v>
      </c>
      <c r="BR94" s="20" t="s">
        <v>161</v>
      </c>
      <c r="BS94" s="16" t="s">
        <v>50</v>
      </c>
      <c r="BT94" s="16" t="s">
        <v>135</v>
      </c>
      <c r="BU94" s="16" t="s">
        <v>393</v>
      </c>
      <c r="BV94" s="16" t="s">
        <v>51</v>
      </c>
      <c r="BW94" s="16" t="s">
        <v>154</v>
      </c>
      <c r="BX94" s="16"/>
      <c r="BY94" s="16"/>
      <c r="BZ94" s="16" t="s">
        <v>157</v>
      </c>
      <c r="CA94" s="16" t="s">
        <v>269</v>
      </c>
      <c r="CB94" s="16" t="s">
        <v>412</v>
      </c>
      <c r="CC94" s="16" t="s">
        <v>781</v>
      </c>
      <c r="CD94" s="16" t="s">
        <v>392</v>
      </c>
      <c r="CE94" s="16" t="s">
        <v>396</v>
      </c>
      <c r="CF94" s="16" t="s">
        <v>398</v>
      </c>
      <c r="CG94" s="16" t="s">
        <v>1025</v>
      </c>
      <c r="CH94" s="16" t="s">
        <v>159</v>
      </c>
      <c r="CI94" s="11"/>
      <c r="CJ94" s="11"/>
      <c r="CK94" s="12"/>
      <c r="CL94" s="7"/>
      <c r="CM94" s="7"/>
      <c r="CN94" s="11"/>
      <c r="CO94" s="6"/>
      <c r="CP94" s="7"/>
      <c r="CQ94" s="6"/>
      <c r="CR94" s="11"/>
      <c r="CS94" s="7"/>
      <c r="CT94" s="27"/>
      <c r="CU94" s="11"/>
      <c r="CV94" s="7"/>
      <c r="CW94" s="7"/>
      <c r="CX94" s="7"/>
      <c r="CY94" s="7"/>
      <c r="CZ94" s="7"/>
      <c r="DA94" s="7"/>
      <c r="DB94" s="6"/>
      <c r="DC94" s="7"/>
      <c r="DD94" s="12"/>
      <c r="DE94" s="7"/>
      <c r="DF94" s="7"/>
      <c r="DG94" s="7"/>
      <c r="DH94" s="7"/>
      <c r="DI94" s="7"/>
      <c r="DJ94" s="10"/>
      <c r="DK94" s="12"/>
      <c r="DL94" s="40"/>
      <c r="DM94" s="40"/>
      <c r="DN94" s="38" t="str">
        <f t="shared" si="38"/>
        <v>DS_Pass-735</v>
      </c>
      <c r="DO94" s="40"/>
      <c r="DP94" s="40"/>
      <c r="DQ94" s="40"/>
      <c r="DR94" s="41"/>
      <c r="DS94" s="41"/>
      <c r="DT94" s="40"/>
      <c r="DU94" s="40"/>
      <c r="DV94" s="40"/>
      <c r="DW94" s="41"/>
      <c r="DX94" s="40"/>
      <c r="DY94" s="40"/>
      <c r="DZ94" s="37" t="s">
        <v>402</v>
      </c>
      <c r="EA94" s="39"/>
      <c r="EB94" s="37"/>
      <c r="EC94" s="37"/>
      <c r="ED94" s="16"/>
      <c r="EE94" s="1"/>
      <c r="EF94" s="55"/>
    </row>
    <row r="95" spans="1:136">
      <c r="A95" s="219" t="s">
        <v>1083</v>
      </c>
      <c r="B95" s="219" t="s">
        <v>892</v>
      </c>
      <c r="C95" s="219" t="s">
        <v>865</v>
      </c>
      <c r="D95" s="13">
        <f>'Run Parameters'!$B$1 + ROW()-1</f>
        <v>736</v>
      </c>
      <c r="E95" s="15" t="s">
        <v>47</v>
      </c>
      <c r="F95" s="18" t="s">
        <v>1024</v>
      </c>
      <c r="G95" s="13" t="str">
        <f t="shared" si="107"/>
        <v>Access Dtls-736</v>
      </c>
      <c r="H95" s="15" t="s">
        <v>275</v>
      </c>
      <c r="I95" s="13" t="str">
        <f>("MR. Test_94_EXCH11_"&amp;D95&amp;"")</f>
        <v>MR. Test_94_EXCH11_736</v>
      </c>
      <c r="J95" s="18"/>
      <c r="K95" s="19" t="s">
        <v>425</v>
      </c>
      <c r="L95" s="13" t="str">
        <f t="shared" si="108"/>
        <v>Cust. Ref-736</v>
      </c>
      <c r="M95" s="15" t="s">
        <v>48</v>
      </c>
      <c r="N95" s="15" t="s">
        <v>425</v>
      </c>
      <c r="O95" s="13"/>
      <c r="P95" s="13" t="str">
        <f t="shared" si="109"/>
        <v>SN-736</v>
      </c>
      <c r="Q95" s="13" t="str">
        <f t="shared" si="110"/>
        <v>SI-736</v>
      </c>
      <c r="R95" s="13" t="str">
        <f t="shared" si="111"/>
        <v>SE-736</v>
      </c>
      <c r="S95" s="54" t="str">
        <f t="shared" si="112"/>
        <v>Prev_RA-736</v>
      </c>
      <c r="T95" s="54" t="str">
        <f t="shared" si="113"/>
        <v>Prev_Comms-736</v>
      </c>
      <c r="U95" s="17" t="s">
        <v>75</v>
      </c>
      <c r="V95" s="15" t="s">
        <v>401</v>
      </c>
      <c r="W95" s="17" t="s">
        <v>75</v>
      </c>
      <c r="X95" s="15" t="s">
        <v>1081</v>
      </c>
      <c r="Y95" s="13" t="str">
        <f t="shared" si="114"/>
        <v>Forward Add-736</v>
      </c>
      <c r="Z95" s="15" t="s">
        <v>401</v>
      </c>
      <c r="AA95" s="136" t="str">
        <f>'Run Parameters'!$B$2</f>
        <v>2018-08-13 08:00</v>
      </c>
      <c r="AB95" s="223" t="str">
        <f>'Run Parameters'!B$3</f>
        <v>2018-08-13 18:00</v>
      </c>
      <c r="AC95" s="26">
        <f>('Run Parameters'!$B$2) - 7</f>
        <v>43318.333333333336</v>
      </c>
      <c r="AD95" s="17" t="s">
        <v>75</v>
      </c>
      <c r="AE95" s="18" t="str">
        <f t="shared" si="115"/>
        <v>LAST_METER-736</v>
      </c>
      <c r="AF95" s="136" t="str">
        <f>'Run Parameters'!$B$2</f>
        <v>2018-08-13 08:00</v>
      </c>
      <c r="AG95" s="13" t="str">
        <f>'Run Parameters'!B$4</f>
        <v>AUTOTEST2</v>
      </c>
      <c r="AH95" s="54" t="str">
        <f t="shared" si="116"/>
        <v>Site_Contact_736</v>
      </c>
      <c r="AI95" s="136" t="str">
        <f>'Run Parameters'!B$2</f>
        <v>2018-08-13 08:00</v>
      </c>
      <c r="AJ95" s="223" t="str">
        <f>'Run Parameters'!B$3</f>
        <v>2018-08-13 18:00</v>
      </c>
      <c r="AK95" s="13" t="s">
        <v>1081</v>
      </c>
      <c r="AL95" s="54" t="str">
        <f t="shared" si="117"/>
        <v>01159736</v>
      </c>
      <c r="AM95" s="13" t="str">
        <f t="shared" si="118"/>
        <v>0115736</v>
      </c>
      <c r="AN95" s="15"/>
      <c r="AO95" s="52"/>
      <c r="AP95" s="13">
        <v>1</v>
      </c>
      <c r="AQ95" s="53" t="s">
        <v>49</v>
      </c>
      <c r="AR95" s="15"/>
      <c r="AS95" s="13"/>
      <c r="AT95" s="7"/>
      <c r="AU95" s="7"/>
      <c r="AV95" s="13">
        <f t="shared" si="119"/>
        <v>736</v>
      </c>
      <c r="AW95" s="13" t="s">
        <v>1022</v>
      </c>
      <c r="AX95" s="13" t="s">
        <v>420</v>
      </c>
      <c r="AY95" s="13" t="s">
        <v>421</v>
      </c>
      <c r="AZ95" s="15" t="s">
        <v>334</v>
      </c>
      <c r="BA95" s="14" t="s">
        <v>154</v>
      </c>
      <c r="BB95" s="21">
        <v>1</v>
      </c>
      <c r="BC95" s="20">
        <f t="shared" si="120"/>
        <v>736</v>
      </c>
      <c r="BD95" s="16" t="s">
        <v>1098</v>
      </c>
      <c r="BE95" s="16" t="s">
        <v>390</v>
      </c>
      <c r="BF95" s="16" t="s">
        <v>391</v>
      </c>
      <c r="BG95" s="20" t="s">
        <v>1024</v>
      </c>
      <c r="BH95" s="20" t="str">
        <f t="shared" si="121"/>
        <v>736_1</v>
      </c>
      <c r="BI95" s="21"/>
      <c r="BJ95" s="21" t="str">
        <f t="shared" si="122"/>
        <v>10000000736</v>
      </c>
      <c r="BK95" s="16" t="s">
        <v>51</v>
      </c>
      <c r="BL95" s="16" t="s">
        <v>54</v>
      </c>
      <c r="BM95" s="20" t="s">
        <v>411</v>
      </c>
      <c r="BN95" s="16" t="s">
        <v>51</v>
      </c>
      <c r="BO95" s="20" t="str">
        <f t="shared" si="123"/>
        <v>S05S736</v>
      </c>
      <c r="BP95" s="16" t="s">
        <v>402</v>
      </c>
      <c r="BQ95" s="16" t="s">
        <v>402</v>
      </c>
      <c r="BR95" s="20" t="s">
        <v>161</v>
      </c>
      <c r="BS95" s="16" t="s">
        <v>50</v>
      </c>
      <c r="BT95" s="16" t="s">
        <v>135</v>
      </c>
      <c r="BU95" s="16" t="s">
        <v>393</v>
      </c>
      <c r="BV95" s="16" t="s">
        <v>51</v>
      </c>
      <c r="BW95" s="16" t="s">
        <v>154</v>
      </c>
      <c r="BX95" s="16"/>
      <c r="BY95" s="16"/>
      <c r="BZ95" s="16" t="s">
        <v>157</v>
      </c>
      <c r="CA95" s="16" t="s">
        <v>269</v>
      </c>
      <c r="CB95" s="16" t="s">
        <v>412</v>
      </c>
      <c r="CC95" s="16" t="s">
        <v>781</v>
      </c>
      <c r="CD95" s="16" t="s">
        <v>392</v>
      </c>
      <c r="CE95" s="16" t="s">
        <v>1081</v>
      </c>
      <c r="CF95" s="16" t="s">
        <v>398</v>
      </c>
      <c r="CG95" s="16" t="s">
        <v>1025</v>
      </c>
      <c r="CH95" s="16" t="s">
        <v>159</v>
      </c>
      <c r="CI95" s="11"/>
      <c r="CJ95" s="11"/>
      <c r="CK95" s="12"/>
      <c r="CL95" s="7"/>
      <c r="CM95" s="7"/>
      <c r="CN95" s="11"/>
      <c r="CO95" s="6"/>
      <c r="CP95" s="7"/>
      <c r="CQ95" s="6"/>
      <c r="CR95" s="11"/>
      <c r="CS95" s="7"/>
      <c r="CT95" s="27"/>
      <c r="CU95" s="11"/>
      <c r="CV95" s="7"/>
      <c r="CW95" s="7"/>
      <c r="CX95" s="7"/>
      <c r="CY95" s="7"/>
      <c r="CZ95" s="7"/>
      <c r="DA95" s="7"/>
      <c r="DB95" s="6"/>
      <c r="DC95" s="7"/>
      <c r="DD95" s="12"/>
      <c r="DE95" s="7"/>
      <c r="DF95" s="7"/>
      <c r="DG95" s="7"/>
      <c r="DH95" s="7"/>
      <c r="DI95" s="7"/>
      <c r="DJ95" s="10"/>
      <c r="DK95" s="12"/>
      <c r="DL95" s="40"/>
      <c r="DM95" s="40"/>
      <c r="DN95" s="38" t="str">
        <f t="shared" si="38"/>
        <v>DS_Pass-736</v>
      </c>
      <c r="DO95" s="40"/>
      <c r="DP95" s="40"/>
      <c r="DQ95" s="40"/>
      <c r="DR95" s="41"/>
      <c r="DS95" s="41"/>
      <c r="DT95" s="40"/>
      <c r="DU95" s="40"/>
      <c r="DV95" s="40"/>
      <c r="DW95" s="41"/>
      <c r="DX95" s="40"/>
      <c r="DY95" s="40"/>
      <c r="DZ95" s="37" t="s">
        <v>402</v>
      </c>
      <c r="EA95" s="39"/>
      <c r="EB95" s="37"/>
      <c r="EC95" s="37"/>
      <c r="ED95" s="16"/>
      <c r="EE95" s="1"/>
      <c r="EF95" s="55"/>
    </row>
    <row r="96" spans="1:136">
      <c r="A96" s="219" t="s">
        <v>980</v>
      </c>
      <c r="B96" s="219" t="s">
        <v>892</v>
      </c>
      <c r="C96" s="219" t="s">
        <v>865</v>
      </c>
      <c r="D96" s="13">
        <f>'Run Parameters'!$B$1 + ROW()-1</f>
        <v>737</v>
      </c>
      <c r="E96" s="15" t="s">
        <v>47</v>
      </c>
      <c r="F96" s="18" t="s">
        <v>993</v>
      </c>
      <c r="G96" s="13" t="str">
        <f t="shared" ref="G96:G115" si="124">("Access Dtls-" &amp; D96)</f>
        <v>Access Dtls-737</v>
      </c>
      <c r="H96" s="15" t="s">
        <v>275</v>
      </c>
      <c r="I96" s="13" t="str">
        <f>("MR. Test_95_INST5_"&amp;D96&amp;"")</f>
        <v>MR. Test_95_INST5_737</v>
      </c>
      <c r="J96" s="18"/>
      <c r="K96" s="19" t="s">
        <v>425</v>
      </c>
      <c r="L96" s="13" t="str">
        <f t="shared" ref="L96:L115" si="125">("Cust. Ref-" &amp; D96)</f>
        <v>Cust. Ref-737</v>
      </c>
      <c r="M96" s="15" t="s">
        <v>48</v>
      </c>
      <c r="N96" s="15" t="s">
        <v>425</v>
      </c>
      <c r="O96" s="13"/>
      <c r="P96" s="13" t="str">
        <f t="shared" ref="P96:P115" si="126">("SN-" &amp; D96)</f>
        <v>SN-737</v>
      </c>
      <c r="Q96" s="13" t="str">
        <f t="shared" ref="Q96:Q115" si="127">("SI-" &amp; D96)</f>
        <v>SI-737</v>
      </c>
      <c r="R96" s="13" t="str">
        <f t="shared" ref="R96:R115" si="128">("SE-" &amp; D96)</f>
        <v>SE-737</v>
      </c>
      <c r="S96" s="54" t="str">
        <f t="shared" ref="S96:S115" si="129">("Prev_RA-" &amp; D96)</f>
        <v>Prev_RA-737</v>
      </c>
      <c r="T96" s="54" t="str">
        <f t="shared" ref="T96:T115" si="130">("Prev_Comms-" &amp; D96)</f>
        <v>Prev_Comms-737</v>
      </c>
      <c r="U96" s="17" t="s">
        <v>75</v>
      </c>
      <c r="V96" s="15" t="s">
        <v>401</v>
      </c>
      <c r="W96" s="17" t="s">
        <v>75</v>
      </c>
      <c r="X96" s="15" t="s">
        <v>396</v>
      </c>
      <c r="Y96" s="13" t="str">
        <f t="shared" ref="Y96:Y115" si="131">("Forward Add-" &amp; D96)</f>
        <v>Forward Add-737</v>
      </c>
      <c r="Z96" s="15" t="s">
        <v>401</v>
      </c>
      <c r="AA96" s="136" t="str">
        <f>'Run Parameters'!$B$2</f>
        <v>2018-08-13 08:00</v>
      </c>
      <c r="AB96" s="223" t="str">
        <f>'Run Parameters'!B$3</f>
        <v>2018-08-13 18:00</v>
      </c>
      <c r="AC96" s="26">
        <f>('Run Parameters'!$B$2) - 7</f>
        <v>43318.333333333336</v>
      </c>
      <c r="AD96" s="17" t="s">
        <v>75</v>
      </c>
      <c r="AE96" s="18" t="str">
        <f t="shared" ref="AE96:AE115" si="132">("LAST_METER-" &amp; D96)</f>
        <v>LAST_METER-737</v>
      </c>
      <c r="AF96" s="136" t="str">
        <f>'Run Parameters'!$B$2</f>
        <v>2018-08-13 08:00</v>
      </c>
      <c r="AG96" s="13" t="str">
        <f>'Run Parameters'!B$4</f>
        <v>AUTOTEST2</v>
      </c>
      <c r="AH96" s="54" t="str">
        <f t="shared" ref="AH96:AH115" si="133">("Site_Contact_" &amp; D96)</f>
        <v>Site_Contact_737</v>
      </c>
      <c r="AI96" s="136" t="str">
        <f>'Run Parameters'!B$2</f>
        <v>2018-08-13 08:00</v>
      </c>
      <c r="AJ96" s="223" t="str">
        <f>'Run Parameters'!B$3</f>
        <v>2018-08-13 18:00</v>
      </c>
      <c r="AK96" s="13" t="s">
        <v>396</v>
      </c>
      <c r="AL96" s="54" t="str">
        <f t="shared" ref="AL96:AL115" si="134">"01159" &amp; D96</f>
        <v>01159737</v>
      </c>
      <c r="AM96" s="13" t="str">
        <f t="shared" ref="AM96:AM115" si="135">("0115" &amp; D96)</f>
        <v>0115737</v>
      </c>
      <c r="AN96" s="15"/>
      <c r="AO96" s="52"/>
      <c r="AP96" s="13">
        <v>1</v>
      </c>
      <c r="AQ96" s="53" t="s">
        <v>49</v>
      </c>
      <c r="AR96" s="15"/>
      <c r="AS96" s="13"/>
      <c r="AT96" s="7"/>
      <c r="AU96" s="7"/>
      <c r="AV96" s="13">
        <f t="shared" ref="AV96:AV115" si="136">D96</f>
        <v>737</v>
      </c>
      <c r="AW96" s="13" t="s">
        <v>991</v>
      </c>
      <c r="AX96" s="13" t="s">
        <v>420</v>
      </c>
      <c r="AY96" s="13" t="s">
        <v>421</v>
      </c>
      <c r="AZ96" s="15" t="s">
        <v>334</v>
      </c>
      <c r="BA96" s="14" t="s">
        <v>154</v>
      </c>
      <c r="BB96" s="21">
        <v>1</v>
      </c>
      <c r="BC96" s="20">
        <f t="shared" ref="BC96:BC115" si="137">D96</f>
        <v>737</v>
      </c>
      <c r="BD96" s="16" t="s">
        <v>992</v>
      </c>
      <c r="BE96" s="16" t="s">
        <v>391</v>
      </c>
      <c r="BF96" s="16" t="s">
        <v>391</v>
      </c>
      <c r="BG96" s="18" t="s">
        <v>993</v>
      </c>
      <c r="BH96" s="20" t="str">
        <f t="shared" ref="BH96:BH115" si="138">BC96&amp;"_"&amp;BB96</f>
        <v>737_1</v>
      </c>
      <c r="BI96" s="21"/>
      <c r="BJ96" s="21" t="str">
        <f t="shared" ref="BJ96:BJ115" si="139">"10000000" &amp; D96</f>
        <v>10000000737</v>
      </c>
      <c r="BK96" s="16" t="s">
        <v>51</v>
      </c>
      <c r="BL96" s="16" t="s">
        <v>54</v>
      </c>
      <c r="BM96" s="20" t="s">
        <v>411</v>
      </c>
      <c r="BN96" s="16" t="s">
        <v>51</v>
      </c>
      <c r="BO96" s="20" t="str">
        <f t="shared" ref="BO96:BO107" si="140">"S05S" &amp; D96</f>
        <v>S05S737</v>
      </c>
      <c r="BP96" s="16" t="s">
        <v>402</v>
      </c>
      <c r="BQ96" s="16" t="s">
        <v>402</v>
      </c>
      <c r="BR96" s="20" t="s">
        <v>161</v>
      </c>
      <c r="BS96" s="16" t="s">
        <v>50</v>
      </c>
      <c r="BT96" s="16" t="s">
        <v>135</v>
      </c>
      <c r="BU96" s="16" t="s">
        <v>393</v>
      </c>
      <c r="BV96" s="16" t="s">
        <v>51</v>
      </c>
      <c r="BW96" s="16" t="s">
        <v>154</v>
      </c>
      <c r="BX96" s="16"/>
      <c r="BY96" s="16"/>
      <c r="BZ96" s="16" t="s">
        <v>157</v>
      </c>
      <c r="CA96" s="16" t="s">
        <v>269</v>
      </c>
      <c r="CB96" s="16" t="s">
        <v>412</v>
      </c>
      <c r="CC96" s="16" t="s">
        <v>781</v>
      </c>
      <c r="CD96" s="16" t="s">
        <v>392</v>
      </c>
      <c r="CE96" s="16" t="s">
        <v>396</v>
      </c>
      <c r="CF96" s="16" t="s">
        <v>398</v>
      </c>
      <c r="CG96" s="16" t="s">
        <v>994</v>
      </c>
      <c r="CH96" s="16" t="s">
        <v>159</v>
      </c>
      <c r="CI96" s="11"/>
      <c r="CJ96" s="11"/>
      <c r="CK96" s="12"/>
      <c r="CL96" s="7"/>
      <c r="CM96" s="7"/>
      <c r="CN96" s="11"/>
      <c r="CO96" s="6"/>
      <c r="CP96" s="7"/>
      <c r="CQ96" s="6"/>
      <c r="CR96" s="11"/>
      <c r="CS96" s="7"/>
      <c r="CT96" s="27"/>
      <c r="CU96" s="11"/>
      <c r="CV96" s="7"/>
      <c r="CW96" s="7"/>
      <c r="CX96" s="7"/>
      <c r="CY96" s="7"/>
      <c r="CZ96" s="7"/>
      <c r="DA96" s="7"/>
      <c r="DB96" s="6"/>
      <c r="DC96" s="7"/>
      <c r="DD96" s="12"/>
      <c r="DE96" s="7"/>
      <c r="DF96" s="7"/>
      <c r="DG96" s="7"/>
      <c r="DH96" s="7"/>
      <c r="DI96" s="7"/>
      <c r="DJ96" s="10"/>
      <c r="DK96" s="12"/>
      <c r="DL96" s="40"/>
      <c r="DM96" s="40"/>
      <c r="DN96" s="38" t="str">
        <f t="shared" si="38"/>
        <v>DS_Pass-737</v>
      </c>
      <c r="DO96" s="40"/>
      <c r="DP96" s="40"/>
      <c r="DQ96" s="40"/>
      <c r="DR96" s="41"/>
      <c r="DS96" s="41"/>
      <c r="DT96" s="40"/>
      <c r="DU96" s="40"/>
      <c r="DV96" s="40"/>
      <c r="DW96" s="41"/>
      <c r="DX96" s="40"/>
      <c r="DY96" s="40"/>
      <c r="DZ96" s="37" t="s">
        <v>402</v>
      </c>
      <c r="EA96" s="39"/>
      <c r="EB96" s="37"/>
      <c r="EC96" s="37"/>
      <c r="ED96" s="16"/>
      <c r="EE96" s="1"/>
      <c r="EF96" s="55"/>
    </row>
    <row r="97" spans="1:136">
      <c r="A97" s="219" t="s">
        <v>981</v>
      </c>
      <c r="B97" s="219" t="s">
        <v>868</v>
      </c>
      <c r="C97" s="219" t="s">
        <v>865</v>
      </c>
      <c r="D97" s="13">
        <f>'Run Parameters'!$B$1 + ROW()-1</f>
        <v>738</v>
      </c>
      <c r="E97" s="15" t="s">
        <v>47</v>
      </c>
      <c r="F97" s="18" t="s">
        <v>993</v>
      </c>
      <c r="G97" s="13" t="str">
        <f t="shared" si="124"/>
        <v>Access Dtls-738</v>
      </c>
      <c r="H97" s="15" t="s">
        <v>275</v>
      </c>
      <c r="I97" s="13" t="str">
        <f>("MR. Test_96_INST5_"&amp;D97&amp;"")</f>
        <v>MR. Test_96_INST5_738</v>
      </c>
      <c r="J97" s="18"/>
      <c r="K97" s="19" t="s">
        <v>425</v>
      </c>
      <c r="L97" s="13" t="str">
        <f t="shared" si="125"/>
        <v>Cust. Ref-738</v>
      </c>
      <c r="M97" s="15" t="s">
        <v>48</v>
      </c>
      <c r="N97" s="15" t="s">
        <v>425</v>
      </c>
      <c r="O97" s="13"/>
      <c r="P97" s="13" t="str">
        <f t="shared" si="126"/>
        <v>SN-738</v>
      </c>
      <c r="Q97" s="13" t="str">
        <f t="shared" si="127"/>
        <v>SI-738</v>
      </c>
      <c r="R97" s="13" t="str">
        <f t="shared" si="128"/>
        <v>SE-738</v>
      </c>
      <c r="S97" s="54" t="str">
        <f t="shared" si="129"/>
        <v>Prev_RA-738</v>
      </c>
      <c r="T97" s="54" t="str">
        <f t="shared" si="130"/>
        <v>Prev_Comms-738</v>
      </c>
      <c r="U97" s="17" t="s">
        <v>75</v>
      </c>
      <c r="V97" s="15" t="s">
        <v>401</v>
      </c>
      <c r="W97" s="17" t="s">
        <v>75</v>
      </c>
      <c r="X97" s="15" t="s">
        <v>396</v>
      </c>
      <c r="Y97" s="13" t="str">
        <f t="shared" si="131"/>
        <v>Forward Add-738</v>
      </c>
      <c r="Z97" s="15" t="s">
        <v>401</v>
      </c>
      <c r="AA97" s="136" t="str">
        <f>'Run Parameters'!$B$2</f>
        <v>2018-08-13 08:00</v>
      </c>
      <c r="AB97" s="223" t="str">
        <f>'Run Parameters'!B$3</f>
        <v>2018-08-13 18:00</v>
      </c>
      <c r="AC97" s="26">
        <f>('Run Parameters'!$B$2) - 7</f>
        <v>43318.333333333336</v>
      </c>
      <c r="AD97" s="17" t="s">
        <v>75</v>
      </c>
      <c r="AE97" s="18" t="str">
        <f t="shared" si="132"/>
        <v>LAST_METER-738</v>
      </c>
      <c r="AF97" s="136" t="str">
        <f>'Run Parameters'!$B$2</f>
        <v>2018-08-13 08:00</v>
      </c>
      <c r="AG97" s="13" t="str">
        <f>'Run Parameters'!B$4</f>
        <v>AUTOTEST2</v>
      </c>
      <c r="AH97" s="54" t="str">
        <f t="shared" si="133"/>
        <v>Site_Contact_738</v>
      </c>
      <c r="AI97" s="136" t="str">
        <f>'Run Parameters'!B$2</f>
        <v>2018-08-13 08:00</v>
      </c>
      <c r="AJ97" s="223" t="str">
        <f>'Run Parameters'!B$3</f>
        <v>2018-08-13 18:00</v>
      </c>
      <c r="AK97" s="13" t="s">
        <v>396</v>
      </c>
      <c r="AL97" s="54" t="str">
        <f t="shared" si="134"/>
        <v>01159738</v>
      </c>
      <c r="AM97" s="13" t="str">
        <f t="shared" si="135"/>
        <v>0115738</v>
      </c>
      <c r="AN97" s="15"/>
      <c r="AO97" s="52"/>
      <c r="AP97" s="13">
        <v>1</v>
      </c>
      <c r="AQ97" s="53" t="s">
        <v>49</v>
      </c>
      <c r="AR97" s="15"/>
      <c r="AS97" s="13"/>
      <c r="AT97" s="7"/>
      <c r="AU97" s="7"/>
      <c r="AV97" s="13">
        <f t="shared" si="136"/>
        <v>738</v>
      </c>
      <c r="AW97" s="13" t="s">
        <v>991</v>
      </c>
      <c r="AX97" s="13" t="s">
        <v>420</v>
      </c>
      <c r="AY97" s="13" t="s">
        <v>421</v>
      </c>
      <c r="AZ97" s="15" t="s">
        <v>334</v>
      </c>
      <c r="BA97" s="14" t="s">
        <v>154</v>
      </c>
      <c r="BB97" s="21">
        <v>1</v>
      </c>
      <c r="BC97" s="20">
        <f t="shared" si="137"/>
        <v>738</v>
      </c>
      <c r="BD97" s="16" t="s">
        <v>992</v>
      </c>
      <c r="BE97" s="16" t="s">
        <v>391</v>
      </c>
      <c r="BF97" s="16" t="s">
        <v>391</v>
      </c>
      <c r="BG97" s="18" t="s">
        <v>993</v>
      </c>
      <c r="BH97" s="20" t="str">
        <f t="shared" si="138"/>
        <v>738_1</v>
      </c>
      <c r="BI97" s="21"/>
      <c r="BJ97" s="21" t="str">
        <f t="shared" si="139"/>
        <v>10000000738</v>
      </c>
      <c r="BK97" s="16" t="s">
        <v>51</v>
      </c>
      <c r="BL97" s="16" t="s">
        <v>54</v>
      </c>
      <c r="BM97" s="20" t="s">
        <v>411</v>
      </c>
      <c r="BN97" s="16" t="s">
        <v>51</v>
      </c>
      <c r="BO97" s="20" t="str">
        <f t="shared" si="140"/>
        <v>S05S738</v>
      </c>
      <c r="BP97" s="16" t="s">
        <v>402</v>
      </c>
      <c r="BQ97" s="16" t="s">
        <v>402</v>
      </c>
      <c r="BR97" s="20" t="s">
        <v>161</v>
      </c>
      <c r="BS97" s="16" t="s">
        <v>50</v>
      </c>
      <c r="BT97" s="16" t="s">
        <v>135</v>
      </c>
      <c r="BU97" s="16" t="s">
        <v>393</v>
      </c>
      <c r="BV97" s="16" t="s">
        <v>51</v>
      </c>
      <c r="BW97" s="16" t="s">
        <v>154</v>
      </c>
      <c r="BX97" s="16"/>
      <c r="BY97" s="16"/>
      <c r="BZ97" s="16" t="s">
        <v>157</v>
      </c>
      <c r="CA97" s="16" t="s">
        <v>269</v>
      </c>
      <c r="CB97" s="16" t="s">
        <v>412</v>
      </c>
      <c r="CC97" s="16" t="s">
        <v>781</v>
      </c>
      <c r="CD97" s="16" t="s">
        <v>392</v>
      </c>
      <c r="CE97" s="16" t="s">
        <v>396</v>
      </c>
      <c r="CF97" s="16" t="s">
        <v>398</v>
      </c>
      <c r="CG97" s="16" t="s">
        <v>994</v>
      </c>
      <c r="CH97" s="16" t="s">
        <v>159</v>
      </c>
      <c r="CI97" s="11"/>
      <c r="CJ97" s="11"/>
      <c r="CK97" s="12"/>
      <c r="CL97" s="7"/>
      <c r="CM97" s="7"/>
      <c r="CN97" s="11"/>
      <c r="CO97" s="6"/>
      <c r="CP97" s="7"/>
      <c r="CQ97" s="6"/>
      <c r="CR97" s="11"/>
      <c r="CS97" s="7"/>
      <c r="CT97" s="27"/>
      <c r="CU97" s="11"/>
      <c r="CV97" s="7"/>
      <c r="CW97" s="7"/>
      <c r="CX97" s="7"/>
      <c r="CY97" s="7"/>
      <c r="CZ97" s="7"/>
      <c r="DA97" s="7"/>
      <c r="DB97" s="6"/>
      <c r="DC97" s="7"/>
      <c r="DD97" s="12"/>
      <c r="DE97" s="7"/>
      <c r="DF97" s="7"/>
      <c r="DG97" s="7"/>
      <c r="DH97" s="7"/>
      <c r="DI97" s="7"/>
      <c r="DJ97" s="10"/>
      <c r="DK97" s="12"/>
      <c r="DL97" s="40"/>
      <c r="DM97" s="40"/>
      <c r="DN97" s="38" t="str">
        <f t="shared" si="38"/>
        <v>DS_Pass-738</v>
      </c>
      <c r="DO97" s="40"/>
      <c r="DP97" s="40"/>
      <c r="DQ97" s="40"/>
      <c r="DR97" s="41"/>
      <c r="DS97" s="41"/>
      <c r="DT97" s="40"/>
      <c r="DU97" s="40"/>
      <c r="DV97" s="40"/>
      <c r="DW97" s="41"/>
      <c r="DX97" s="40"/>
      <c r="DY97" s="40"/>
      <c r="DZ97" s="37" t="s">
        <v>402</v>
      </c>
      <c r="EA97" s="39"/>
      <c r="EB97" s="37"/>
      <c r="EC97" s="37"/>
      <c r="ED97" s="16"/>
      <c r="EE97" s="1"/>
      <c r="EF97" s="55"/>
    </row>
    <row r="98" spans="1:136">
      <c r="A98" s="219" t="s">
        <v>982</v>
      </c>
      <c r="B98" s="219" t="s">
        <v>892</v>
      </c>
      <c r="C98" s="219" t="s">
        <v>865</v>
      </c>
      <c r="D98" s="13">
        <f>'Run Parameters'!$B$1 + ROW()-1</f>
        <v>739</v>
      </c>
      <c r="E98" s="15" t="s">
        <v>47</v>
      </c>
      <c r="F98" s="18" t="s">
        <v>993</v>
      </c>
      <c r="G98" s="13" t="str">
        <f t="shared" si="124"/>
        <v>Access Dtls-739</v>
      </c>
      <c r="H98" s="15" t="s">
        <v>275</v>
      </c>
      <c r="I98" s="13" t="str">
        <f>("MR. Test_97_INST5_"&amp;D98&amp;"")</f>
        <v>MR. Test_97_INST5_739</v>
      </c>
      <c r="J98" s="18"/>
      <c r="K98" s="19" t="s">
        <v>425</v>
      </c>
      <c r="L98" s="13" t="str">
        <f t="shared" si="125"/>
        <v>Cust. Ref-739</v>
      </c>
      <c r="M98" s="15" t="s">
        <v>48</v>
      </c>
      <c r="N98" s="15" t="s">
        <v>425</v>
      </c>
      <c r="O98" s="13"/>
      <c r="P98" s="13" t="str">
        <f t="shared" si="126"/>
        <v>SN-739</v>
      </c>
      <c r="Q98" s="13" t="str">
        <f t="shared" si="127"/>
        <v>SI-739</v>
      </c>
      <c r="R98" s="13" t="str">
        <f t="shared" si="128"/>
        <v>SE-739</v>
      </c>
      <c r="S98" s="54" t="str">
        <f t="shared" si="129"/>
        <v>Prev_RA-739</v>
      </c>
      <c r="T98" s="54" t="str">
        <f t="shared" si="130"/>
        <v>Prev_Comms-739</v>
      </c>
      <c r="U98" s="17" t="s">
        <v>75</v>
      </c>
      <c r="V98" s="15" t="s">
        <v>401</v>
      </c>
      <c r="W98" s="17" t="s">
        <v>75</v>
      </c>
      <c r="X98" s="15" t="s">
        <v>396</v>
      </c>
      <c r="Y98" s="13" t="str">
        <f t="shared" si="131"/>
        <v>Forward Add-739</v>
      </c>
      <c r="Z98" s="15" t="s">
        <v>401</v>
      </c>
      <c r="AA98" s="136" t="str">
        <f>'Run Parameters'!$B$2</f>
        <v>2018-08-13 08:00</v>
      </c>
      <c r="AB98" s="223" t="str">
        <f>'Run Parameters'!B$3</f>
        <v>2018-08-13 18:00</v>
      </c>
      <c r="AC98" s="26">
        <f>('Run Parameters'!$B$2) - 7</f>
        <v>43318.333333333336</v>
      </c>
      <c r="AD98" s="17" t="s">
        <v>75</v>
      </c>
      <c r="AE98" s="18" t="str">
        <f t="shared" si="132"/>
        <v>LAST_METER-739</v>
      </c>
      <c r="AF98" s="136" t="str">
        <f>'Run Parameters'!$B$2</f>
        <v>2018-08-13 08:00</v>
      </c>
      <c r="AG98" s="13" t="str">
        <f>'Run Parameters'!B$4</f>
        <v>AUTOTEST2</v>
      </c>
      <c r="AH98" s="54" t="str">
        <f t="shared" si="133"/>
        <v>Site_Contact_739</v>
      </c>
      <c r="AI98" s="136" t="str">
        <f>'Run Parameters'!B$2</f>
        <v>2018-08-13 08:00</v>
      </c>
      <c r="AJ98" s="223" t="str">
        <f>'Run Parameters'!B$3</f>
        <v>2018-08-13 18:00</v>
      </c>
      <c r="AK98" s="13" t="s">
        <v>396</v>
      </c>
      <c r="AL98" s="54" t="str">
        <f t="shared" si="134"/>
        <v>01159739</v>
      </c>
      <c r="AM98" s="13" t="str">
        <f t="shared" si="135"/>
        <v>0115739</v>
      </c>
      <c r="AN98" s="15"/>
      <c r="AO98" s="52"/>
      <c r="AP98" s="13">
        <v>1</v>
      </c>
      <c r="AQ98" s="53" t="s">
        <v>49</v>
      </c>
      <c r="AR98" s="15"/>
      <c r="AS98" s="13"/>
      <c r="AT98" s="7"/>
      <c r="AU98" s="7"/>
      <c r="AV98" s="13">
        <f t="shared" si="136"/>
        <v>739</v>
      </c>
      <c r="AW98" s="13" t="s">
        <v>991</v>
      </c>
      <c r="AX98" s="13" t="s">
        <v>420</v>
      </c>
      <c r="AY98" s="13" t="s">
        <v>421</v>
      </c>
      <c r="AZ98" s="15" t="s">
        <v>334</v>
      </c>
      <c r="BA98" s="14" t="s">
        <v>154</v>
      </c>
      <c r="BB98" s="21">
        <v>1</v>
      </c>
      <c r="BC98" s="20">
        <f t="shared" si="137"/>
        <v>739</v>
      </c>
      <c r="BD98" s="16" t="s">
        <v>992</v>
      </c>
      <c r="BE98" s="16" t="s">
        <v>391</v>
      </c>
      <c r="BF98" s="16" t="s">
        <v>391</v>
      </c>
      <c r="BG98" s="18" t="s">
        <v>993</v>
      </c>
      <c r="BH98" s="20" t="str">
        <f t="shared" si="138"/>
        <v>739_1</v>
      </c>
      <c r="BI98" s="21"/>
      <c r="BJ98" s="21" t="str">
        <f t="shared" si="139"/>
        <v>10000000739</v>
      </c>
      <c r="BK98" s="16" t="s">
        <v>51</v>
      </c>
      <c r="BL98" s="16" t="s">
        <v>54</v>
      </c>
      <c r="BM98" s="20" t="s">
        <v>411</v>
      </c>
      <c r="BN98" s="16" t="s">
        <v>51</v>
      </c>
      <c r="BO98" s="20" t="str">
        <f t="shared" si="140"/>
        <v>S05S739</v>
      </c>
      <c r="BP98" s="16" t="s">
        <v>402</v>
      </c>
      <c r="BQ98" s="16" t="s">
        <v>402</v>
      </c>
      <c r="BR98" s="20" t="s">
        <v>161</v>
      </c>
      <c r="BS98" s="16" t="s">
        <v>50</v>
      </c>
      <c r="BT98" s="16" t="s">
        <v>135</v>
      </c>
      <c r="BU98" s="16" t="s">
        <v>393</v>
      </c>
      <c r="BV98" s="16" t="s">
        <v>51</v>
      </c>
      <c r="BW98" s="16" t="s">
        <v>154</v>
      </c>
      <c r="BX98" s="16"/>
      <c r="BY98" s="16"/>
      <c r="BZ98" s="16" t="s">
        <v>157</v>
      </c>
      <c r="CA98" s="16" t="s">
        <v>269</v>
      </c>
      <c r="CB98" s="16" t="s">
        <v>412</v>
      </c>
      <c r="CC98" s="16" t="s">
        <v>781</v>
      </c>
      <c r="CD98" s="16" t="s">
        <v>392</v>
      </c>
      <c r="CE98" s="16" t="s">
        <v>396</v>
      </c>
      <c r="CF98" s="16" t="s">
        <v>398</v>
      </c>
      <c r="CG98" s="16" t="s">
        <v>994</v>
      </c>
      <c r="CH98" s="16" t="s">
        <v>159</v>
      </c>
      <c r="CI98" s="11"/>
      <c r="CJ98" s="11"/>
      <c r="CK98" s="12"/>
      <c r="CL98" s="7"/>
      <c r="CM98" s="7"/>
      <c r="CN98" s="11"/>
      <c r="CO98" s="6"/>
      <c r="CP98" s="7"/>
      <c r="CQ98" s="6"/>
      <c r="CR98" s="11"/>
      <c r="CS98" s="7"/>
      <c r="CT98" s="27"/>
      <c r="CU98" s="11"/>
      <c r="CV98" s="7"/>
      <c r="CW98" s="7"/>
      <c r="CX98" s="7"/>
      <c r="CY98" s="7"/>
      <c r="CZ98" s="7"/>
      <c r="DA98" s="7"/>
      <c r="DB98" s="6"/>
      <c r="DC98" s="7"/>
      <c r="DD98" s="12"/>
      <c r="DE98" s="7"/>
      <c r="DF98" s="7"/>
      <c r="DG98" s="7"/>
      <c r="DH98" s="7"/>
      <c r="DI98" s="7"/>
      <c r="DJ98" s="10"/>
      <c r="DK98" s="12"/>
      <c r="DL98" s="40"/>
      <c r="DM98" s="40"/>
      <c r="DN98" s="38" t="str">
        <f t="shared" si="38"/>
        <v>DS_Pass-739</v>
      </c>
      <c r="DO98" s="40"/>
      <c r="DP98" s="40"/>
      <c r="DQ98" s="40"/>
      <c r="DR98" s="41"/>
      <c r="DS98" s="41"/>
      <c r="DT98" s="40"/>
      <c r="DU98" s="40"/>
      <c r="DV98" s="40"/>
      <c r="DW98" s="41"/>
      <c r="DX98" s="40"/>
      <c r="DY98" s="40"/>
      <c r="DZ98" s="37" t="s">
        <v>402</v>
      </c>
      <c r="EA98" s="39"/>
      <c r="EB98" s="37"/>
      <c r="EC98" s="37"/>
      <c r="ED98" s="16"/>
      <c r="EE98" s="1"/>
      <c r="EF98" s="55"/>
    </row>
    <row r="99" spans="1:136">
      <c r="A99" s="219" t="s">
        <v>983</v>
      </c>
      <c r="B99" s="219" t="s">
        <v>868</v>
      </c>
      <c r="C99" s="219" t="s">
        <v>865</v>
      </c>
      <c r="D99" s="13">
        <f>'Run Parameters'!$B$1 + ROW()-1</f>
        <v>740</v>
      </c>
      <c r="E99" s="15" t="s">
        <v>47</v>
      </c>
      <c r="F99" s="18" t="s">
        <v>993</v>
      </c>
      <c r="G99" s="13" t="str">
        <f t="shared" si="124"/>
        <v>Access Dtls-740</v>
      </c>
      <c r="H99" s="15" t="s">
        <v>275</v>
      </c>
      <c r="I99" s="13" t="str">
        <f>("MR. Test_98_INST5_"&amp;D99&amp;"")</f>
        <v>MR. Test_98_INST5_740</v>
      </c>
      <c r="J99" s="18"/>
      <c r="K99" s="19" t="s">
        <v>425</v>
      </c>
      <c r="L99" s="13" t="str">
        <f t="shared" si="125"/>
        <v>Cust. Ref-740</v>
      </c>
      <c r="M99" s="15" t="s">
        <v>48</v>
      </c>
      <c r="N99" s="15" t="s">
        <v>425</v>
      </c>
      <c r="O99" s="13"/>
      <c r="P99" s="13" t="str">
        <f t="shared" si="126"/>
        <v>SN-740</v>
      </c>
      <c r="Q99" s="13" t="str">
        <f t="shared" si="127"/>
        <v>SI-740</v>
      </c>
      <c r="R99" s="13" t="str">
        <f t="shared" si="128"/>
        <v>SE-740</v>
      </c>
      <c r="S99" s="54" t="str">
        <f t="shared" si="129"/>
        <v>Prev_RA-740</v>
      </c>
      <c r="T99" s="54" t="str">
        <f t="shared" si="130"/>
        <v>Prev_Comms-740</v>
      </c>
      <c r="U99" s="17" t="s">
        <v>75</v>
      </c>
      <c r="V99" s="15" t="s">
        <v>401</v>
      </c>
      <c r="W99" s="17" t="s">
        <v>75</v>
      </c>
      <c r="X99" s="15" t="s">
        <v>396</v>
      </c>
      <c r="Y99" s="13" t="str">
        <f t="shared" si="131"/>
        <v>Forward Add-740</v>
      </c>
      <c r="Z99" s="15" t="s">
        <v>401</v>
      </c>
      <c r="AA99" s="136" t="str">
        <f>'Run Parameters'!$B$2</f>
        <v>2018-08-13 08:00</v>
      </c>
      <c r="AB99" s="223" t="str">
        <f>'Run Parameters'!B$3</f>
        <v>2018-08-13 18:00</v>
      </c>
      <c r="AC99" s="26">
        <f>('Run Parameters'!$B$2) - 7</f>
        <v>43318.333333333336</v>
      </c>
      <c r="AD99" s="17" t="s">
        <v>75</v>
      </c>
      <c r="AE99" s="18" t="str">
        <f t="shared" si="132"/>
        <v>LAST_METER-740</v>
      </c>
      <c r="AF99" s="136" t="str">
        <f>'Run Parameters'!$B$2</f>
        <v>2018-08-13 08:00</v>
      </c>
      <c r="AG99" s="13" t="str">
        <f>'Run Parameters'!B$4</f>
        <v>AUTOTEST2</v>
      </c>
      <c r="AH99" s="54" t="str">
        <f t="shared" si="133"/>
        <v>Site_Contact_740</v>
      </c>
      <c r="AI99" s="136" t="str">
        <f>'Run Parameters'!B$2</f>
        <v>2018-08-13 08:00</v>
      </c>
      <c r="AJ99" s="223" t="str">
        <f>'Run Parameters'!B$3</f>
        <v>2018-08-13 18:00</v>
      </c>
      <c r="AK99" s="13" t="s">
        <v>396</v>
      </c>
      <c r="AL99" s="54" t="str">
        <f t="shared" si="134"/>
        <v>01159740</v>
      </c>
      <c r="AM99" s="13" t="str">
        <f t="shared" si="135"/>
        <v>0115740</v>
      </c>
      <c r="AN99" s="15"/>
      <c r="AO99" s="52"/>
      <c r="AP99" s="13">
        <v>1</v>
      </c>
      <c r="AQ99" s="53" t="s">
        <v>49</v>
      </c>
      <c r="AR99" s="15"/>
      <c r="AS99" s="13"/>
      <c r="AT99" s="7"/>
      <c r="AU99" s="7"/>
      <c r="AV99" s="13">
        <f t="shared" si="136"/>
        <v>740</v>
      </c>
      <c r="AW99" s="13" t="s">
        <v>991</v>
      </c>
      <c r="AX99" s="13" t="s">
        <v>420</v>
      </c>
      <c r="AY99" s="13" t="s">
        <v>421</v>
      </c>
      <c r="AZ99" s="15" t="s">
        <v>334</v>
      </c>
      <c r="BA99" s="14" t="s">
        <v>154</v>
      </c>
      <c r="BB99" s="21">
        <v>1</v>
      </c>
      <c r="BC99" s="20">
        <f t="shared" si="137"/>
        <v>740</v>
      </c>
      <c r="BD99" s="16" t="s">
        <v>992</v>
      </c>
      <c r="BE99" s="16" t="s">
        <v>391</v>
      </c>
      <c r="BF99" s="16" t="s">
        <v>391</v>
      </c>
      <c r="BG99" s="18" t="s">
        <v>993</v>
      </c>
      <c r="BH99" s="20" t="str">
        <f t="shared" si="138"/>
        <v>740_1</v>
      </c>
      <c r="BI99" s="21"/>
      <c r="BJ99" s="21" t="str">
        <f t="shared" si="139"/>
        <v>10000000740</v>
      </c>
      <c r="BK99" s="16" t="s">
        <v>51</v>
      </c>
      <c r="BL99" s="16" t="s">
        <v>54</v>
      </c>
      <c r="BM99" s="20" t="s">
        <v>411</v>
      </c>
      <c r="BN99" s="16" t="s">
        <v>51</v>
      </c>
      <c r="BO99" s="20" t="str">
        <f t="shared" si="140"/>
        <v>S05S740</v>
      </c>
      <c r="BP99" s="16" t="s">
        <v>402</v>
      </c>
      <c r="BQ99" s="16" t="s">
        <v>402</v>
      </c>
      <c r="BR99" s="20" t="s">
        <v>161</v>
      </c>
      <c r="BS99" s="16" t="s">
        <v>50</v>
      </c>
      <c r="BT99" s="16" t="s">
        <v>135</v>
      </c>
      <c r="BU99" s="16" t="s">
        <v>393</v>
      </c>
      <c r="BV99" s="16" t="s">
        <v>51</v>
      </c>
      <c r="BW99" s="16" t="s">
        <v>154</v>
      </c>
      <c r="BX99" s="16"/>
      <c r="BY99" s="16"/>
      <c r="BZ99" s="16" t="s">
        <v>157</v>
      </c>
      <c r="CA99" s="16" t="s">
        <v>269</v>
      </c>
      <c r="CB99" s="16" t="s">
        <v>412</v>
      </c>
      <c r="CC99" s="16" t="s">
        <v>781</v>
      </c>
      <c r="CD99" s="16" t="s">
        <v>392</v>
      </c>
      <c r="CE99" s="16" t="s">
        <v>396</v>
      </c>
      <c r="CF99" s="16" t="s">
        <v>398</v>
      </c>
      <c r="CG99" s="16" t="s">
        <v>994</v>
      </c>
      <c r="CH99" s="16" t="s">
        <v>159</v>
      </c>
      <c r="CI99" s="11"/>
      <c r="CJ99" s="11"/>
      <c r="CK99" s="12"/>
      <c r="CL99" s="7"/>
      <c r="CM99" s="7"/>
      <c r="CN99" s="11"/>
      <c r="CO99" s="6"/>
      <c r="CP99" s="7"/>
      <c r="CQ99" s="6"/>
      <c r="CR99" s="11"/>
      <c r="CS99" s="7"/>
      <c r="CT99" s="27"/>
      <c r="CU99" s="11"/>
      <c r="CV99" s="7"/>
      <c r="CW99" s="7"/>
      <c r="CX99" s="7"/>
      <c r="CY99" s="7"/>
      <c r="CZ99" s="7"/>
      <c r="DA99" s="7"/>
      <c r="DB99" s="6"/>
      <c r="DC99" s="7"/>
      <c r="DD99" s="12"/>
      <c r="DE99" s="7"/>
      <c r="DF99" s="7"/>
      <c r="DG99" s="7"/>
      <c r="DH99" s="7"/>
      <c r="DI99" s="7"/>
      <c r="DJ99" s="10"/>
      <c r="DK99" s="12"/>
      <c r="DL99" s="40"/>
      <c r="DM99" s="40"/>
      <c r="DN99" s="38" t="str">
        <f t="shared" si="38"/>
        <v>DS_Pass-740</v>
      </c>
      <c r="DO99" s="40"/>
      <c r="DP99" s="40"/>
      <c r="DQ99" s="40"/>
      <c r="DR99" s="41"/>
      <c r="DS99" s="41"/>
      <c r="DT99" s="40"/>
      <c r="DU99" s="40"/>
      <c r="DV99" s="40"/>
      <c r="DW99" s="41"/>
      <c r="DX99" s="40"/>
      <c r="DY99" s="40"/>
      <c r="DZ99" s="37" t="s">
        <v>402</v>
      </c>
      <c r="EA99" s="39"/>
      <c r="EB99" s="37"/>
      <c r="EC99" s="37"/>
      <c r="ED99" s="16"/>
      <c r="EE99" s="1"/>
      <c r="EF99" s="55"/>
    </row>
    <row r="100" spans="1:136">
      <c r="A100" s="219" t="s">
        <v>984</v>
      </c>
      <c r="B100" s="219" t="s">
        <v>892</v>
      </c>
      <c r="C100" s="219" t="s">
        <v>865</v>
      </c>
      <c r="D100" s="13">
        <f>'Run Parameters'!$B$1 + ROW()-1</f>
        <v>741</v>
      </c>
      <c r="E100" s="15" t="s">
        <v>47</v>
      </c>
      <c r="F100" s="18" t="s">
        <v>993</v>
      </c>
      <c r="G100" s="13" t="str">
        <f t="shared" si="124"/>
        <v>Access Dtls-741</v>
      </c>
      <c r="H100" s="15" t="s">
        <v>275</v>
      </c>
      <c r="I100" s="13" t="str">
        <f>("MR. Test_99_INST5_"&amp;D100&amp;"")</f>
        <v>MR. Test_99_INST5_741</v>
      </c>
      <c r="J100" s="18"/>
      <c r="K100" s="19" t="s">
        <v>425</v>
      </c>
      <c r="L100" s="13" t="str">
        <f t="shared" si="125"/>
        <v>Cust. Ref-741</v>
      </c>
      <c r="M100" s="15" t="s">
        <v>48</v>
      </c>
      <c r="N100" s="15" t="s">
        <v>425</v>
      </c>
      <c r="O100" s="13"/>
      <c r="P100" s="13" t="str">
        <f t="shared" si="126"/>
        <v>SN-741</v>
      </c>
      <c r="Q100" s="13" t="str">
        <f t="shared" si="127"/>
        <v>SI-741</v>
      </c>
      <c r="R100" s="13" t="str">
        <f t="shared" si="128"/>
        <v>SE-741</v>
      </c>
      <c r="S100" s="54" t="str">
        <f t="shared" si="129"/>
        <v>Prev_RA-741</v>
      </c>
      <c r="T100" s="54" t="str">
        <f t="shared" si="130"/>
        <v>Prev_Comms-741</v>
      </c>
      <c r="U100" s="17" t="s">
        <v>75</v>
      </c>
      <c r="V100" s="15" t="s">
        <v>401</v>
      </c>
      <c r="W100" s="17" t="s">
        <v>75</v>
      </c>
      <c r="X100" s="15" t="s">
        <v>396</v>
      </c>
      <c r="Y100" s="13" t="str">
        <f t="shared" si="131"/>
        <v>Forward Add-741</v>
      </c>
      <c r="Z100" s="15" t="s">
        <v>401</v>
      </c>
      <c r="AA100" s="136" t="str">
        <f>'Run Parameters'!$B$2</f>
        <v>2018-08-13 08:00</v>
      </c>
      <c r="AB100" s="223" t="str">
        <f>'Run Parameters'!B$3</f>
        <v>2018-08-13 18:00</v>
      </c>
      <c r="AC100" s="26">
        <f>('Run Parameters'!$B$2) - 7</f>
        <v>43318.333333333336</v>
      </c>
      <c r="AD100" s="17" t="s">
        <v>75</v>
      </c>
      <c r="AE100" s="18" t="str">
        <f t="shared" si="132"/>
        <v>LAST_METER-741</v>
      </c>
      <c r="AF100" s="136" t="str">
        <f>'Run Parameters'!$B$2</f>
        <v>2018-08-13 08:00</v>
      </c>
      <c r="AG100" s="13" t="str">
        <f>'Run Parameters'!B$4</f>
        <v>AUTOTEST2</v>
      </c>
      <c r="AH100" s="54" t="str">
        <f t="shared" si="133"/>
        <v>Site_Contact_741</v>
      </c>
      <c r="AI100" s="136" t="str">
        <f>'Run Parameters'!B$2</f>
        <v>2018-08-13 08:00</v>
      </c>
      <c r="AJ100" s="223" t="str">
        <f>'Run Parameters'!B$3</f>
        <v>2018-08-13 18:00</v>
      </c>
      <c r="AK100" s="13" t="s">
        <v>396</v>
      </c>
      <c r="AL100" s="54" t="str">
        <f t="shared" si="134"/>
        <v>01159741</v>
      </c>
      <c r="AM100" s="13" t="str">
        <f t="shared" si="135"/>
        <v>0115741</v>
      </c>
      <c r="AN100" s="15"/>
      <c r="AO100" s="52"/>
      <c r="AP100" s="13">
        <v>1</v>
      </c>
      <c r="AQ100" s="53" t="s">
        <v>49</v>
      </c>
      <c r="AR100" s="15"/>
      <c r="AS100" s="13"/>
      <c r="AT100" s="7"/>
      <c r="AU100" s="7"/>
      <c r="AV100" s="13">
        <f t="shared" si="136"/>
        <v>741</v>
      </c>
      <c r="AW100" s="13" t="s">
        <v>991</v>
      </c>
      <c r="AX100" s="13" t="s">
        <v>420</v>
      </c>
      <c r="AY100" s="13" t="s">
        <v>421</v>
      </c>
      <c r="AZ100" s="15" t="s">
        <v>334</v>
      </c>
      <c r="BA100" s="14" t="s">
        <v>154</v>
      </c>
      <c r="BB100" s="21">
        <v>1</v>
      </c>
      <c r="BC100" s="20">
        <f t="shared" si="137"/>
        <v>741</v>
      </c>
      <c r="BD100" s="16" t="s">
        <v>992</v>
      </c>
      <c r="BE100" s="16" t="s">
        <v>391</v>
      </c>
      <c r="BF100" s="16" t="s">
        <v>391</v>
      </c>
      <c r="BG100" s="18" t="s">
        <v>993</v>
      </c>
      <c r="BH100" s="20" t="str">
        <f t="shared" si="138"/>
        <v>741_1</v>
      </c>
      <c r="BI100" s="21"/>
      <c r="BJ100" s="21" t="str">
        <f t="shared" si="139"/>
        <v>10000000741</v>
      </c>
      <c r="BK100" s="16" t="s">
        <v>51</v>
      </c>
      <c r="BL100" s="16" t="s">
        <v>54</v>
      </c>
      <c r="BM100" s="20" t="s">
        <v>411</v>
      </c>
      <c r="BN100" s="16" t="s">
        <v>51</v>
      </c>
      <c r="BO100" s="20" t="str">
        <f t="shared" si="140"/>
        <v>S05S741</v>
      </c>
      <c r="BP100" s="16" t="s">
        <v>402</v>
      </c>
      <c r="BQ100" s="16" t="s">
        <v>402</v>
      </c>
      <c r="BR100" s="20" t="s">
        <v>161</v>
      </c>
      <c r="BS100" s="16" t="s">
        <v>50</v>
      </c>
      <c r="BT100" s="16" t="s">
        <v>135</v>
      </c>
      <c r="BU100" s="16" t="s">
        <v>393</v>
      </c>
      <c r="BV100" s="16" t="s">
        <v>51</v>
      </c>
      <c r="BW100" s="16" t="s">
        <v>154</v>
      </c>
      <c r="BX100" s="16"/>
      <c r="BY100" s="16"/>
      <c r="BZ100" s="16" t="s">
        <v>157</v>
      </c>
      <c r="CA100" s="16" t="s">
        <v>269</v>
      </c>
      <c r="CB100" s="16" t="s">
        <v>412</v>
      </c>
      <c r="CC100" s="16" t="s">
        <v>781</v>
      </c>
      <c r="CD100" s="16" t="s">
        <v>392</v>
      </c>
      <c r="CE100" s="16" t="s">
        <v>396</v>
      </c>
      <c r="CF100" s="16" t="s">
        <v>398</v>
      </c>
      <c r="CG100" s="16" t="s">
        <v>994</v>
      </c>
      <c r="CH100" s="16" t="s">
        <v>159</v>
      </c>
      <c r="CI100" s="11"/>
      <c r="CJ100" s="11"/>
      <c r="CK100" s="12"/>
      <c r="CL100" s="7"/>
      <c r="CM100" s="7"/>
      <c r="CN100" s="11"/>
      <c r="CO100" s="6"/>
      <c r="CP100" s="7"/>
      <c r="CQ100" s="6"/>
      <c r="CR100" s="11"/>
      <c r="CS100" s="7"/>
      <c r="CT100" s="27"/>
      <c r="CU100" s="11"/>
      <c r="CV100" s="7"/>
      <c r="CW100" s="7"/>
      <c r="CX100" s="7"/>
      <c r="CY100" s="7"/>
      <c r="CZ100" s="7"/>
      <c r="DA100" s="7"/>
      <c r="DB100" s="6"/>
      <c r="DC100" s="7"/>
      <c r="DD100" s="12"/>
      <c r="DE100" s="7"/>
      <c r="DF100" s="7"/>
      <c r="DG100" s="7"/>
      <c r="DH100" s="7"/>
      <c r="DI100" s="7"/>
      <c r="DJ100" s="10"/>
      <c r="DK100" s="12"/>
      <c r="DL100" s="40"/>
      <c r="DM100" s="40"/>
      <c r="DN100" s="38" t="str">
        <f t="shared" si="38"/>
        <v>DS_Pass-741</v>
      </c>
      <c r="DO100" s="40"/>
      <c r="DP100" s="40"/>
      <c r="DQ100" s="40"/>
      <c r="DR100" s="41"/>
      <c r="DS100" s="41"/>
      <c r="DT100" s="40"/>
      <c r="DU100" s="40"/>
      <c r="DV100" s="40"/>
      <c r="DW100" s="41"/>
      <c r="DX100" s="40"/>
      <c r="DY100" s="40"/>
      <c r="DZ100" s="37" t="s">
        <v>402</v>
      </c>
      <c r="EA100" s="39"/>
      <c r="EB100" s="37"/>
      <c r="EC100" s="37"/>
      <c r="ED100" s="16"/>
      <c r="EE100" s="1"/>
      <c r="EF100" s="55"/>
    </row>
    <row r="101" spans="1:136">
      <c r="A101" s="219" t="s">
        <v>985</v>
      </c>
      <c r="B101" s="219" t="s">
        <v>868</v>
      </c>
      <c r="C101" s="219" t="s">
        <v>865</v>
      </c>
      <c r="D101" s="13">
        <f>'Run Parameters'!$B$1 + ROW()-1</f>
        <v>742</v>
      </c>
      <c r="E101" s="15" t="s">
        <v>47</v>
      </c>
      <c r="F101" s="18" t="s">
        <v>993</v>
      </c>
      <c r="G101" s="13" t="str">
        <f t="shared" si="124"/>
        <v>Access Dtls-742</v>
      </c>
      <c r="H101" s="15" t="s">
        <v>275</v>
      </c>
      <c r="I101" s="13" t="str">
        <f>("MR. Test_100_INST5_"&amp;D101&amp;"")</f>
        <v>MR. Test_100_INST5_742</v>
      </c>
      <c r="J101" s="18"/>
      <c r="K101" s="19" t="s">
        <v>425</v>
      </c>
      <c r="L101" s="13" t="str">
        <f t="shared" si="125"/>
        <v>Cust. Ref-742</v>
      </c>
      <c r="M101" s="15" t="s">
        <v>48</v>
      </c>
      <c r="N101" s="15" t="s">
        <v>425</v>
      </c>
      <c r="O101" s="13"/>
      <c r="P101" s="13" t="str">
        <f t="shared" si="126"/>
        <v>SN-742</v>
      </c>
      <c r="Q101" s="13" t="str">
        <f t="shared" si="127"/>
        <v>SI-742</v>
      </c>
      <c r="R101" s="13" t="str">
        <f t="shared" si="128"/>
        <v>SE-742</v>
      </c>
      <c r="S101" s="54" t="str">
        <f t="shared" si="129"/>
        <v>Prev_RA-742</v>
      </c>
      <c r="T101" s="54" t="str">
        <f t="shared" si="130"/>
        <v>Prev_Comms-742</v>
      </c>
      <c r="U101" s="17" t="s">
        <v>75</v>
      </c>
      <c r="V101" s="15" t="s">
        <v>401</v>
      </c>
      <c r="W101" s="17" t="s">
        <v>75</v>
      </c>
      <c r="X101" s="15" t="s">
        <v>396</v>
      </c>
      <c r="Y101" s="13" t="str">
        <f t="shared" si="131"/>
        <v>Forward Add-742</v>
      </c>
      <c r="Z101" s="15" t="s">
        <v>401</v>
      </c>
      <c r="AA101" s="136" t="str">
        <f>'Run Parameters'!$B$2</f>
        <v>2018-08-13 08:00</v>
      </c>
      <c r="AB101" s="223" t="str">
        <f>'Run Parameters'!B$3</f>
        <v>2018-08-13 18:00</v>
      </c>
      <c r="AC101" s="26">
        <f>('Run Parameters'!$B$2) - 7</f>
        <v>43318.333333333336</v>
      </c>
      <c r="AD101" s="17" t="s">
        <v>75</v>
      </c>
      <c r="AE101" s="18" t="str">
        <f t="shared" si="132"/>
        <v>LAST_METER-742</v>
      </c>
      <c r="AF101" s="136" t="str">
        <f>'Run Parameters'!$B$2</f>
        <v>2018-08-13 08:00</v>
      </c>
      <c r="AG101" s="13" t="str">
        <f>'Run Parameters'!B$4</f>
        <v>AUTOTEST2</v>
      </c>
      <c r="AH101" s="54" t="str">
        <f t="shared" si="133"/>
        <v>Site_Contact_742</v>
      </c>
      <c r="AI101" s="136" t="str">
        <f>'Run Parameters'!B$2</f>
        <v>2018-08-13 08:00</v>
      </c>
      <c r="AJ101" s="223" t="str">
        <f>'Run Parameters'!B$3</f>
        <v>2018-08-13 18:00</v>
      </c>
      <c r="AK101" s="13" t="s">
        <v>396</v>
      </c>
      <c r="AL101" s="54" t="str">
        <f t="shared" si="134"/>
        <v>01159742</v>
      </c>
      <c r="AM101" s="13" t="str">
        <f t="shared" si="135"/>
        <v>0115742</v>
      </c>
      <c r="AN101" s="15"/>
      <c r="AO101" s="52"/>
      <c r="AP101" s="13">
        <v>1</v>
      </c>
      <c r="AQ101" s="53" t="s">
        <v>49</v>
      </c>
      <c r="AR101" s="15"/>
      <c r="AS101" s="13"/>
      <c r="AT101" s="7"/>
      <c r="AU101" s="7"/>
      <c r="AV101" s="13">
        <f t="shared" si="136"/>
        <v>742</v>
      </c>
      <c r="AW101" s="13" t="s">
        <v>991</v>
      </c>
      <c r="AX101" s="13" t="s">
        <v>420</v>
      </c>
      <c r="AY101" s="13" t="s">
        <v>421</v>
      </c>
      <c r="AZ101" s="15" t="s">
        <v>334</v>
      </c>
      <c r="BA101" s="14" t="s">
        <v>154</v>
      </c>
      <c r="BB101" s="21">
        <v>1</v>
      </c>
      <c r="BC101" s="20">
        <f t="shared" si="137"/>
        <v>742</v>
      </c>
      <c r="BD101" s="16" t="s">
        <v>992</v>
      </c>
      <c r="BE101" s="16" t="s">
        <v>391</v>
      </c>
      <c r="BF101" s="16" t="s">
        <v>391</v>
      </c>
      <c r="BG101" s="18" t="s">
        <v>993</v>
      </c>
      <c r="BH101" s="20" t="str">
        <f t="shared" si="138"/>
        <v>742_1</v>
      </c>
      <c r="BI101" s="21"/>
      <c r="BJ101" s="21" t="str">
        <f t="shared" si="139"/>
        <v>10000000742</v>
      </c>
      <c r="BK101" s="16" t="s">
        <v>51</v>
      </c>
      <c r="BL101" s="16" t="s">
        <v>54</v>
      </c>
      <c r="BM101" s="20" t="s">
        <v>411</v>
      </c>
      <c r="BN101" s="16" t="s">
        <v>51</v>
      </c>
      <c r="BO101" s="20" t="str">
        <f t="shared" si="140"/>
        <v>S05S742</v>
      </c>
      <c r="BP101" s="16" t="s">
        <v>402</v>
      </c>
      <c r="BQ101" s="16" t="s">
        <v>402</v>
      </c>
      <c r="BR101" s="20" t="s">
        <v>161</v>
      </c>
      <c r="BS101" s="16" t="s">
        <v>50</v>
      </c>
      <c r="BT101" s="16" t="s">
        <v>135</v>
      </c>
      <c r="BU101" s="16" t="s">
        <v>393</v>
      </c>
      <c r="BV101" s="16" t="s">
        <v>51</v>
      </c>
      <c r="BW101" s="16" t="s">
        <v>154</v>
      </c>
      <c r="BX101" s="16"/>
      <c r="BY101" s="16"/>
      <c r="BZ101" s="16" t="s">
        <v>157</v>
      </c>
      <c r="CA101" s="16" t="s">
        <v>269</v>
      </c>
      <c r="CB101" s="16" t="s">
        <v>412</v>
      </c>
      <c r="CC101" s="16" t="s">
        <v>781</v>
      </c>
      <c r="CD101" s="16" t="s">
        <v>392</v>
      </c>
      <c r="CE101" s="16" t="s">
        <v>396</v>
      </c>
      <c r="CF101" s="16" t="s">
        <v>398</v>
      </c>
      <c r="CG101" s="16" t="s">
        <v>994</v>
      </c>
      <c r="CH101" s="16" t="s">
        <v>159</v>
      </c>
      <c r="CI101" s="11"/>
      <c r="CJ101" s="11"/>
      <c r="CK101" s="12"/>
      <c r="CL101" s="7"/>
      <c r="CM101" s="7"/>
      <c r="CN101" s="11"/>
      <c r="CO101" s="6"/>
      <c r="CP101" s="7"/>
      <c r="CQ101" s="6"/>
      <c r="CR101" s="11"/>
      <c r="CS101" s="7"/>
      <c r="CT101" s="27"/>
      <c r="CU101" s="11"/>
      <c r="CV101" s="7"/>
      <c r="CW101" s="7"/>
      <c r="CX101" s="7"/>
      <c r="CY101" s="7"/>
      <c r="CZ101" s="7"/>
      <c r="DA101" s="7"/>
      <c r="DB101" s="6"/>
      <c r="DC101" s="7"/>
      <c r="DD101" s="12"/>
      <c r="DE101" s="7"/>
      <c r="DF101" s="7"/>
      <c r="DG101" s="7"/>
      <c r="DH101" s="7"/>
      <c r="DI101" s="7"/>
      <c r="DJ101" s="10"/>
      <c r="DK101" s="12"/>
      <c r="DL101" s="40"/>
      <c r="DM101" s="40"/>
      <c r="DN101" s="38" t="str">
        <f t="shared" si="38"/>
        <v>DS_Pass-742</v>
      </c>
      <c r="DO101" s="40"/>
      <c r="DP101" s="40"/>
      <c r="DQ101" s="40"/>
      <c r="DR101" s="41"/>
      <c r="DS101" s="41"/>
      <c r="DT101" s="40"/>
      <c r="DU101" s="40"/>
      <c r="DV101" s="40"/>
      <c r="DW101" s="41"/>
      <c r="DX101" s="40"/>
      <c r="DY101" s="40"/>
      <c r="DZ101" s="37" t="s">
        <v>402</v>
      </c>
      <c r="EA101" s="39"/>
      <c r="EB101" s="37"/>
      <c r="EC101" s="37"/>
      <c r="ED101" s="16"/>
      <c r="EE101" s="1"/>
      <c r="EF101" s="55"/>
    </row>
    <row r="102" spans="1:136">
      <c r="A102" s="219" t="s">
        <v>986</v>
      </c>
      <c r="B102" s="219" t="s">
        <v>892</v>
      </c>
      <c r="C102" s="219" t="s">
        <v>865</v>
      </c>
      <c r="D102" s="13">
        <f>'Run Parameters'!$B$1 + ROW()-1</f>
        <v>743</v>
      </c>
      <c r="E102" s="15" t="s">
        <v>47</v>
      </c>
      <c r="F102" s="18" t="s">
        <v>993</v>
      </c>
      <c r="G102" s="13" t="str">
        <f t="shared" si="124"/>
        <v>Access Dtls-743</v>
      </c>
      <c r="H102" s="15" t="s">
        <v>275</v>
      </c>
      <c r="I102" s="13" t="str">
        <f>("MR. Test_101_INST5_"&amp;D102&amp;"")</f>
        <v>MR. Test_101_INST5_743</v>
      </c>
      <c r="J102" s="18"/>
      <c r="K102" s="19" t="s">
        <v>425</v>
      </c>
      <c r="L102" s="13" t="str">
        <f t="shared" si="125"/>
        <v>Cust. Ref-743</v>
      </c>
      <c r="M102" s="15" t="s">
        <v>48</v>
      </c>
      <c r="N102" s="15" t="s">
        <v>425</v>
      </c>
      <c r="O102" s="13"/>
      <c r="P102" s="13" t="str">
        <f t="shared" si="126"/>
        <v>SN-743</v>
      </c>
      <c r="Q102" s="13" t="str">
        <f t="shared" si="127"/>
        <v>SI-743</v>
      </c>
      <c r="R102" s="13" t="str">
        <f t="shared" si="128"/>
        <v>SE-743</v>
      </c>
      <c r="S102" s="54" t="str">
        <f t="shared" si="129"/>
        <v>Prev_RA-743</v>
      </c>
      <c r="T102" s="54" t="str">
        <f t="shared" si="130"/>
        <v>Prev_Comms-743</v>
      </c>
      <c r="U102" s="17" t="s">
        <v>75</v>
      </c>
      <c r="V102" s="15" t="s">
        <v>401</v>
      </c>
      <c r="W102" s="17" t="s">
        <v>75</v>
      </c>
      <c r="X102" s="15" t="s">
        <v>396</v>
      </c>
      <c r="Y102" s="13" t="str">
        <f t="shared" si="131"/>
        <v>Forward Add-743</v>
      </c>
      <c r="Z102" s="15" t="s">
        <v>401</v>
      </c>
      <c r="AA102" s="136" t="str">
        <f>'Run Parameters'!$B$2</f>
        <v>2018-08-13 08:00</v>
      </c>
      <c r="AB102" s="223" t="str">
        <f>'Run Parameters'!B$3</f>
        <v>2018-08-13 18:00</v>
      </c>
      <c r="AC102" s="26">
        <f>('Run Parameters'!$B$2) - 7</f>
        <v>43318.333333333336</v>
      </c>
      <c r="AD102" s="17" t="s">
        <v>75</v>
      </c>
      <c r="AE102" s="18" t="str">
        <f t="shared" si="132"/>
        <v>LAST_METER-743</v>
      </c>
      <c r="AF102" s="136" t="str">
        <f>'Run Parameters'!$B$2</f>
        <v>2018-08-13 08:00</v>
      </c>
      <c r="AG102" s="13" t="str">
        <f>'Run Parameters'!B$4</f>
        <v>AUTOTEST2</v>
      </c>
      <c r="AH102" s="54" t="str">
        <f t="shared" si="133"/>
        <v>Site_Contact_743</v>
      </c>
      <c r="AI102" s="136" t="str">
        <f>'Run Parameters'!B$2</f>
        <v>2018-08-13 08:00</v>
      </c>
      <c r="AJ102" s="223" t="str">
        <f>'Run Parameters'!B$3</f>
        <v>2018-08-13 18:00</v>
      </c>
      <c r="AK102" s="13" t="s">
        <v>396</v>
      </c>
      <c r="AL102" s="54" t="str">
        <f t="shared" si="134"/>
        <v>01159743</v>
      </c>
      <c r="AM102" s="13" t="str">
        <f t="shared" si="135"/>
        <v>0115743</v>
      </c>
      <c r="AN102" s="15"/>
      <c r="AO102" s="52"/>
      <c r="AP102" s="13">
        <v>1</v>
      </c>
      <c r="AQ102" s="53" t="s">
        <v>49</v>
      </c>
      <c r="AR102" s="15"/>
      <c r="AS102" s="13"/>
      <c r="AT102" s="7"/>
      <c r="AU102" s="7"/>
      <c r="AV102" s="13">
        <f t="shared" si="136"/>
        <v>743</v>
      </c>
      <c r="AW102" s="13" t="s">
        <v>991</v>
      </c>
      <c r="AX102" s="13" t="s">
        <v>420</v>
      </c>
      <c r="AY102" s="13" t="s">
        <v>421</v>
      </c>
      <c r="AZ102" s="15" t="s">
        <v>334</v>
      </c>
      <c r="BA102" s="14" t="s">
        <v>154</v>
      </c>
      <c r="BB102" s="21">
        <v>1</v>
      </c>
      <c r="BC102" s="20">
        <f t="shared" si="137"/>
        <v>743</v>
      </c>
      <c r="BD102" s="16" t="s">
        <v>992</v>
      </c>
      <c r="BE102" s="16" t="s">
        <v>391</v>
      </c>
      <c r="BF102" s="16" t="s">
        <v>391</v>
      </c>
      <c r="BG102" s="18" t="s">
        <v>993</v>
      </c>
      <c r="BH102" s="20" t="str">
        <f t="shared" si="138"/>
        <v>743_1</v>
      </c>
      <c r="BI102" s="21"/>
      <c r="BJ102" s="21" t="str">
        <f t="shared" si="139"/>
        <v>10000000743</v>
      </c>
      <c r="BK102" s="16" t="s">
        <v>51</v>
      </c>
      <c r="BL102" s="16" t="s">
        <v>54</v>
      </c>
      <c r="BM102" s="20" t="s">
        <v>411</v>
      </c>
      <c r="BN102" s="16" t="s">
        <v>51</v>
      </c>
      <c r="BO102" s="20" t="str">
        <f t="shared" si="140"/>
        <v>S05S743</v>
      </c>
      <c r="BP102" s="16" t="s">
        <v>402</v>
      </c>
      <c r="BQ102" s="16" t="s">
        <v>402</v>
      </c>
      <c r="BR102" s="20" t="s">
        <v>161</v>
      </c>
      <c r="BS102" s="16" t="s">
        <v>50</v>
      </c>
      <c r="BT102" s="16" t="s">
        <v>135</v>
      </c>
      <c r="BU102" s="16" t="s">
        <v>393</v>
      </c>
      <c r="BV102" s="16" t="s">
        <v>51</v>
      </c>
      <c r="BW102" s="16" t="s">
        <v>154</v>
      </c>
      <c r="BX102" s="16"/>
      <c r="BY102" s="16"/>
      <c r="BZ102" s="16" t="s">
        <v>157</v>
      </c>
      <c r="CA102" s="16" t="s">
        <v>269</v>
      </c>
      <c r="CB102" s="16" t="s">
        <v>412</v>
      </c>
      <c r="CC102" s="16" t="s">
        <v>781</v>
      </c>
      <c r="CD102" s="16" t="s">
        <v>392</v>
      </c>
      <c r="CE102" s="16" t="s">
        <v>396</v>
      </c>
      <c r="CF102" s="16" t="s">
        <v>398</v>
      </c>
      <c r="CG102" s="16" t="s">
        <v>994</v>
      </c>
      <c r="CH102" s="16" t="s">
        <v>159</v>
      </c>
      <c r="CI102" s="11"/>
      <c r="CJ102" s="11"/>
      <c r="CK102" s="12"/>
      <c r="CL102" s="7"/>
      <c r="CM102" s="7"/>
      <c r="CN102" s="11"/>
      <c r="CO102" s="6"/>
      <c r="CP102" s="7"/>
      <c r="CQ102" s="6"/>
      <c r="CR102" s="11"/>
      <c r="CS102" s="7"/>
      <c r="CT102" s="27"/>
      <c r="CU102" s="11"/>
      <c r="CV102" s="7"/>
      <c r="CW102" s="7"/>
      <c r="CX102" s="7"/>
      <c r="CY102" s="7"/>
      <c r="CZ102" s="7"/>
      <c r="DA102" s="7"/>
      <c r="DB102" s="6"/>
      <c r="DC102" s="7"/>
      <c r="DD102" s="12"/>
      <c r="DE102" s="7"/>
      <c r="DF102" s="7"/>
      <c r="DG102" s="7"/>
      <c r="DH102" s="7"/>
      <c r="DI102" s="7"/>
      <c r="DJ102" s="10"/>
      <c r="DK102" s="12"/>
      <c r="DL102" s="40"/>
      <c r="DM102" s="40"/>
      <c r="DN102" s="38" t="str">
        <f t="shared" si="38"/>
        <v>DS_Pass-743</v>
      </c>
      <c r="DO102" s="40"/>
      <c r="DP102" s="40"/>
      <c r="DQ102" s="40"/>
      <c r="DR102" s="41"/>
      <c r="DS102" s="41"/>
      <c r="DT102" s="40"/>
      <c r="DU102" s="40"/>
      <c r="DV102" s="40"/>
      <c r="DW102" s="41"/>
      <c r="DX102" s="40"/>
      <c r="DY102" s="40"/>
      <c r="DZ102" s="37" t="s">
        <v>402</v>
      </c>
      <c r="EA102" s="39"/>
      <c r="EB102" s="37"/>
      <c r="EC102" s="37"/>
      <c r="ED102" s="16"/>
      <c r="EE102" s="1"/>
      <c r="EF102" s="55"/>
    </row>
    <row r="103" spans="1:136">
      <c r="A103" s="219" t="s">
        <v>987</v>
      </c>
      <c r="B103" s="219" t="s">
        <v>868</v>
      </c>
      <c r="C103" s="219" t="s">
        <v>865</v>
      </c>
      <c r="D103" s="13">
        <f>'Run Parameters'!$B$1 + ROW()-1</f>
        <v>744</v>
      </c>
      <c r="E103" s="15" t="s">
        <v>47</v>
      </c>
      <c r="F103" s="18" t="s">
        <v>993</v>
      </c>
      <c r="G103" s="13" t="str">
        <f t="shared" si="124"/>
        <v>Access Dtls-744</v>
      </c>
      <c r="H103" s="15" t="s">
        <v>275</v>
      </c>
      <c r="I103" s="13" t="str">
        <f>("MR. Test_102_INST5_"&amp;D103&amp;"")</f>
        <v>MR. Test_102_INST5_744</v>
      </c>
      <c r="J103" s="18"/>
      <c r="K103" s="19" t="s">
        <v>425</v>
      </c>
      <c r="L103" s="13" t="str">
        <f t="shared" si="125"/>
        <v>Cust. Ref-744</v>
      </c>
      <c r="M103" s="15" t="s">
        <v>48</v>
      </c>
      <c r="N103" s="15" t="s">
        <v>425</v>
      </c>
      <c r="O103" s="13"/>
      <c r="P103" s="13" t="str">
        <f t="shared" si="126"/>
        <v>SN-744</v>
      </c>
      <c r="Q103" s="13" t="str">
        <f t="shared" si="127"/>
        <v>SI-744</v>
      </c>
      <c r="R103" s="13" t="str">
        <f t="shared" si="128"/>
        <v>SE-744</v>
      </c>
      <c r="S103" s="54" t="str">
        <f t="shared" si="129"/>
        <v>Prev_RA-744</v>
      </c>
      <c r="T103" s="54" t="str">
        <f t="shared" si="130"/>
        <v>Prev_Comms-744</v>
      </c>
      <c r="U103" s="17" t="s">
        <v>75</v>
      </c>
      <c r="V103" s="15" t="s">
        <v>401</v>
      </c>
      <c r="W103" s="17" t="s">
        <v>75</v>
      </c>
      <c r="X103" s="15" t="s">
        <v>396</v>
      </c>
      <c r="Y103" s="13" t="str">
        <f t="shared" si="131"/>
        <v>Forward Add-744</v>
      </c>
      <c r="Z103" s="15" t="s">
        <v>401</v>
      </c>
      <c r="AA103" s="136" t="str">
        <f>'Run Parameters'!$B$2</f>
        <v>2018-08-13 08:00</v>
      </c>
      <c r="AB103" s="223" t="str">
        <f>'Run Parameters'!B$3</f>
        <v>2018-08-13 18:00</v>
      </c>
      <c r="AC103" s="26">
        <f>('Run Parameters'!$B$2) - 7</f>
        <v>43318.333333333336</v>
      </c>
      <c r="AD103" s="17" t="s">
        <v>75</v>
      </c>
      <c r="AE103" s="18" t="str">
        <f t="shared" si="132"/>
        <v>LAST_METER-744</v>
      </c>
      <c r="AF103" s="136" t="str">
        <f>'Run Parameters'!$B$2</f>
        <v>2018-08-13 08:00</v>
      </c>
      <c r="AG103" s="13" t="str">
        <f>'Run Parameters'!B$4</f>
        <v>AUTOTEST2</v>
      </c>
      <c r="AH103" s="54" t="str">
        <f t="shared" si="133"/>
        <v>Site_Contact_744</v>
      </c>
      <c r="AI103" s="136" t="str">
        <f>'Run Parameters'!B$2</f>
        <v>2018-08-13 08:00</v>
      </c>
      <c r="AJ103" s="223" t="str">
        <f>'Run Parameters'!B$3</f>
        <v>2018-08-13 18:00</v>
      </c>
      <c r="AK103" s="13" t="s">
        <v>396</v>
      </c>
      <c r="AL103" s="54" t="str">
        <f t="shared" si="134"/>
        <v>01159744</v>
      </c>
      <c r="AM103" s="13" t="str">
        <f t="shared" si="135"/>
        <v>0115744</v>
      </c>
      <c r="AN103" s="15"/>
      <c r="AO103" s="52"/>
      <c r="AP103" s="13">
        <v>1</v>
      </c>
      <c r="AQ103" s="53" t="s">
        <v>49</v>
      </c>
      <c r="AR103" s="15"/>
      <c r="AS103" s="13"/>
      <c r="AT103" s="7"/>
      <c r="AU103" s="7"/>
      <c r="AV103" s="13">
        <f t="shared" si="136"/>
        <v>744</v>
      </c>
      <c r="AW103" s="13" t="s">
        <v>991</v>
      </c>
      <c r="AX103" s="13" t="s">
        <v>420</v>
      </c>
      <c r="AY103" s="13" t="s">
        <v>421</v>
      </c>
      <c r="AZ103" s="15" t="s">
        <v>334</v>
      </c>
      <c r="BA103" s="14" t="s">
        <v>154</v>
      </c>
      <c r="BB103" s="21">
        <v>1</v>
      </c>
      <c r="BC103" s="20">
        <f t="shared" si="137"/>
        <v>744</v>
      </c>
      <c r="BD103" s="16" t="s">
        <v>992</v>
      </c>
      <c r="BE103" s="16" t="s">
        <v>391</v>
      </c>
      <c r="BF103" s="16" t="s">
        <v>391</v>
      </c>
      <c r="BG103" s="18" t="s">
        <v>993</v>
      </c>
      <c r="BH103" s="20" t="str">
        <f t="shared" si="138"/>
        <v>744_1</v>
      </c>
      <c r="BI103" s="21"/>
      <c r="BJ103" s="21" t="str">
        <f t="shared" si="139"/>
        <v>10000000744</v>
      </c>
      <c r="BK103" s="16" t="s">
        <v>51</v>
      </c>
      <c r="BL103" s="16" t="s">
        <v>54</v>
      </c>
      <c r="BM103" s="20" t="s">
        <v>411</v>
      </c>
      <c r="BN103" s="16" t="s">
        <v>51</v>
      </c>
      <c r="BO103" s="20" t="str">
        <f t="shared" si="140"/>
        <v>S05S744</v>
      </c>
      <c r="BP103" s="16" t="s">
        <v>402</v>
      </c>
      <c r="BQ103" s="16" t="s">
        <v>402</v>
      </c>
      <c r="BR103" s="20" t="s">
        <v>161</v>
      </c>
      <c r="BS103" s="16" t="s">
        <v>50</v>
      </c>
      <c r="BT103" s="16" t="s">
        <v>135</v>
      </c>
      <c r="BU103" s="16" t="s">
        <v>393</v>
      </c>
      <c r="BV103" s="16" t="s">
        <v>51</v>
      </c>
      <c r="BW103" s="16" t="s">
        <v>154</v>
      </c>
      <c r="BX103" s="16"/>
      <c r="BY103" s="16"/>
      <c r="BZ103" s="16" t="s">
        <v>157</v>
      </c>
      <c r="CA103" s="16" t="s">
        <v>269</v>
      </c>
      <c r="CB103" s="16" t="s">
        <v>412</v>
      </c>
      <c r="CC103" s="16" t="s">
        <v>781</v>
      </c>
      <c r="CD103" s="16" t="s">
        <v>392</v>
      </c>
      <c r="CE103" s="16" t="s">
        <v>396</v>
      </c>
      <c r="CF103" s="16" t="s">
        <v>398</v>
      </c>
      <c r="CG103" s="16" t="s">
        <v>994</v>
      </c>
      <c r="CH103" s="16" t="s">
        <v>159</v>
      </c>
      <c r="CI103" s="11"/>
      <c r="CJ103" s="11"/>
      <c r="CK103" s="12"/>
      <c r="CL103" s="7"/>
      <c r="CM103" s="7"/>
      <c r="CN103" s="11"/>
      <c r="CO103" s="6"/>
      <c r="CP103" s="7"/>
      <c r="CQ103" s="6"/>
      <c r="CR103" s="11"/>
      <c r="CS103" s="7"/>
      <c r="CT103" s="27"/>
      <c r="CU103" s="11"/>
      <c r="CV103" s="7"/>
      <c r="CW103" s="7"/>
      <c r="CX103" s="7"/>
      <c r="CY103" s="7"/>
      <c r="CZ103" s="7"/>
      <c r="DA103" s="7"/>
      <c r="DB103" s="6"/>
      <c r="DC103" s="7"/>
      <c r="DD103" s="12"/>
      <c r="DE103" s="7"/>
      <c r="DF103" s="7"/>
      <c r="DG103" s="7"/>
      <c r="DH103" s="7"/>
      <c r="DI103" s="7"/>
      <c r="DJ103" s="10"/>
      <c r="DK103" s="12"/>
      <c r="DL103" s="40"/>
      <c r="DM103" s="40"/>
      <c r="DN103" s="38" t="str">
        <f t="shared" si="38"/>
        <v>DS_Pass-744</v>
      </c>
      <c r="DO103" s="40"/>
      <c r="DP103" s="40"/>
      <c r="DQ103" s="40"/>
      <c r="DR103" s="41"/>
      <c r="DS103" s="41"/>
      <c r="DT103" s="40"/>
      <c r="DU103" s="40"/>
      <c r="DV103" s="40"/>
      <c r="DW103" s="41"/>
      <c r="DX103" s="40"/>
      <c r="DY103" s="40"/>
      <c r="DZ103" s="37" t="s">
        <v>402</v>
      </c>
      <c r="EA103" s="39"/>
      <c r="EB103" s="37"/>
      <c r="EC103" s="37"/>
      <c r="ED103" s="16"/>
      <c r="EE103" s="1"/>
      <c r="EF103" s="55"/>
    </row>
    <row r="104" spans="1:136">
      <c r="A104" s="219" t="s">
        <v>988</v>
      </c>
      <c r="B104" s="219" t="s">
        <v>892</v>
      </c>
      <c r="C104" s="219" t="s">
        <v>865</v>
      </c>
      <c r="D104" s="13">
        <f>'Run Parameters'!$B$1 + ROW()-1</f>
        <v>745</v>
      </c>
      <c r="E104" s="15" t="s">
        <v>47</v>
      </c>
      <c r="F104" s="18" t="s">
        <v>993</v>
      </c>
      <c r="G104" s="13" t="str">
        <f t="shared" si="124"/>
        <v>Access Dtls-745</v>
      </c>
      <c r="H104" s="15" t="s">
        <v>275</v>
      </c>
      <c r="I104" s="13" t="str">
        <f>("MR. Test_103_INST5_"&amp;D104&amp;"")</f>
        <v>MR. Test_103_INST5_745</v>
      </c>
      <c r="J104" s="18"/>
      <c r="K104" s="19" t="s">
        <v>425</v>
      </c>
      <c r="L104" s="13" t="str">
        <f t="shared" si="125"/>
        <v>Cust. Ref-745</v>
      </c>
      <c r="M104" s="15" t="s">
        <v>48</v>
      </c>
      <c r="N104" s="15" t="s">
        <v>425</v>
      </c>
      <c r="O104" s="13"/>
      <c r="P104" s="13" t="str">
        <f t="shared" si="126"/>
        <v>SN-745</v>
      </c>
      <c r="Q104" s="13" t="str">
        <f t="shared" si="127"/>
        <v>SI-745</v>
      </c>
      <c r="R104" s="13" t="str">
        <f t="shared" si="128"/>
        <v>SE-745</v>
      </c>
      <c r="S104" s="54" t="str">
        <f t="shared" si="129"/>
        <v>Prev_RA-745</v>
      </c>
      <c r="T104" s="54" t="str">
        <f t="shared" si="130"/>
        <v>Prev_Comms-745</v>
      </c>
      <c r="U104" s="17" t="s">
        <v>75</v>
      </c>
      <c r="V104" s="15" t="s">
        <v>401</v>
      </c>
      <c r="W104" s="17" t="s">
        <v>75</v>
      </c>
      <c r="X104" s="15" t="s">
        <v>396</v>
      </c>
      <c r="Y104" s="13" t="str">
        <f t="shared" si="131"/>
        <v>Forward Add-745</v>
      </c>
      <c r="Z104" s="15" t="s">
        <v>401</v>
      </c>
      <c r="AA104" s="136" t="str">
        <f>'Run Parameters'!$B$2</f>
        <v>2018-08-13 08:00</v>
      </c>
      <c r="AB104" s="223" t="str">
        <f>'Run Parameters'!B$3</f>
        <v>2018-08-13 18:00</v>
      </c>
      <c r="AC104" s="26">
        <f>('Run Parameters'!$B$2) - 7</f>
        <v>43318.333333333336</v>
      </c>
      <c r="AD104" s="17" t="s">
        <v>75</v>
      </c>
      <c r="AE104" s="18" t="str">
        <f t="shared" si="132"/>
        <v>LAST_METER-745</v>
      </c>
      <c r="AF104" s="136" t="str">
        <f>'Run Parameters'!$B$2</f>
        <v>2018-08-13 08:00</v>
      </c>
      <c r="AG104" s="13" t="str">
        <f>'Run Parameters'!B$4</f>
        <v>AUTOTEST2</v>
      </c>
      <c r="AH104" s="54" t="str">
        <f t="shared" si="133"/>
        <v>Site_Contact_745</v>
      </c>
      <c r="AI104" s="136" t="str">
        <f>'Run Parameters'!B$2</f>
        <v>2018-08-13 08:00</v>
      </c>
      <c r="AJ104" s="223" t="str">
        <f>'Run Parameters'!B$3</f>
        <v>2018-08-13 18:00</v>
      </c>
      <c r="AK104" s="13" t="s">
        <v>396</v>
      </c>
      <c r="AL104" s="54" t="str">
        <f t="shared" si="134"/>
        <v>01159745</v>
      </c>
      <c r="AM104" s="13" t="str">
        <f t="shared" si="135"/>
        <v>0115745</v>
      </c>
      <c r="AN104" s="15"/>
      <c r="AO104" s="52"/>
      <c r="AP104" s="13">
        <v>1</v>
      </c>
      <c r="AQ104" s="53" t="s">
        <v>49</v>
      </c>
      <c r="AR104" s="15"/>
      <c r="AS104" s="13"/>
      <c r="AT104" s="7"/>
      <c r="AU104" s="7"/>
      <c r="AV104" s="13">
        <f t="shared" si="136"/>
        <v>745</v>
      </c>
      <c r="AW104" s="13" t="s">
        <v>991</v>
      </c>
      <c r="AX104" s="13" t="s">
        <v>420</v>
      </c>
      <c r="AY104" s="13" t="s">
        <v>421</v>
      </c>
      <c r="AZ104" s="15" t="s">
        <v>334</v>
      </c>
      <c r="BA104" s="14" t="s">
        <v>154</v>
      </c>
      <c r="BB104" s="21">
        <v>1</v>
      </c>
      <c r="BC104" s="20">
        <f t="shared" si="137"/>
        <v>745</v>
      </c>
      <c r="BD104" s="16" t="s">
        <v>992</v>
      </c>
      <c r="BE104" s="16" t="s">
        <v>391</v>
      </c>
      <c r="BF104" s="16" t="s">
        <v>391</v>
      </c>
      <c r="BG104" s="18" t="s">
        <v>993</v>
      </c>
      <c r="BH104" s="20" t="str">
        <f t="shared" si="138"/>
        <v>745_1</v>
      </c>
      <c r="BI104" s="21"/>
      <c r="BJ104" s="21" t="str">
        <f t="shared" si="139"/>
        <v>10000000745</v>
      </c>
      <c r="BK104" s="16" t="s">
        <v>51</v>
      </c>
      <c r="BL104" s="16" t="s">
        <v>54</v>
      </c>
      <c r="BM104" s="20" t="s">
        <v>411</v>
      </c>
      <c r="BN104" s="16" t="s">
        <v>51</v>
      </c>
      <c r="BO104" s="20" t="str">
        <f t="shared" si="140"/>
        <v>S05S745</v>
      </c>
      <c r="BP104" s="16" t="s">
        <v>402</v>
      </c>
      <c r="BQ104" s="16" t="s">
        <v>402</v>
      </c>
      <c r="BR104" s="20" t="s">
        <v>161</v>
      </c>
      <c r="BS104" s="16" t="s">
        <v>50</v>
      </c>
      <c r="BT104" s="16" t="s">
        <v>135</v>
      </c>
      <c r="BU104" s="16" t="s">
        <v>393</v>
      </c>
      <c r="BV104" s="16" t="s">
        <v>51</v>
      </c>
      <c r="BW104" s="16" t="s">
        <v>154</v>
      </c>
      <c r="BX104" s="16"/>
      <c r="BY104" s="16"/>
      <c r="BZ104" s="16" t="s">
        <v>157</v>
      </c>
      <c r="CA104" s="16" t="s">
        <v>269</v>
      </c>
      <c r="CB104" s="16" t="s">
        <v>412</v>
      </c>
      <c r="CC104" s="16" t="s">
        <v>781</v>
      </c>
      <c r="CD104" s="16" t="s">
        <v>392</v>
      </c>
      <c r="CE104" s="16" t="s">
        <v>396</v>
      </c>
      <c r="CF104" s="16" t="s">
        <v>398</v>
      </c>
      <c r="CG104" s="16" t="s">
        <v>994</v>
      </c>
      <c r="CH104" s="16" t="s">
        <v>159</v>
      </c>
      <c r="CI104" s="11"/>
      <c r="CJ104" s="11"/>
      <c r="CK104" s="12"/>
      <c r="CL104" s="7"/>
      <c r="CM104" s="7"/>
      <c r="CN104" s="11"/>
      <c r="CO104" s="6"/>
      <c r="CP104" s="7"/>
      <c r="CQ104" s="6"/>
      <c r="CR104" s="11"/>
      <c r="CS104" s="7"/>
      <c r="CT104" s="27"/>
      <c r="CU104" s="11"/>
      <c r="CV104" s="7"/>
      <c r="CW104" s="7"/>
      <c r="CX104" s="7"/>
      <c r="CY104" s="7"/>
      <c r="CZ104" s="7"/>
      <c r="DA104" s="7"/>
      <c r="DB104" s="6"/>
      <c r="DC104" s="7"/>
      <c r="DD104" s="12"/>
      <c r="DE104" s="7"/>
      <c r="DF104" s="7"/>
      <c r="DG104" s="7"/>
      <c r="DH104" s="7"/>
      <c r="DI104" s="7"/>
      <c r="DJ104" s="10"/>
      <c r="DK104" s="12"/>
      <c r="DL104" s="40"/>
      <c r="DM104" s="40"/>
      <c r="DN104" s="38" t="str">
        <f t="shared" si="38"/>
        <v>DS_Pass-745</v>
      </c>
      <c r="DO104" s="40"/>
      <c r="DP104" s="40"/>
      <c r="DQ104" s="40"/>
      <c r="DR104" s="41"/>
      <c r="DS104" s="41"/>
      <c r="DT104" s="40"/>
      <c r="DU104" s="40"/>
      <c r="DV104" s="40"/>
      <c r="DW104" s="41"/>
      <c r="DX104" s="40"/>
      <c r="DY104" s="40"/>
      <c r="DZ104" s="37" t="s">
        <v>402</v>
      </c>
      <c r="EA104" s="39"/>
      <c r="EB104" s="37"/>
      <c r="EC104" s="37"/>
      <c r="ED104" s="16"/>
      <c r="EE104" s="1"/>
      <c r="EF104" s="55"/>
    </row>
    <row r="105" spans="1:136">
      <c r="A105" s="219" t="s">
        <v>989</v>
      </c>
      <c r="B105" s="219" t="s">
        <v>868</v>
      </c>
      <c r="C105" s="219" t="s">
        <v>865</v>
      </c>
      <c r="D105" s="13">
        <f>'Run Parameters'!$B$1 + ROW()-1</f>
        <v>746</v>
      </c>
      <c r="E105" s="15" t="s">
        <v>47</v>
      </c>
      <c r="F105" s="18" t="s">
        <v>993</v>
      </c>
      <c r="G105" s="13" t="str">
        <f t="shared" si="124"/>
        <v>Access Dtls-746</v>
      </c>
      <c r="H105" s="15" t="s">
        <v>275</v>
      </c>
      <c r="I105" s="13" t="str">
        <f>("MR. Test_104_INST5_"&amp;D105&amp;"")</f>
        <v>MR. Test_104_INST5_746</v>
      </c>
      <c r="J105" s="18"/>
      <c r="K105" s="19" t="s">
        <v>425</v>
      </c>
      <c r="L105" s="13" t="str">
        <f t="shared" si="125"/>
        <v>Cust. Ref-746</v>
      </c>
      <c r="M105" s="15" t="s">
        <v>48</v>
      </c>
      <c r="N105" s="15" t="s">
        <v>425</v>
      </c>
      <c r="O105" s="13"/>
      <c r="P105" s="13" t="str">
        <f t="shared" si="126"/>
        <v>SN-746</v>
      </c>
      <c r="Q105" s="13" t="str">
        <f t="shared" si="127"/>
        <v>SI-746</v>
      </c>
      <c r="R105" s="13" t="str">
        <f t="shared" si="128"/>
        <v>SE-746</v>
      </c>
      <c r="S105" s="54" t="str">
        <f t="shared" si="129"/>
        <v>Prev_RA-746</v>
      </c>
      <c r="T105" s="54" t="str">
        <f t="shared" si="130"/>
        <v>Prev_Comms-746</v>
      </c>
      <c r="U105" s="17" t="s">
        <v>75</v>
      </c>
      <c r="V105" s="15" t="s">
        <v>401</v>
      </c>
      <c r="W105" s="17" t="s">
        <v>75</v>
      </c>
      <c r="X105" s="15" t="s">
        <v>396</v>
      </c>
      <c r="Y105" s="13" t="str">
        <f t="shared" si="131"/>
        <v>Forward Add-746</v>
      </c>
      <c r="Z105" s="15" t="s">
        <v>401</v>
      </c>
      <c r="AA105" s="136" t="str">
        <f>'Run Parameters'!$B$2</f>
        <v>2018-08-13 08:00</v>
      </c>
      <c r="AB105" s="223" t="str">
        <f>'Run Parameters'!B$3</f>
        <v>2018-08-13 18:00</v>
      </c>
      <c r="AC105" s="26">
        <f>('Run Parameters'!$B$2) - 7</f>
        <v>43318.333333333336</v>
      </c>
      <c r="AD105" s="17" t="s">
        <v>75</v>
      </c>
      <c r="AE105" s="18" t="str">
        <f t="shared" si="132"/>
        <v>LAST_METER-746</v>
      </c>
      <c r="AF105" s="136" t="str">
        <f>'Run Parameters'!$B$2</f>
        <v>2018-08-13 08:00</v>
      </c>
      <c r="AG105" s="13" t="str">
        <f>'Run Parameters'!B$4</f>
        <v>AUTOTEST2</v>
      </c>
      <c r="AH105" s="54" t="str">
        <f t="shared" si="133"/>
        <v>Site_Contact_746</v>
      </c>
      <c r="AI105" s="136" t="str">
        <f>'Run Parameters'!B$2</f>
        <v>2018-08-13 08:00</v>
      </c>
      <c r="AJ105" s="223" t="str">
        <f>'Run Parameters'!B$3</f>
        <v>2018-08-13 18:00</v>
      </c>
      <c r="AK105" s="13" t="s">
        <v>396</v>
      </c>
      <c r="AL105" s="54" t="str">
        <f t="shared" si="134"/>
        <v>01159746</v>
      </c>
      <c r="AM105" s="13" t="str">
        <f t="shared" si="135"/>
        <v>0115746</v>
      </c>
      <c r="AN105" s="15"/>
      <c r="AO105" s="52"/>
      <c r="AP105" s="13">
        <v>1</v>
      </c>
      <c r="AQ105" s="53" t="s">
        <v>49</v>
      </c>
      <c r="AR105" s="15"/>
      <c r="AS105" s="13"/>
      <c r="AT105" s="7"/>
      <c r="AU105" s="7"/>
      <c r="AV105" s="13">
        <f t="shared" si="136"/>
        <v>746</v>
      </c>
      <c r="AW105" s="13" t="s">
        <v>991</v>
      </c>
      <c r="AX105" s="13" t="s">
        <v>420</v>
      </c>
      <c r="AY105" s="13" t="s">
        <v>421</v>
      </c>
      <c r="AZ105" s="15" t="s">
        <v>334</v>
      </c>
      <c r="BA105" s="14" t="s">
        <v>154</v>
      </c>
      <c r="BB105" s="21">
        <v>1</v>
      </c>
      <c r="BC105" s="20">
        <f t="shared" si="137"/>
        <v>746</v>
      </c>
      <c r="BD105" s="16" t="s">
        <v>992</v>
      </c>
      <c r="BE105" s="16" t="s">
        <v>391</v>
      </c>
      <c r="BF105" s="16" t="s">
        <v>391</v>
      </c>
      <c r="BG105" s="18" t="s">
        <v>993</v>
      </c>
      <c r="BH105" s="20" t="str">
        <f t="shared" si="138"/>
        <v>746_1</v>
      </c>
      <c r="BI105" s="21"/>
      <c r="BJ105" s="21" t="str">
        <f t="shared" si="139"/>
        <v>10000000746</v>
      </c>
      <c r="BK105" s="16" t="s">
        <v>51</v>
      </c>
      <c r="BL105" s="16" t="s">
        <v>54</v>
      </c>
      <c r="BM105" s="20" t="s">
        <v>411</v>
      </c>
      <c r="BN105" s="16" t="s">
        <v>51</v>
      </c>
      <c r="BO105" s="20" t="str">
        <f t="shared" si="140"/>
        <v>S05S746</v>
      </c>
      <c r="BP105" s="16" t="s">
        <v>402</v>
      </c>
      <c r="BQ105" s="16" t="s">
        <v>402</v>
      </c>
      <c r="BR105" s="20" t="s">
        <v>161</v>
      </c>
      <c r="BS105" s="16" t="s">
        <v>50</v>
      </c>
      <c r="BT105" s="16" t="s">
        <v>135</v>
      </c>
      <c r="BU105" s="16" t="s">
        <v>393</v>
      </c>
      <c r="BV105" s="16" t="s">
        <v>51</v>
      </c>
      <c r="BW105" s="16" t="s">
        <v>154</v>
      </c>
      <c r="BX105" s="16"/>
      <c r="BY105" s="16"/>
      <c r="BZ105" s="16" t="s">
        <v>157</v>
      </c>
      <c r="CA105" s="16" t="s">
        <v>269</v>
      </c>
      <c r="CB105" s="16" t="s">
        <v>412</v>
      </c>
      <c r="CC105" s="16" t="s">
        <v>781</v>
      </c>
      <c r="CD105" s="16" t="s">
        <v>392</v>
      </c>
      <c r="CE105" s="16" t="s">
        <v>396</v>
      </c>
      <c r="CF105" s="16" t="s">
        <v>398</v>
      </c>
      <c r="CG105" s="16" t="s">
        <v>994</v>
      </c>
      <c r="CH105" s="16" t="s">
        <v>159</v>
      </c>
      <c r="CI105" s="11"/>
      <c r="CJ105" s="11"/>
      <c r="CK105" s="12"/>
      <c r="CL105" s="7"/>
      <c r="CM105" s="7"/>
      <c r="CN105" s="11"/>
      <c r="CO105" s="6"/>
      <c r="CP105" s="7"/>
      <c r="CQ105" s="6"/>
      <c r="CR105" s="11"/>
      <c r="CS105" s="7"/>
      <c r="CT105" s="27"/>
      <c r="CU105" s="11"/>
      <c r="CV105" s="7"/>
      <c r="CW105" s="7"/>
      <c r="CX105" s="7"/>
      <c r="CY105" s="7"/>
      <c r="CZ105" s="7"/>
      <c r="DA105" s="7"/>
      <c r="DB105" s="6"/>
      <c r="DC105" s="7"/>
      <c r="DD105" s="12"/>
      <c r="DE105" s="7"/>
      <c r="DF105" s="7"/>
      <c r="DG105" s="7"/>
      <c r="DH105" s="7"/>
      <c r="DI105" s="7"/>
      <c r="DJ105" s="10"/>
      <c r="DK105" s="12"/>
      <c r="DL105" s="40"/>
      <c r="DM105" s="40"/>
      <c r="DN105" s="38" t="str">
        <f t="shared" si="38"/>
        <v>DS_Pass-746</v>
      </c>
      <c r="DO105" s="40"/>
      <c r="DP105" s="40"/>
      <c r="DQ105" s="40"/>
      <c r="DR105" s="41"/>
      <c r="DS105" s="41"/>
      <c r="DT105" s="40"/>
      <c r="DU105" s="40"/>
      <c r="DV105" s="40"/>
      <c r="DW105" s="41"/>
      <c r="DX105" s="40"/>
      <c r="DY105" s="40"/>
      <c r="DZ105" s="37" t="s">
        <v>402</v>
      </c>
      <c r="EA105" s="39"/>
      <c r="EB105" s="37"/>
      <c r="EC105" s="37"/>
      <c r="ED105" s="16"/>
      <c r="EE105" s="1"/>
      <c r="EF105" s="55"/>
    </row>
    <row r="106" spans="1:136">
      <c r="A106" s="219" t="s">
        <v>990</v>
      </c>
      <c r="B106" s="219" t="s">
        <v>892</v>
      </c>
      <c r="C106" s="219" t="s">
        <v>865</v>
      </c>
      <c r="D106" s="13">
        <f>'Run Parameters'!$B$1 + ROW()-1</f>
        <v>747</v>
      </c>
      <c r="E106" s="15" t="s">
        <v>47</v>
      </c>
      <c r="F106" s="18" t="s">
        <v>993</v>
      </c>
      <c r="G106" s="13" t="str">
        <f t="shared" si="124"/>
        <v>Access Dtls-747</v>
      </c>
      <c r="H106" s="15" t="s">
        <v>275</v>
      </c>
      <c r="I106" s="13" t="str">
        <f>("MR. Test_105_INST5_"&amp;D106&amp;"")</f>
        <v>MR. Test_105_INST5_747</v>
      </c>
      <c r="J106" s="18"/>
      <c r="K106" s="19" t="s">
        <v>425</v>
      </c>
      <c r="L106" s="13" t="str">
        <f t="shared" si="125"/>
        <v>Cust. Ref-747</v>
      </c>
      <c r="M106" s="15" t="s">
        <v>48</v>
      </c>
      <c r="N106" s="15" t="s">
        <v>425</v>
      </c>
      <c r="O106" s="13"/>
      <c r="P106" s="13" t="str">
        <f t="shared" si="126"/>
        <v>SN-747</v>
      </c>
      <c r="Q106" s="13" t="str">
        <f t="shared" si="127"/>
        <v>SI-747</v>
      </c>
      <c r="R106" s="13" t="str">
        <f t="shared" si="128"/>
        <v>SE-747</v>
      </c>
      <c r="S106" s="54" t="str">
        <f t="shared" si="129"/>
        <v>Prev_RA-747</v>
      </c>
      <c r="T106" s="54" t="str">
        <f t="shared" si="130"/>
        <v>Prev_Comms-747</v>
      </c>
      <c r="U106" s="17" t="s">
        <v>75</v>
      </c>
      <c r="V106" s="15" t="s">
        <v>401</v>
      </c>
      <c r="W106" s="17" t="s">
        <v>75</v>
      </c>
      <c r="X106" s="15" t="s">
        <v>396</v>
      </c>
      <c r="Y106" s="13" t="str">
        <f t="shared" si="131"/>
        <v>Forward Add-747</v>
      </c>
      <c r="Z106" s="15" t="s">
        <v>401</v>
      </c>
      <c r="AA106" s="136" t="str">
        <f>'Run Parameters'!$B$2</f>
        <v>2018-08-13 08:00</v>
      </c>
      <c r="AB106" s="223" t="str">
        <f>'Run Parameters'!B$3</f>
        <v>2018-08-13 18:00</v>
      </c>
      <c r="AC106" s="26">
        <f>('Run Parameters'!$B$2) - 7</f>
        <v>43318.333333333336</v>
      </c>
      <c r="AD106" s="17" t="s">
        <v>75</v>
      </c>
      <c r="AE106" s="18" t="str">
        <f t="shared" si="132"/>
        <v>LAST_METER-747</v>
      </c>
      <c r="AF106" s="136" t="str">
        <f>'Run Parameters'!$B$2</f>
        <v>2018-08-13 08:00</v>
      </c>
      <c r="AG106" s="13" t="str">
        <f>'Run Parameters'!B$4</f>
        <v>AUTOTEST2</v>
      </c>
      <c r="AH106" s="54" t="str">
        <f t="shared" si="133"/>
        <v>Site_Contact_747</v>
      </c>
      <c r="AI106" s="136" t="str">
        <f>'Run Parameters'!B$2</f>
        <v>2018-08-13 08:00</v>
      </c>
      <c r="AJ106" s="223" t="str">
        <f>'Run Parameters'!B$3</f>
        <v>2018-08-13 18:00</v>
      </c>
      <c r="AK106" s="13" t="s">
        <v>396</v>
      </c>
      <c r="AL106" s="54" t="str">
        <f t="shared" si="134"/>
        <v>01159747</v>
      </c>
      <c r="AM106" s="13" t="str">
        <f t="shared" si="135"/>
        <v>0115747</v>
      </c>
      <c r="AN106" s="15"/>
      <c r="AO106" s="52"/>
      <c r="AP106" s="13">
        <v>1</v>
      </c>
      <c r="AQ106" s="53" t="s">
        <v>49</v>
      </c>
      <c r="AR106" s="15"/>
      <c r="AS106" s="13"/>
      <c r="AT106" s="7"/>
      <c r="AU106" s="7"/>
      <c r="AV106" s="13">
        <f t="shared" si="136"/>
        <v>747</v>
      </c>
      <c r="AW106" s="13" t="s">
        <v>991</v>
      </c>
      <c r="AX106" s="13" t="s">
        <v>420</v>
      </c>
      <c r="AY106" s="13" t="s">
        <v>421</v>
      </c>
      <c r="AZ106" s="15" t="s">
        <v>334</v>
      </c>
      <c r="BA106" s="14" t="s">
        <v>154</v>
      </c>
      <c r="BB106" s="21">
        <v>1</v>
      </c>
      <c r="BC106" s="20">
        <f t="shared" si="137"/>
        <v>747</v>
      </c>
      <c r="BD106" s="16" t="s">
        <v>992</v>
      </c>
      <c r="BE106" s="16" t="s">
        <v>391</v>
      </c>
      <c r="BF106" s="16" t="s">
        <v>391</v>
      </c>
      <c r="BG106" s="18" t="s">
        <v>993</v>
      </c>
      <c r="BH106" s="20" t="str">
        <f t="shared" si="138"/>
        <v>747_1</v>
      </c>
      <c r="BI106" s="21"/>
      <c r="BJ106" s="21" t="str">
        <f t="shared" si="139"/>
        <v>10000000747</v>
      </c>
      <c r="BK106" s="16" t="s">
        <v>51</v>
      </c>
      <c r="BL106" s="16" t="s">
        <v>54</v>
      </c>
      <c r="BM106" s="20" t="s">
        <v>411</v>
      </c>
      <c r="BN106" s="16" t="s">
        <v>51</v>
      </c>
      <c r="BO106" s="20" t="str">
        <f t="shared" si="140"/>
        <v>S05S747</v>
      </c>
      <c r="BP106" s="16" t="s">
        <v>402</v>
      </c>
      <c r="BQ106" s="16" t="s">
        <v>402</v>
      </c>
      <c r="BR106" s="20" t="s">
        <v>161</v>
      </c>
      <c r="BS106" s="16" t="s">
        <v>50</v>
      </c>
      <c r="BT106" s="16" t="s">
        <v>135</v>
      </c>
      <c r="BU106" s="16" t="s">
        <v>393</v>
      </c>
      <c r="BV106" s="16" t="s">
        <v>51</v>
      </c>
      <c r="BW106" s="16" t="s">
        <v>154</v>
      </c>
      <c r="BX106" s="16"/>
      <c r="BY106" s="16"/>
      <c r="BZ106" s="16" t="s">
        <v>157</v>
      </c>
      <c r="CA106" s="16" t="s">
        <v>269</v>
      </c>
      <c r="CB106" s="16" t="s">
        <v>412</v>
      </c>
      <c r="CC106" s="16" t="s">
        <v>781</v>
      </c>
      <c r="CD106" s="16" t="s">
        <v>392</v>
      </c>
      <c r="CE106" s="16" t="s">
        <v>396</v>
      </c>
      <c r="CF106" s="16" t="s">
        <v>398</v>
      </c>
      <c r="CG106" s="16" t="s">
        <v>994</v>
      </c>
      <c r="CH106" s="16" t="s">
        <v>159</v>
      </c>
      <c r="CI106" s="11"/>
      <c r="CJ106" s="11"/>
      <c r="CK106" s="12"/>
      <c r="CL106" s="7"/>
      <c r="CM106" s="7"/>
      <c r="CN106" s="11"/>
      <c r="CO106" s="6"/>
      <c r="CP106" s="7"/>
      <c r="CQ106" s="6"/>
      <c r="CR106" s="11"/>
      <c r="CS106" s="7"/>
      <c r="CT106" s="27"/>
      <c r="CU106" s="11"/>
      <c r="CV106" s="7"/>
      <c r="CW106" s="7"/>
      <c r="CX106" s="7"/>
      <c r="CY106" s="7"/>
      <c r="CZ106" s="7"/>
      <c r="DA106" s="7"/>
      <c r="DB106" s="6"/>
      <c r="DC106" s="7"/>
      <c r="DD106" s="12"/>
      <c r="DE106" s="7"/>
      <c r="DF106" s="7"/>
      <c r="DG106" s="7"/>
      <c r="DH106" s="7"/>
      <c r="DI106" s="7"/>
      <c r="DJ106" s="10"/>
      <c r="DK106" s="12"/>
      <c r="DL106" s="40"/>
      <c r="DM106" s="40"/>
      <c r="DN106" s="38" t="str">
        <f>("DS_Pass-" &amp; $D106)</f>
        <v>DS_Pass-747</v>
      </c>
      <c r="DO106" s="40"/>
      <c r="DP106" s="40"/>
      <c r="DQ106" s="40"/>
      <c r="DR106" s="41"/>
      <c r="DS106" s="41"/>
      <c r="DT106" s="40"/>
      <c r="DU106" s="40"/>
      <c r="DV106" s="40"/>
      <c r="DW106" s="41"/>
      <c r="DX106" s="40"/>
      <c r="DY106" s="40"/>
      <c r="DZ106" s="37" t="s">
        <v>402</v>
      </c>
      <c r="EA106" s="39"/>
      <c r="EB106" s="37"/>
      <c r="EC106" s="37"/>
      <c r="ED106" s="16"/>
      <c r="EE106" s="1"/>
      <c r="EF106" s="55"/>
    </row>
    <row r="107" spans="1:136">
      <c r="A107" s="219" t="s">
        <v>1089</v>
      </c>
      <c r="B107" s="219" t="s">
        <v>892</v>
      </c>
      <c r="C107" s="219" t="s">
        <v>865</v>
      </c>
      <c r="D107" s="13">
        <f>'Run Parameters'!$B$1 + ROW()-1</f>
        <v>748</v>
      </c>
      <c r="E107" s="15" t="s">
        <v>47</v>
      </c>
      <c r="F107" s="18" t="s">
        <v>993</v>
      </c>
      <c r="G107" s="13" t="str">
        <f t="shared" si="124"/>
        <v>Access Dtls-748</v>
      </c>
      <c r="H107" s="15" t="s">
        <v>275</v>
      </c>
      <c r="I107" s="13" t="str">
        <f>("MR. Test_106_INST5_"&amp;D107&amp;"")</f>
        <v>MR. Test_106_INST5_748</v>
      </c>
      <c r="J107" s="18"/>
      <c r="K107" s="19" t="s">
        <v>425</v>
      </c>
      <c r="L107" s="13" t="str">
        <f t="shared" si="125"/>
        <v>Cust. Ref-748</v>
      </c>
      <c r="M107" s="15" t="s">
        <v>48</v>
      </c>
      <c r="N107" s="15" t="s">
        <v>425</v>
      </c>
      <c r="O107" s="13"/>
      <c r="P107" s="13" t="str">
        <f t="shared" si="126"/>
        <v>SN-748</v>
      </c>
      <c r="Q107" s="13" t="str">
        <f t="shared" si="127"/>
        <v>SI-748</v>
      </c>
      <c r="R107" s="13" t="str">
        <f t="shared" si="128"/>
        <v>SE-748</v>
      </c>
      <c r="S107" s="54" t="str">
        <f t="shared" si="129"/>
        <v>Prev_RA-748</v>
      </c>
      <c r="T107" s="54" t="str">
        <f t="shared" si="130"/>
        <v>Prev_Comms-748</v>
      </c>
      <c r="U107" s="17" t="s">
        <v>75</v>
      </c>
      <c r="V107" s="15" t="s">
        <v>401</v>
      </c>
      <c r="W107" s="17" t="s">
        <v>75</v>
      </c>
      <c r="X107" s="15" t="s">
        <v>1081</v>
      </c>
      <c r="Y107" s="13" t="str">
        <f t="shared" si="131"/>
        <v>Forward Add-748</v>
      </c>
      <c r="Z107" s="15" t="s">
        <v>401</v>
      </c>
      <c r="AA107" s="136" t="str">
        <f>'Run Parameters'!$B$2</f>
        <v>2018-08-13 08:00</v>
      </c>
      <c r="AB107" s="223" t="str">
        <f>'Run Parameters'!B$3</f>
        <v>2018-08-13 18:00</v>
      </c>
      <c r="AC107" s="26">
        <f>('Run Parameters'!$B$2) - 7</f>
        <v>43318.333333333336</v>
      </c>
      <c r="AD107" s="17" t="s">
        <v>75</v>
      </c>
      <c r="AE107" s="18" t="str">
        <f t="shared" si="132"/>
        <v>LAST_METER-748</v>
      </c>
      <c r="AF107" s="136" t="str">
        <f>'Run Parameters'!$B$2</f>
        <v>2018-08-13 08:00</v>
      </c>
      <c r="AG107" s="13" t="str">
        <f>'Run Parameters'!B$4</f>
        <v>AUTOTEST2</v>
      </c>
      <c r="AH107" s="54" t="str">
        <f t="shared" si="133"/>
        <v>Site_Contact_748</v>
      </c>
      <c r="AI107" s="136" t="str">
        <f>'Run Parameters'!B$2</f>
        <v>2018-08-13 08:00</v>
      </c>
      <c r="AJ107" s="223" t="str">
        <f>'Run Parameters'!B$3</f>
        <v>2018-08-13 18:00</v>
      </c>
      <c r="AK107" s="13" t="s">
        <v>1081</v>
      </c>
      <c r="AL107" s="54" t="str">
        <f t="shared" si="134"/>
        <v>01159748</v>
      </c>
      <c r="AM107" s="13" t="str">
        <f t="shared" si="135"/>
        <v>0115748</v>
      </c>
      <c r="AN107" s="15"/>
      <c r="AO107" s="52"/>
      <c r="AP107" s="13">
        <v>1</v>
      </c>
      <c r="AQ107" s="53" t="s">
        <v>49</v>
      </c>
      <c r="AR107" s="15"/>
      <c r="AS107" s="13"/>
      <c r="AT107" s="7"/>
      <c r="AU107" s="7"/>
      <c r="AV107" s="13">
        <f t="shared" si="136"/>
        <v>748</v>
      </c>
      <c r="AW107" s="13" t="s">
        <v>991</v>
      </c>
      <c r="AX107" s="13" t="s">
        <v>420</v>
      </c>
      <c r="AY107" s="13" t="s">
        <v>421</v>
      </c>
      <c r="AZ107" s="15" t="s">
        <v>334</v>
      </c>
      <c r="BA107" s="14" t="s">
        <v>154</v>
      </c>
      <c r="BB107" s="21">
        <v>1</v>
      </c>
      <c r="BC107" s="20">
        <f t="shared" si="137"/>
        <v>748</v>
      </c>
      <c r="BD107" s="16" t="s">
        <v>1099</v>
      </c>
      <c r="BE107" s="16" t="s">
        <v>391</v>
      </c>
      <c r="BF107" s="16" t="s">
        <v>391</v>
      </c>
      <c r="BG107" s="18" t="s">
        <v>993</v>
      </c>
      <c r="BH107" s="20" t="str">
        <f t="shared" si="138"/>
        <v>748_1</v>
      </c>
      <c r="BI107" s="21"/>
      <c r="BJ107" s="21" t="str">
        <f t="shared" si="139"/>
        <v>10000000748</v>
      </c>
      <c r="BK107" s="16" t="s">
        <v>51</v>
      </c>
      <c r="BL107" s="16" t="s">
        <v>54</v>
      </c>
      <c r="BM107" s="20" t="s">
        <v>411</v>
      </c>
      <c r="BN107" s="16" t="s">
        <v>51</v>
      </c>
      <c r="BO107" s="20" t="str">
        <f t="shared" si="140"/>
        <v>S05S748</v>
      </c>
      <c r="BP107" s="16" t="s">
        <v>402</v>
      </c>
      <c r="BQ107" s="16" t="s">
        <v>402</v>
      </c>
      <c r="BR107" s="20" t="s">
        <v>161</v>
      </c>
      <c r="BS107" s="16" t="s">
        <v>50</v>
      </c>
      <c r="BT107" s="16" t="s">
        <v>135</v>
      </c>
      <c r="BU107" s="16" t="s">
        <v>393</v>
      </c>
      <c r="BV107" s="16" t="s">
        <v>51</v>
      </c>
      <c r="BW107" s="16" t="s">
        <v>154</v>
      </c>
      <c r="BX107" s="16"/>
      <c r="BY107" s="16"/>
      <c r="BZ107" s="16" t="s">
        <v>157</v>
      </c>
      <c r="CA107" s="16" t="s">
        <v>269</v>
      </c>
      <c r="CB107" s="16" t="s">
        <v>412</v>
      </c>
      <c r="CC107" s="16" t="s">
        <v>781</v>
      </c>
      <c r="CD107" s="16" t="s">
        <v>392</v>
      </c>
      <c r="CE107" s="16" t="s">
        <v>1081</v>
      </c>
      <c r="CF107" s="16" t="s">
        <v>398</v>
      </c>
      <c r="CG107" s="16" t="s">
        <v>994</v>
      </c>
      <c r="CH107" s="16" t="s">
        <v>159</v>
      </c>
      <c r="CI107" s="11"/>
      <c r="CJ107" s="11"/>
      <c r="CK107" s="12"/>
      <c r="CL107" s="7"/>
      <c r="CM107" s="7"/>
      <c r="CN107" s="11"/>
      <c r="CO107" s="6"/>
      <c r="CP107" s="7"/>
      <c r="CQ107" s="6"/>
      <c r="CR107" s="11"/>
      <c r="CS107" s="7"/>
      <c r="CT107" s="27"/>
      <c r="CU107" s="11"/>
      <c r="CV107" s="7"/>
      <c r="CW107" s="7"/>
      <c r="CX107" s="7"/>
      <c r="CY107" s="7"/>
      <c r="CZ107" s="7"/>
      <c r="DA107" s="7"/>
      <c r="DB107" s="6"/>
      <c r="DC107" s="7"/>
      <c r="DD107" s="12"/>
      <c r="DE107" s="7"/>
      <c r="DF107" s="7"/>
      <c r="DG107" s="7"/>
      <c r="DH107" s="7"/>
      <c r="DI107" s="7"/>
      <c r="DJ107" s="10"/>
      <c r="DK107" s="12"/>
      <c r="DL107" s="40"/>
      <c r="DM107" s="40"/>
      <c r="DN107" s="38" t="str">
        <f>("DS_Pass-" &amp; $D107)</f>
        <v>DS_Pass-748</v>
      </c>
      <c r="DO107" s="40"/>
      <c r="DP107" s="40"/>
      <c r="DQ107" s="40"/>
      <c r="DR107" s="41"/>
      <c r="DS107" s="41"/>
      <c r="DT107" s="40"/>
      <c r="DU107" s="40"/>
      <c r="DV107" s="40"/>
      <c r="DW107" s="41"/>
      <c r="DX107" s="40"/>
      <c r="DY107" s="40"/>
      <c r="DZ107" s="37" t="s">
        <v>402</v>
      </c>
      <c r="EA107" s="39"/>
      <c r="EB107" s="37"/>
      <c r="EC107" s="37"/>
      <c r="ED107" s="16"/>
      <c r="EE107" s="1"/>
      <c r="EF107" s="55"/>
    </row>
    <row r="108" spans="1:136" s="254" customFormat="1">
      <c r="A108" s="252" t="s">
        <v>1138</v>
      </c>
      <c r="B108" s="252" t="s">
        <v>892</v>
      </c>
      <c r="C108" s="252" t="s">
        <v>865</v>
      </c>
      <c r="D108" s="13">
        <f>'Run Parameters'!$B$1 + ROW()-1</f>
        <v>749</v>
      </c>
      <c r="E108" s="15" t="s">
        <v>47</v>
      </c>
      <c r="F108" s="13" t="s">
        <v>1141</v>
      </c>
      <c r="G108" s="13" t="str">
        <f t="shared" si="124"/>
        <v>Access Dtls-749</v>
      </c>
      <c r="H108" s="15" t="s">
        <v>275</v>
      </c>
      <c r="I108" s="13" t="str">
        <f>("MR. Test_219_INST8_"&amp;D108&amp;"")</f>
        <v>MR. Test_219_INST8_749</v>
      </c>
      <c r="J108" s="13"/>
      <c r="K108" s="19" t="s">
        <v>425</v>
      </c>
      <c r="L108" s="13" t="str">
        <f t="shared" si="125"/>
        <v>Cust. Ref-749</v>
      </c>
      <c r="M108" s="15" t="s">
        <v>48</v>
      </c>
      <c r="N108" s="15" t="s">
        <v>425</v>
      </c>
      <c r="O108" s="13"/>
      <c r="P108" s="13" t="str">
        <f t="shared" si="126"/>
        <v>SN-749</v>
      </c>
      <c r="Q108" s="13" t="str">
        <f t="shared" si="127"/>
        <v>SI-749</v>
      </c>
      <c r="R108" s="13" t="str">
        <f t="shared" si="128"/>
        <v>SE-749</v>
      </c>
      <c r="S108" s="135" t="str">
        <f t="shared" si="129"/>
        <v>Prev_RA-749</v>
      </c>
      <c r="T108" s="135" t="str">
        <f t="shared" si="130"/>
        <v>Prev_Comms-749</v>
      </c>
      <c r="U108" s="17" t="s">
        <v>75</v>
      </c>
      <c r="V108" s="15" t="s">
        <v>401</v>
      </c>
      <c r="W108" s="17" t="s">
        <v>75</v>
      </c>
      <c r="X108" s="15" t="s">
        <v>1093</v>
      </c>
      <c r="Y108" s="13" t="str">
        <f t="shared" si="131"/>
        <v>Forward Add-749</v>
      </c>
      <c r="Z108" s="15" t="s">
        <v>401</v>
      </c>
      <c r="AA108" s="136" t="str">
        <f>'Run Parameters'!$B$2</f>
        <v>2018-08-13 08:00</v>
      </c>
      <c r="AB108" s="223" t="str">
        <f>'Run Parameters'!B$3</f>
        <v>2018-08-13 18:00</v>
      </c>
      <c r="AC108" s="26">
        <f>('Run Parameters'!$B$2) - 7</f>
        <v>43318.333333333336</v>
      </c>
      <c r="AD108" s="17" t="s">
        <v>75</v>
      </c>
      <c r="AE108" s="13" t="str">
        <f t="shared" si="132"/>
        <v>LAST_METER-749</v>
      </c>
      <c r="AF108" s="136" t="str">
        <f>'Run Parameters'!$B$2</f>
        <v>2018-08-13 08:00</v>
      </c>
      <c r="AG108" s="13" t="str">
        <f>'Run Parameters'!B$4</f>
        <v>AUTOTEST2</v>
      </c>
      <c r="AH108" s="135" t="str">
        <f t="shared" si="133"/>
        <v>Site_Contact_749</v>
      </c>
      <c r="AI108" s="136" t="str">
        <f>'Run Parameters'!B$2</f>
        <v>2018-08-13 08:00</v>
      </c>
      <c r="AJ108" s="223" t="str">
        <f>'Run Parameters'!B$3</f>
        <v>2018-08-13 18:00</v>
      </c>
      <c r="AK108" s="13" t="s">
        <v>1093</v>
      </c>
      <c r="AL108" s="135" t="str">
        <f t="shared" si="134"/>
        <v>01159749</v>
      </c>
      <c r="AM108" s="13" t="str">
        <f t="shared" si="135"/>
        <v>0115749</v>
      </c>
      <c r="AN108" s="15"/>
      <c r="AO108" s="15"/>
      <c r="AP108" s="13">
        <v>1</v>
      </c>
      <c r="AQ108" s="15" t="s">
        <v>49</v>
      </c>
      <c r="AR108" s="15"/>
      <c r="AS108" s="13"/>
      <c r="AT108" s="12" t="s">
        <v>1114</v>
      </c>
      <c r="AU108" s="12"/>
      <c r="AV108" s="13">
        <f t="shared" si="136"/>
        <v>749</v>
      </c>
      <c r="AW108" s="13" t="s">
        <v>1139</v>
      </c>
      <c r="AX108" s="13" t="s">
        <v>420</v>
      </c>
      <c r="AY108" s="13" t="s">
        <v>421</v>
      </c>
      <c r="AZ108" s="15" t="s">
        <v>334</v>
      </c>
      <c r="BA108" s="15" t="s">
        <v>154</v>
      </c>
      <c r="BB108" s="21">
        <v>1</v>
      </c>
      <c r="BC108" s="21">
        <f t="shared" si="137"/>
        <v>749</v>
      </c>
      <c r="BD108" s="17" t="s">
        <v>1140</v>
      </c>
      <c r="BE108" s="15" t="s">
        <v>390</v>
      </c>
      <c r="BF108" s="16" t="s">
        <v>391</v>
      </c>
      <c r="BG108" s="21" t="s">
        <v>1141</v>
      </c>
      <c r="BH108" s="21" t="str">
        <f t="shared" si="138"/>
        <v>749_1</v>
      </c>
      <c r="BI108" s="21"/>
      <c r="BJ108" s="21" t="str">
        <f t="shared" si="139"/>
        <v>10000000749</v>
      </c>
      <c r="BK108" s="17" t="s">
        <v>51</v>
      </c>
      <c r="BL108" s="17" t="s">
        <v>54</v>
      </c>
      <c r="BM108" s="21"/>
      <c r="BN108" s="17" t="s">
        <v>49</v>
      </c>
      <c r="BO108" s="21"/>
      <c r="BP108" s="17"/>
      <c r="BQ108" s="17"/>
      <c r="BR108" s="21"/>
      <c r="BS108" s="17"/>
      <c r="BT108" s="17"/>
      <c r="BU108" s="17"/>
      <c r="BV108" s="17"/>
      <c r="BW108" s="17"/>
      <c r="BX108" s="17"/>
      <c r="BY108" s="17"/>
      <c r="BZ108" s="17"/>
      <c r="CA108" s="17"/>
      <c r="CB108" s="17"/>
      <c r="CC108" s="17"/>
      <c r="CD108" s="17" t="s">
        <v>392</v>
      </c>
      <c r="CE108" s="17" t="s">
        <v>1093</v>
      </c>
      <c r="CF108" s="17" t="s">
        <v>398</v>
      </c>
      <c r="CG108" s="17" t="s">
        <v>1142</v>
      </c>
      <c r="CH108" s="17" t="s">
        <v>159</v>
      </c>
      <c r="CI108" s="11"/>
      <c r="CJ108" s="11"/>
      <c r="CK108" s="12"/>
      <c r="CL108" s="7"/>
      <c r="CM108" s="7"/>
      <c r="CN108" s="11"/>
      <c r="CO108" s="6"/>
      <c r="CP108" s="7"/>
      <c r="CQ108" s="6"/>
      <c r="CR108" s="11"/>
      <c r="CS108" s="7"/>
      <c r="CT108" s="27"/>
      <c r="CU108" s="11"/>
      <c r="CV108" s="7"/>
      <c r="CW108" s="7"/>
      <c r="CX108" s="7"/>
      <c r="CY108" s="7"/>
      <c r="CZ108" s="7"/>
      <c r="DA108" s="7"/>
      <c r="DB108" s="6"/>
      <c r="DC108" s="7"/>
      <c r="DD108" s="12"/>
      <c r="DE108" s="7"/>
      <c r="DF108" s="7"/>
      <c r="DG108" s="7"/>
      <c r="DH108" s="7"/>
      <c r="DI108" s="7"/>
      <c r="DJ108" s="10"/>
      <c r="DK108" s="12"/>
      <c r="DL108" s="40"/>
      <c r="DM108" s="40"/>
      <c r="DN108" s="38" t="str">
        <f>("DS_Pass-" &amp; $D108)</f>
        <v>DS_Pass-749</v>
      </c>
      <c r="DO108" s="40"/>
      <c r="DP108" s="40"/>
      <c r="DQ108" s="40"/>
      <c r="DR108" s="41"/>
      <c r="DS108" s="41"/>
      <c r="DT108" s="40"/>
      <c r="DU108" s="40"/>
      <c r="DV108" s="40"/>
      <c r="DW108" s="41"/>
      <c r="DX108" s="40"/>
      <c r="DY108" s="40"/>
      <c r="DZ108" s="37" t="s">
        <v>402</v>
      </c>
      <c r="EA108" s="39"/>
      <c r="EB108" s="37"/>
      <c r="EC108" s="37"/>
      <c r="ED108" s="16"/>
      <c r="EE108" s="253"/>
    </row>
    <row r="109" spans="1:136" s="229" customFormat="1">
      <c r="A109" s="219" t="s">
        <v>1144</v>
      </c>
      <c r="B109" s="219" t="s">
        <v>892</v>
      </c>
      <c r="C109" s="219" t="s">
        <v>865</v>
      </c>
      <c r="D109" s="13">
        <f>'Run Parameters'!$B$1 + ROW()-1</f>
        <v>750</v>
      </c>
      <c r="E109" s="15" t="s">
        <v>47</v>
      </c>
      <c r="F109" s="13" t="s">
        <v>1141</v>
      </c>
      <c r="G109" s="13" t="str">
        <f t="shared" si="124"/>
        <v>Access Dtls-750</v>
      </c>
      <c r="H109" s="15" t="s">
        <v>275</v>
      </c>
      <c r="I109" s="13" t="str">
        <f>("MR. Test_220_INST8_"&amp;D109&amp;"")</f>
        <v>MR. Test_220_INST8_750</v>
      </c>
      <c r="J109" s="13"/>
      <c r="K109" s="19" t="s">
        <v>425</v>
      </c>
      <c r="L109" s="13" t="str">
        <f t="shared" si="125"/>
        <v>Cust. Ref-750</v>
      </c>
      <c r="M109" s="15" t="s">
        <v>48</v>
      </c>
      <c r="N109" s="15" t="s">
        <v>425</v>
      </c>
      <c r="O109" s="13"/>
      <c r="P109" s="13" t="str">
        <f t="shared" si="126"/>
        <v>SN-750</v>
      </c>
      <c r="Q109" s="13" t="str">
        <f t="shared" si="127"/>
        <v>SI-750</v>
      </c>
      <c r="R109" s="13" t="str">
        <f t="shared" si="128"/>
        <v>SE-750</v>
      </c>
      <c r="S109" s="135" t="str">
        <f t="shared" si="129"/>
        <v>Prev_RA-750</v>
      </c>
      <c r="T109" s="135" t="str">
        <f t="shared" si="130"/>
        <v>Prev_Comms-750</v>
      </c>
      <c r="U109" s="15" t="s">
        <v>75</v>
      </c>
      <c r="V109" s="15" t="s">
        <v>401</v>
      </c>
      <c r="W109" s="15" t="s">
        <v>75</v>
      </c>
      <c r="X109" s="15" t="s">
        <v>1093</v>
      </c>
      <c r="Y109" s="13" t="str">
        <f t="shared" si="131"/>
        <v>Forward Add-750</v>
      </c>
      <c r="Z109" s="15" t="s">
        <v>401</v>
      </c>
      <c r="AA109" s="136" t="str">
        <f>'Run Parameters'!$B$2</f>
        <v>2018-08-13 08:00</v>
      </c>
      <c r="AB109" s="223" t="str">
        <f>'Run Parameters'!B$3</f>
        <v>2018-08-13 18:00</v>
      </c>
      <c r="AC109" s="26">
        <f>('Run Parameters'!$B$2) - 7</f>
        <v>43318.333333333336</v>
      </c>
      <c r="AD109" s="15" t="s">
        <v>75</v>
      </c>
      <c r="AE109" s="13" t="str">
        <f t="shared" si="132"/>
        <v>LAST_METER-750</v>
      </c>
      <c r="AF109" s="136" t="str">
        <f>'Run Parameters'!$B$2</f>
        <v>2018-08-13 08:00</v>
      </c>
      <c r="AG109" s="13" t="str">
        <f>'Run Parameters'!B$4</f>
        <v>AUTOTEST2</v>
      </c>
      <c r="AH109" s="135" t="str">
        <f t="shared" si="133"/>
        <v>Site_Contact_750</v>
      </c>
      <c r="AI109" s="136" t="str">
        <f>'Run Parameters'!B$2</f>
        <v>2018-08-13 08:00</v>
      </c>
      <c r="AJ109" s="223" t="str">
        <f>'Run Parameters'!B$3</f>
        <v>2018-08-13 18:00</v>
      </c>
      <c r="AK109" s="13" t="s">
        <v>1093</v>
      </c>
      <c r="AL109" s="135" t="str">
        <f t="shared" si="134"/>
        <v>01159750</v>
      </c>
      <c r="AM109" s="13" t="str">
        <f t="shared" si="135"/>
        <v>0115750</v>
      </c>
      <c r="AN109" s="15"/>
      <c r="AO109" s="15"/>
      <c r="AP109" s="13">
        <v>1</v>
      </c>
      <c r="AQ109" s="15" t="s">
        <v>49</v>
      </c>
      <c r="AR109" s="15"/>
      <c r="AS109" s="13"/>
      <c r="AT109" s="15" t="s">
        <v>845</v>
      </c>
      <c r="AU109" s="15"/>
      <c r="AV109" s="13">
        <f t="shared" si="136"/>
        <v>750</v>
      </c>
      <c r="AW109" s="13" t="s">
        <v>1139</v>
      </c>
      <c r="AX109" s="13" t="s">
        <v>420</v>
      </c>
      <c r="AY109" s="13" t="s">
        <v>421</v>
      </c>
      <c r="AZ109" s="15" t="s">
        <v>334</v>
      </c>
      <c r="BA109" s="15" t="s">
        <v>154</v>
      </c>
      <c r="BB109" s="13">
        <v>1</v>
      </c>
      <c r="BC109" s="13">
        <f t="shared" si="137"/>
        <v>750</v>
      </c>
      <c r="BD109" s="17" t="s">
        <v>1140</v>
      </c>
      <c r="BE109" s="15" t="s">
        <v>390</v>
      </c>
      <c r="BF109" s="16" t="s">
        <v>391</v>
      </c>
      <c r="BG109" s="13" t="s">
        <v>1141</v>
      </c>
      <c r="BH109" s="13" t="str">
        <f t="shared" si="138"/>
        <v>750_1</v>
      </c>
      <c r="BI109" s="13"/>
      <c r="BJ109" s="13" t="str">
        <f t="shared" si="139"/>
        <v>10000000750</v>
      </c>
      <c r="BK109" s="15" t="s">
        <v>51</v>
      </c>
      <c r="BL109" s="15" t="s">
        <v>54</v>
      </c>
      <c r="BM109" s="13"/>
      <c r="BN109" s="15" t="s">
        <v>49</v>
      </c>
      <c r="BO109" s="13"/>
      <c r="BP109" s="15"/>
      <c r="BQ109" s="15"/>
      <c r="BR109" s="13"/>
      <c r="BS109" s="15"/>
      <c r="BT109" s="15"/>
      <c r="BU109" s="15"/>
      <c r="BV109" s="15"/>
      <c r="BW109" s="15"/>
      <c r="BX109" s="15"/>
      <c r="BY109" s="15"/>
      <c r="BZ109" s="15"/>
      <c r="CA109" s="15"/>
      <c r="CB109" s="15"/>
      <c r="CC109" s="15"/>
      <c r="CD109" s="15" t="s">
        <v>392</v>
      </c>
      <c r="CE109" s="15" t="s">
        <v>1093</v>
      </c>
      <c r="CF109" s="15" t="s">
        <v>398</v>
      </c>
      <c r="CG109" s="17" t="s">
        <v>1142</v>
      </c>
      <c r="CH109" s="15" t="s">
        <v>159</v>
      </c>
      <c r="CI109" s="13"/>
      <c r="CJ109" s="13"/>
      <c r="CK109" s="15"/>
      <c r="CL109" s="15"/>
      <c r="CM109" s="15"/>
      <c r="CN109" s="13"/>
      <c r="CO109" s="13"/>
      <c r="CP109" s="15"/>
      <c r="CQ109" s="13"/>
      <c r="CR109" s="13"/>
      <c r="CS109" s="15"/>
      <c r="CT109" s="227"/>
      <c r="CU109" s="13"/>
      <c r="CV109" s="15"/>
      <c r="CW109" s="15"/>
      <c r="CX109" s="15"/>
      <c r="CY109" s="15"/>
      <c r="CZ109" s="15"/>
      <c r="DA109" s="15"/>
      <c r="DB109" s="13"/>
      <c r="DC109" s="15"/>
      <c r="DD109" s="15"/>
      <c r="DE109" s="15"/>
      <c r="DF109" s="15"/>
      <c r="DG109" s="15"/>
      <c r="DH109" s="15"/>
      <c r="DI109" s="15"/>
      <c r="DJ109" s="15"/>
      <c r="DK109" s="15"/>
      <c r="DL109" s="228"/>
      <c r="DM109" s="228"/>
      <c r="DN109" s="13" t="str">
        <f t="shared" ref="DN109:DN115" si="141">("DS_Pass-" &amp; $D109)</f>
        <v>DS_Pass-750</v>
      </c>
      <c r="DO109" s="15"/>
      <c r="DP109" s="15"/>
      <c r="DQ109" s="15"/>
      <c r="DR109" s="13"/>
      <c r="DS109" s="13"/>
      <c r="DT109" s="15"/>
      <c r="DU109" s="15"/>
      <c r="DV109" s="15"/>
      <c r="DW109" s="13"/>
      <c r="DX109" s="15"/>
      <c r="DY109" s="15"/>
      <c r="DZ109" s="15" t="s">
        <v>402</v>
      </c>
      <c r="EA109" s="135"/>
      <c r="EB109" s="15"/>
      <c r="EC109" s="228"/>
      <c r="ED109" s="228"/>
      <c r="EE109" s="228"/>
    </row>
    <row r="110" spans="1:136" s="229" customFormat="1">
      <c r="A110" s="219" t="s">
        <v>1149</v>
      </c>
      <c r="B110" s="219" t="s">
        <v>892</v>
      </c>
      <c r="C110" s="219" t="s">
        <v>865</v>
      </c>
      <c r="D110" s="13">
        <f>'Run Parameters'!$B$1 + ROW()-1</f>
        <v>751</v>
      </c>
      <c r="E110" s="15" t="s">
        <v>47</v>
      </c>
      <c r="F110" s="13" t="s">
        <v>1141</v>
      </c>
      <c r="G110" s="13" t="str">
        <f t="shared" si="124"/>
        <v>Access Dtls-751</v>
      </c>
      <c r="H110" s="15" t="s">
        <v>275</v>
      </c>
      <c r="I110" s="13" t="str">
        <f>("MR. Test_221_INST8_"&amp;D110&amp;"")</f>
        <v>MR. Test_221_INST8_751</v>
      </c>
      <c r="J110" s="13"/>
      <c r="K110" s="19" t="s">
        <v>425</v>
      </c>
      <c r="L110" s="13" t="str">
        <f t="shared" si="125"/>
        <v>Cust. Ref-751</v>
      </c>
      <c r="M110" s="15" t="s">
        <v>48</v>
      </c>
      <c r="N110" s="15" t="s">
        <v>425</v>
      </c>
      <c r="O110" s="13"/>
      <c r="P110" s="13" t="str">
        <f t="shared" si="126"/>
        <v>SN-751</v>
      </c>
      <c r="Q110" s="13" t="str">
        <f t="shared" si="127"/>
        <v>SI-751</v>
      </c>
      <c r="R110" s="13" t="str">
        <f t="shared" si="128"/>
        <v>SE-751</v>
      </c>
      <c r="S110" s="135" t="str">
        <f t="shared" si="129"/>
        <v>Prev_RA-751</v>
      </c>
      <c r="T110" s="135" t="str">
        <f t="shared" si="130"/>
        <v>Prev_Comms-751</v>
      </c>
      <c r="U110" s="15" t="s">
        <v>75</v>
      </c>
      <c r="V110" s="15" t="s">
        <v>401</v>
      </c>
      <c r="W110" s="15" t="s">
        <v>75</v>
      </c>
      <c r="X110" s="15" t="s">
        <v>1093</v>
      </c>
      <c r="Y110" s="13" t="str">
        <f t="shared" si="131"/>
        <v>Forward Add-751</v>
      </c>
      <c r="Z110" s="15" t="s">
        <v>401</v>
      </c>
      <c r="AA110" s="136" t="str">
        <f>'Run Parameters'!$B$2</f>
        <v>2018-08-13 08:00</v>
      </c>
      <c r="AB110" s="223" t="str">
        <f>'Run Parameters'!B$3</f>
        <v>2018-08-13 18:00</v>
      </c>
      <c r="AC110" s="26">
        <f>('Run Parameters'!$B$2) - 7</f>
        <v>43318.333333333336</v>
      </c>
      <c r="AD110" s="15" t="s">
        <v>75</v>
      </c>
      <c r="AE110" s="13" t="str">
        <f t="shared" si="132"/>
        <v>LAST_METER-751</v>
      </c>
      <c r="AF110" s="136" t="str">
        <f>'Run Parameters'!$B$2</f>
        <v>2018-08-13 08:00</v>
      </c>
      <c r="AG110" s="13" t="str">
        <f>'Run Parameters'!B$4</f>
        <v>AUTOTEST2</v>
      </c>
      <c r="AH110" s="135" t="str">
        <f t="shared" si="133"/>
        <v>Site_Contact_751</v>
      </c>
      <c r="AI110" s="136" t="str">
        <f>'Run Parameters'!B$2</f>
        <v>2018-08-13 08:00</v>
      </c>
      <c r="AJ110" s="223" t="str">
        <f>'Run Parameters'!B$3</f>
        <v>2018-08-13 18:00</v>
      </c>
      <c r="AK110" s="13" t="s">
        <v>1093</v>
      </c>
      <c r="AL110" s="135" t="str">
        <f t="shared" si="134"/>
        <v>01159751</v>
      </c>
      <c r="AM110" s="13" t="str">
        <f t="shared" si="135"/>
        <v>0115751</v>
      </c>
      <c r="AN110" s="15"/>
      <c r="AO110" s="15"/>
      <c r="AP110" s="13">
        <v>1</v>
      </c>
      <c r="AQ110" s="15" t="s">
        <v>49</v>
      </c>
      <c r="AR110" s="15"/>
      <c r="AS110" s="13"/>
      <c r="AT110" s="15" t="s">
        <v>1109</v>
      </c>
      <c r="AU110" s="15"/>
      <c r="AV110" s="13">
        <f t="shared" si="136"/>
        <v>751</v>
      </c>
      <c r="AW110" s="13" t="s">
        <v>1139</v>
      </c>
      <c r="AX110" s="13" t="s">
        <v>420</v>
      </c>
      <c r="AY110" s="13" t="s">
        <v>421</v>
      </c>
      <c r="AZ110" s="15" t="s">
        <v>334</v>
      </c>
      <c r="BA110" s="15" t="s">
        <v>154</v>
      </c>
      <c r="BB110" s="13">
        <v>1</v>
      </c>
      <c r="BC110" s="13">
        <f t="shared" si="137"/>
        <v>751</v>
      </c>
      <c r="BD110" s="17" t="s">
        <v>1140</v>
      </c>
      <c r="BE110" s="15" t="s">
        <v>390</v>
      </c>
      <c r="BF110" s="16" t="s">
        <v>391</v>
      </c>
      <c r="BG110" s="13" t="s">
        <v>1141</v>
      </c>
      <c r="BH110" s="13" t="str">
        <f t="shared" si="138"/>
        <v>751_1</v>
      </c>
      <c r="BI110" s="13"/>
      <c r="BJ110" s="13" t="str">
        <f t="shared" si="139"/>
        <v>10000000751</v>
      </c>
      <c r="BK110" s="15" t="s">
        <v>51</v>
      </c>
      <c r="BL110" s="15" t="s">
        <v>54</v>
      </c>
      <c r="BM110" s="13"/>
      <c r="BN110" s="15" t="s">
        <v>49</v>
      </c>
      <c r="BO110" s="13"/>
      <c r="BP110" s="15"/>
      <c r="BQ110" s="15"/>
      <c r="BR110" s="13"/>
      <c r="BS110" s="15"/>
      <c r="BT110" s="15"/>
      <c r="BU110" s="15"/>
      <c r="BV110" s="15"/>
      <c r="BW110" s="15"/>
      <c r="BX110" s="15"/>
      <c r="BY110" s="15"/>
      <c r="BZ110" s="15"/>
      <c r="CA110" s="15"/>
      <c r="CB110" s="15"/>
      <c r="CC110" s="15"/>
      <c r="CD110" s="15" t="s">
        <v>392</v>
      </c>
      <c r="CE110" s="15" t="s">
        <v>1093</v>
      </c>
      <c r="CF110" s="15" t="s">
        <v>398</v>
      </c>
      <c r="CG110" s="17" t="s">
        <v>1142</v>
      </c>
      <c r="CH110" s="15" t="s">
        <v>159</v>
      </c>
      <c r="CI110" s="13"/>
      <c r="CJ110" s="13"/>
      <c r="CK110" s="15"/>
      <c r="CL110" s="15"/>
      <c r="CM110" s="15"/>
      <c r="CN110" s="13"/>
      <c r="CO110" s="13"/>
      <c r="CP110" s="15"/>
      <c r="CQ110" s="13"/>
      <c r="CR110" s="13"/>
      <c r="CS110" s="15"/>
      <c r="CT110" s="227"/>
      <c r="CU110" s="13"/>
      <c r="CV110" s="15"/>
      <c r="CW110" s="15"/>
      <c r="CX110" s="15"/>
      <c r="CY110" s="15"/>
      <c r="CZ110" s="15"/>
      <c r="DA110" s="15"/>
      <c r="DB110" s="13"/>
      <c r="DC110" s="15"/>
      <c r="DD110" s="15"/>
      <c r="DE110" s="15"/>
      <c r="DF110" s="15"/>
      <c r="DG110" s="15"/>
      <c r="DH110" s="15"/>
      <c r="DI110" s="15"/>
      <c r="DJ110" s="15"/>
      <c r="DK110" s="15"/>
      <c r="DL110" s="228"/>
      <c r="DM110" s="228"/>
      <c r="DN110" s="13" t="str">
        <f t="shared" si="141"/>
        <v>DS_Pass-751</v>
      </c>
      <c r="DO110" s="15"/>
      <c r="DP110" s="15"/>
      <c r="DQ110" s="15"/>
      <c r="DR110" s="13"/>
      <c r="DS110" s="13"/>
      <c r="DT110" s="15"/>
      <c r="DU110" s="15"/>
      <c r="DV110" s="15"/>
      <c r="DW110" s="13"/>
      <c r="DX110" s="15"/>
      <c r="DY110" s="15"/>
      <c r="DZ110" s="15" t="s">
        <v>402</v>
      </c>
      <c r="EA110" s="135"/>
      <c r="EB110" s="15"/>
      <c r="EC110" s="228"/>
      <c r="ED110" s="228"/>
      <c r="EE110" s="228"/>
    </row>
    <row r="111" spans="1:136" s="229" customFormat="1">
      <c r="A111" s="219" t="s">
        <v>1145</v>
      </c>
      <c r="B111" s="219" t="s">
        <v>892</v>
      </c>
      <c r="C111" s="219" t="s">
        <v>865</v>
      </c>
      <c r="D111" s="13">
        <f>'Run Parameters'!$B$1 + ROW()-1</f>
        <v>752</v>
      </c>
      <c r="E111" s="15" t="s">
        <v>47</v>
      </c>
      <c r="F111" s="13" t="s">
        <v>1141</v>
      </c>
      <c r="G111" s="13" t="str">
        <f t="shared" si="124"/>
        <v>Access Dtls-752</v>
      </c>
      <c r="H111" s="15" t="s">
        <v>275</v>
      </c>
      <c r="I111" s="13" t="str">
        <f>("MR. Test_222_INST8_"&amp;D111&amp;"")</f>
        <v>MR. Test_222_INST8_752</v>
      </c>
      <c r="J111" s="13"/>
      <c r="K111" s="19" t="s">
        <v>425</v>
      </c>
      <c r="L111" s="13" t="str">
        <f t="shared" si="125"/>
        <v>Cust. Ref-752</v>
      </c>
      <c r="M111" s="15" t="s">
        <v>48</v>
      </c>
      <c r="N111" s="15" t="s">
        <v>425</v>
      </c>
      <c r="O111" s="13"/>
      <c r="P111" s="13" t="str">
        <f t="shared" si="126"/>
        <v>SN-752</v>
      </c>
      <c r="Q111" s="13" t="str">
        <f t="shared" si="127"/>
        <v>SI-752</v>
      </c>
      <c r="R111" s="13" t="str">
        <f t="shared" si="128"/>
        <v>SE-752</v>
      </c>
      <c r="S111" s="135" t="str">
        <f t="shared" si="129"/>
        <v>Prev_RA-752</v>
      </c>
      <c r="T111" s="135" t="str">
        <f t="shared" si="130"/>
        <v>Prev_Comms-752</v>
      </c>
      <c r="U111" s="15" t="s">
        <v>75</v>
      </c>
      <c r="V111" s="15" t="s">
        <v>401</v>
      </c>
      <c r="W111" s="15" t="s">
        <v>75</v>
      </c>
      <c r="X111" s="15" t="s">
        <v>1093</v>
      </c>
      <c r="Y111" s="13" t="str">
        <f t="shared" si="131"/>
        <v>Forward Add-752</v>
      </c>
      <c r="Z111" s="15" t="s">
        <v>401</v>
      </c>
      <c r="AA111" s="136" t="str">
        <f>'Run Parameters'!$B$2</f>
        <v>2018-08-13 08:00</v>
      </c>
      <c r="AB111" s="223" t="str">
        <f>'Run Parameters'!B$3</f>
        <v>2018-08-13 18:00</v>
      </c>
      <c r="AC111" s="26">
        <f>('Run Parameters'!$B$2) - 7</f>
        <v>43318.333333333336</v>
      </c>
      <c r="AD111" s="15" t="s">
        <v>75</v>
      </c>
      <c r="AE111" s="13" t="str">
        <f t="shared" si="132"/>
        <v>LAST_METER-752</v>
      </c>
      <c r="AF111" s="136" t="str">
        <f>'Run Parameters'!$B$2</f>
        <v>2018-08-13 08:00</v>
      </c>
      <c r="AG111" s="13" t="str">
        <f>'Run Parameters'!B$4</f>
        <v>AUTOTEST2</v>
      </c>
      <c r="AH111" s="135" t="str">
        <f t="shared" si="133"/>
        <v>Site_Contact_752</v>
      </c>
      <c r="AI111" s="136" t="str">
        <f>'Run Parameters'!B$2</f>
        <v>2018-08-13 08:00</v>
      </c>
      <c r="AJ111" s="223" t="str">
        <f>'Run Parameters'!B$3</f>
        <v>2018-08-13 18:00</v>
      </c>
      <c r="AK111" s="13" t="s">
        <v>1093</v>
      </c>
      <c r="AL111" s="135" t="str">
        <f t="shared" si="134"/>
        <v>01159752</v>
      </c>
      <c r="AM111" s="13" t="str">
        <f t="shared" si="135"/>
        <v>0115752</v>
      </c>
      <c r="AN111" s="15"/>
      <c r="AO111" s="15"/>
      <c r="AP111" s="13">
        <v>1</v>
      </c>
      <c r="AQ111" s="15" t="s">
        <v>49</v>
      </c>
      <c r="AR111" s="15"/>
      <c r="AS111" s="13"/>
      <c r="AT111" s="15" t="s">
        <v>1110</v>
      </c>
      <c r="AU111" s="15"/>
      <c r="AV111" s="13">
        <f t="shared" si="136"/>
        <v>752</v>
      </c>
      <c r="AW111" s="13" t="s">
        <v>1139</v>
      </c>
      <c r="AX111" s="13" t="s">
        <v>420</v>
      </c>
      <c r="AY111" s="13" t="s">
        <v>421</v>
      </c>
      <c r="AZ111" s="15" t="s">
        <v>334</v>
      </c>
      <c r="BA111" s="15" t="s">
        <v>154</v>
      </c>
      <c r="BB111" s="13">
        <v>1</v>
      </c>
      <c r="BC111" s="13">
        <f t="shared" si="137"/>
        <v>752</v>
      </c>
      <c r="BD111" s="17" t="s">
        <v>1140</v>
      </c>
      <c r="BE111" s="15" t="s">
        <v>390</v>
      </c>
      <c r="BF111" s="16" t="s">
        <v>391</v>
      </c>
      <c r="BG111" s="13" t="s">
        <v>1141</v>
      </c>
      <c r="BH111" s="13" t="str">
        <f t="shared" si="138"/>
        <v>752_1</v>
      </c>
      <c r="BI111" s="13"/>
      <c r="BJ111" s="13" t="str">
        <f t="shared" si="139"/>
        <v>10000000752</v>
      </c>
      <c r="BK111" s="15" t="s">
        <v>51</v>
      </c>
      <c r="BL111" s="15" t="s">
        <v>54</v>
      </c>
      <c r="BM111" s="13"/>
      <c r="BN111" s="15" t="s">
        <v>49</v>
      </c>
      <c r="BO111" s="13"/>
      <c r="BP111" s="15"/>
      <c r="BQ111" s="15"/>
      <c r="BR111" s="13"/>
      <c r="BS111" s="15"/>
      <c r="BT111" s="15"/>
      <c r="BU111" s="15"/>
      <c r="BV111" s="15"/>
      <c r="BW111" s="15"/>
      <c r="BX111" s="15"/>
      <c r="BY111" s="15"/>
      <c r="BZ111" s="15"/>
      <c r="CA111" s="15"/>
      <c r="CB111" s="15"/>
      <c r="CC111" s="15"/>
      <c r="CD111" s="15" t="s">
        <v>392</v>
      </c>
      <c r="CE111" s="15" t="s">
        <v>1093</v>
      </c>
      <c r="CF111" s="15" t="s">
        <v>398</v>
      </c>
      <c r="CG111" s="17" t="s">
        <v>1142</v>
      </c>
      <c r="CH111" s="15" t="s">
        <v>159</v>
      </c>
      <c r="CI111" s="13"/>
      <c r="CJ111" s="13"/>
      <c r="CK111" s="15"/>
      <c r="CL111" s="15"/>
      <c r="CM111" s="15"/>
      <c r="CN111" s="13"/>
      <c r="CO111" s="13"/>
      <c r="CP111" s="15"/>
      <c r="CQ111" s="13"/>
      <c r="CR111" s="13"/>
      <c r="CS111" s="15"/>
      <c r="CT111" s="227"/>
      <c r="CU111" s="13"/>
      <c r="CV111" s="15"/>
      <c r="CW111" s="15"/>
      <c r="CX111" s="15"/>
      <c r="CY111" s="15"/>
      <c r="CZ111" s="15"/>
      <c r="DA111" s="15"/>
      <c r="DB111" s="13"/>
      <c r="DC111" s="15"/>
      <c r="DD111" s="15"/>
      <c r="DE111" s="15"/>
      <c r="DF111" s="15"/>
      <c r="DG111" s="15"/>
      <c r="DH111" s="15"/>
      <c r="DI111" s="15"/>
      <c r="DJ111" s="15"/>
      <c r="DK111" s="15"/>
      <c r="DL111" s="228"/>
      <c r="DM111" s="228"/>
      <c r="DN111" s="13" t="str">
        <f t="shared" si="141"/>
        <v>DS_Pass-752</v>
      </c>
      <c r="DO111" s="15"/>
      <c r="DP111" s="15"/>
      <c r="DQ111" s="15"/>
      <c r="DR111" s="13"/>
      <c r="DS111" s="13"/>
      <c r="DT111" s="15"/>
      <c r="DU111" s="15"/>
      <c r="DV111" s="15"/>
      <c r="DW111" s="13"/>
      <c r="DX111" s="15"/>
      <c r="DY111" s="15"/>
      <c r="DZ111" s="15" t="s">
        <v>402</v>
      </c>
      <c r="EA111" s="135"/>
      <c r="EB111" s="15"/>
      <c r="EC111" s="228"/>
      <c r="ED111" s="228"/>
      <c r="EE111" s="228"/>
    </row>
    <row r="112" spans="1:136" s="229" customFormat="1">
      <c r="A112" s="219" t="s">
        <v>1146</v>
      </c>
      <c r="B112" s="219" t="s">
        <v>892</v>
      </c>
      <c r="C112" s="219" t="s">
        <v>865</v>
      </c>
      <c r="D112" s="13">
        <f>'Run Parameters'!$B$1 + ROW()-1</f>
        <v>753</v>
      </c>
      <c r="E112" s="15" t="s">
        <v>47</v>
      </c>
      <c r="F112" s="13" t="s">
        <v>1141</v>
      </c>
      <c r="G112" s="13" t="str">
        <f t="shared" si="124"/>
        <v>Access Dtls-753</v>
      </c>
      <c r="H112" s="15" t="s">
        <v>275</v>
      </c>
      <c r="I112" s="13" t="str">
        <f>("MR. Test_223_INST8_"&amp;D112&amp;"")</f>
        <v>MR. Test_223_INST8_753</v>
      </c>
      <c r="J112" s="13"/>
      <c r="K112" s="19" t="s">
        <v>425</v>
      </c>
      <c r="L112" s="13" t="str">
        <f t="shared" si="125"/>
        <v>Cust. Ref-753</v>
      </c>
      <c r="M112" s="15" t="s">
        <v>48</v>
      </c>
      <c r="N112" s="15" t="s">
        <v>425</v>
      </c>
      <c r="O112" s="13"/>
      <c r="P112" s="13" t="str">
        <f t="shared" si="126"/>
        <v>SN-753</v>
      </c>
      <c r="Q112" s="13" t="str">
        <f t="shared" si="127"/>
        <v>SI-753</v>
      </c>
      <c r="R112" s="13" t="str">
        <f t="shared" si="128"/>
        <v>SE-753</v>
      </c>
      <c r="S112" s="135" t="str">
        <f t="shared" si="129"/>
        <v>Prev_RA-753</v>
      </c>
      <c r="T112" s="135" t="str">
        <f t="shared" si="130"/>
        <v>Prev_Comms-753</v>
      </c>
      <c r="U112" s="15" t="s">
        <v>75</v>
      </c>
      <c r="V112" s="15" t="s">
        <v>401</v>
      </c>
      <c r="W112" s="15" t="s">
        <v>75</v>
      </c>
      <c r="X112" s="15" t="s">
        <v>1093</v>
      </c>
      <c r="Y112" s="13" t="str">
        <f t="shared" si="131"/>
        <v>Forward Add-753</v>
      </c>
      <c r="Z112" s="15" t="s">
        <v>401</v>
      </c>
      <c r="AA112" s="136" t="str">
        <f>'Run Parameters'!$B$2</f>
        <v>2018-08-13 08:00</v>
      </c>
      <c r="AB112" s="223" t="str">
        <f>'Run Parameters'!B$3</f>
        <v>2018-08-13 18:00</v>
      </c>
      <c r="AC112" s="26">
        <f>('Run Parameters'!$B$2) - 7</f>
        <v>43318.333333333336</v>
      </c>
      <c r="AD112" s="15" t="s">
        <v>75</v>
      </c>
      <c r="AE112" s="13" t="str">
        <f t="shared" si="132"/>
        <v>LAST_METER-753</v>
      </c>
      <c r="AF112" s="136" t="str">
        <f>'Run Parameters'!$B$2</f>
        <v>2018-08-13 08:00</v>
      </c>
      <c r="AG112" s="13" t="str">
        <f>'Run Parameters'!B$4</f>
        <v>AUTOTEST2</v>
      </c>
      <c r="AH112" s="135" t="str">
        <f t="shared" si="133"/>
        <v>Site_Contact_753</v>
      </c>
      <c r="AI112" s="136" t="str">
        <f>'Run Parameters'!B$2</f>
        <v>2018-08-13 08:00</v>
      </c>
      <c r="AJ112" s="223" t="str">
        <f>'Run Parameters'!B$3</f>
        <v>2018-08-13 18:00</v>
      </c>
      <c r="AK112" s="13" t="s">
        <v>1093</v>
      </c>
      <c r="AL112" s="135" t="str">
        <f t="shared" si="134"/>
        <v>01159753</v>
      </c>
      <c r="AM112" s="13" t="str">
        <f t="shared" si="135"/>
        <v>0115753</v>
      </c>
      <c r="AN112" s="15"/>
      <c r="AO112" s="15"/>
      <c r="AP112" s="13">
        <v>1</v>
      </c>
      <c r="AQ112" s="15" t="s">
        <v>49</v>
      </c>
      <c r="AR112" s="15"/>
      <c r="AS112" s="13"/>
      <c r="AT112" s="15" t="s">
        <v>1111</v>
      </c>
      <c r="AU112" s="15"/>
      <c r="AV112" s="13">
        <f t="shared" si="136"/>
        <v>753</v>
      </c>
      <c r="AW112" s="13" t="s">
        <v>1139</v>
      </c>
      <c r="AX112" s="13" t="s">
        <v>420</v>
      </c>
      <c r="AY112" s="13" t="s">
        <v>421</v>
      </c>
      <c r="AZ112" s="15" t="s">
        <v>334</v>
      </c>
      <c r="BA112" s="15" t="s">
        <v>154</v>
      </c>
      <c r="BB112" s="13">
        <v>1</v>
      </c>
      <c r="BC112" s="13">
        <f t="shared" si="137"/>
        <v>753</v>
      </c>
      <c r="BD112" s="17" t="s">
        <v>1140</v>
      </c>
      <c r="BE112" s="15" t="s">
        <v>390</v>
      </c>
      <c r="BF112" s="16" t="s">
        <v>391</v>
      </c>
      <c r="BG112" s="13" t="s">
        <v>1141</v>
      </c>
      <c r="BH112" s="13" t="str">
        <f t="shared" si="138"/>
        <v>753_1</v>
      </c>
      <c r="BI112" s="13"/>
      <c r="BJ112" s="13" t="str">
        <f t="shared" si="139"/>
        <v>10000000753</v>
      </c>
      <c r="BK112" s="15" t="s">
        <v>51</v>
      </c>
      <c r="BL112" s="15" t="s">
        <v>54</v>
      </c>
      <c r="BM112" s="13"/>
      <c r="BN112" s="15" t="s">
        <v>49</v>
      </c>
      <c r="BO112" s="13"/>
      <c r="BP112" s="15"/>
      <c r="BQ112" s="15"/>
      <c r="BR112" s="13"/>
      <c r="BS112" s="15"/>
      <c r="BT112" s="15"/>
      <c r="BU112" s="15"/>
      <c r="BV112" s="15"/>
      <c r="BW112" s="15"/>
      <c r="BX112" s="15"/>
      <c r="BY112" s="15"/>
      <c r="BZ112" s="15"/>
      <c r="CA112" s="15"/>
      <c r="CB112" s="15"/>
      <c r="CC112" s="15"/>
      <c r="CD112" s="15" t="s">
        <v>392</v>
      </c>
      <c r="CE112" s="15" t="s">
        <v>1093</v>
      </c>
      <c r="CF112" s="15" t="s">
        <v>398</v>
      </c>
      <c r="CG112" s="17" t="s">
        <v>1142</v>
      </c>
      <c r="CH112" s="15" t="s">
        <v>159</v>
      </c>
      <c r="CI112" s="13"/>
      <c r="CJ112" s="13"/>
      <c r="CK112" s="15"/>
      <c r="CL112" s="15"/>
      <c r="CM112" s="15"/>
      <c r="CN112" s="13"/>
      <c r="CO112" s="13"/>
      <c r="CP112" s="15"/>
      <c r="CQ112" s="13"/>
      <c r="CR112" s="13"/>
      <c r="CS112" s="15"/>
      <c r="CT112" s="227"/>
      <c r="CU112" s="13"/>
      <c r="CV112" s="15"/>
      <c r="CW112" s="15"/>
      <c r="CX112" s="15"/>
      <c r="CY112" s="15"/>
      <c r="CZ112" s="15"/>
      <c r="DA112" s="15"/>
      <c r="DB112" s="13"/>
      <c r="DC112" s="15"/>
      <c r="DD112" s="15"/>
      <c r="DE112" s="15"/>
      <c r="DF112" s="15"/>
      <c r="DG112" s="15"/>
      <c r="DH112" s="15"/>
      <c r="DI112" s="15"/>
      <c r="DJ112" s="15"/>
      <c r="DK112" s="15"/>
      <c r="DL112" s="228"/>
      <c r="DM112" s="228"/>
      <c r="DN112" s="13" t="str">
        <f t="shared" si="141"/>
        <v>DS_Pass-753</v>
      </c>
      <c r="DO112" s="15"/>
      <c r="DP112" s="15"/>
      <c r="DQ112" s="15"/>
      <c r="DR112" s="13"/>
      <c r="DS112" s="13"/>
      <c r="DT112" s="15"/>
      <c r="DU112" s="15"/>
      <c r="DV112" s="15"/>
      <c r="DW112" s="13"/>
      <c r="DX112" s="15"/>
      <c r="DY112" s="15"/>
      <c r="DZ112" s="15" t="s">
        <v>402</v>
      </c>
      <c r="EA112" s="135"/>
      <c r="EB112" s="15"/>
      <c r="EC112" s="228"/>
      <c r="ED112" s="228"/>
      <c r="EE112" s="228"/>
    </row>
    <row r="113" spans="1:136" s="229" customFormat="1">
      <c r="A113" s="219" t="s">
        <v>1147</v>
      </c>
      <c r="B113" s="219" t="s">
        <v>892</v>
      </c>
      <c r="C113" s="219" t="s">
        <v>865</v>
      </c>
      <c r="D113" s="13">
        <f>'Run Parameters'!$B$1 + ROW()-1</f>
        <v>754</v>
      </c>
      <c r="E113" s="15" t="s">
        <v>47</v>
      </c>
      <c r="F113" s="13" t="s">
        <v>1141</v>
      </c>
      <c r="G113" s="13" t="str">
        <f t="shared" si="124"/>
        <v>Access Dtls-754</v>
      </c>
      <c r="H113" s="15" t="s">
        <v>275</v>
      </c>
      <c r="I113" s="13" t="str">
        <f>("MR. Test_224_INST8_"&amp;D113&amp;"")</f>
        <v>MR. Test_224_INST8_754</v>
      </c>
      <c r="J113" s="13"/>
      <c r="K113" s="19" t="s">
        <v>425</v>
      </c>
      <c r="L113" s="13" t="str">
        <f t="shared" si="125"/>
        <v>Cust. Ref-754</v>
      </c>
      <c r="M113" s="15" t="s">
        <v>48</v>
      </c>
      <c r="N113" s="15" t="s">
        <v>425</v>
      </c>
      <c r="O113" s="13"/>
      <c r="P113" s="13" t="str">
        <f t="shared" si="126"/>
        <v>SN-754</v>
      </c>
      <c r="Q113" s="13" t="str">
        <f t="shared" si="127"/>
        <v>SI-754</v>
      </c>
      <c r="R113" s="13" t="str">
        <f t="shared" si="128"/>
        <v>SE-754</v>
      </c>
      <c r="S113" s="135" t="str">
        <f t="shared" si="129"/>
        <v>Prev_RA-754</v>
      </c>
      <c r="T113" s="135" t="str">
        <f t="shared" si="130"/>
        <v>Prev_Comms-754</v>
      </c>
      <c r="U113" s="15" t="s">
        <v>75</v>
      </c>
      <c r="V113" s="15" t="s">
        <v>401</v>
      </c>
      <c r="W113" s="15" t="s">
        <v>75</v>
      </c>
      <c r="X113" s="15" t="s">
        <v>1093</v>
      </c>
      <c r="Y113" s="13" t="str">
        <f t="shared" si="131"/>
        <v>Forward Add-754</v>
      </c>
      <c r="Z113" s="15" t="s">
        <v>401</v>
      </c>
      <c r="AA113" s="136" t="str">
        <f>'Run Parameters'!$B$2</f>
        <v>2018-08-13 08:00</v>
      </c>
      <c r="AB113" s="223" t="str">
        <f>'Run Parameters'!B$3</f>
        <v>2018-08-13 18:00</v>
      </c>
      <c r="AC113" s="26">
        <f>('Run Parameters'!$B$2) - 7</f>
        <v>43318.333333333336</v>
      </c>
      <c r="AD113" s="15" t="s">
        <v>75</v>
      </c>
      <c r="AE113" s="13" t="str">
        <f t="shared" si="132"/>
        <v>LAST_METER-754</v>
      </c>
      <c r="AF113" s="136" t="str">
        <f>'Run Parameters'!$B$2</f>
        <v>2018-08-13 08:00</v>
      </c>
      <c r="AG113" s="13" t="str">
        <f>'Run Parameters'!B$4</f>
        <v>AUTOTEST2</v>
      </c>
      <c r="AH113" s="135" t="str">
        <f t="shared" si="133"/>
        <v>Site_Contact_754</v>
      </c>
      <c r="AI113" s="136" t="str">
        <f>'Run Parameters'!B$2</f>
        <v>2018-08-13 08:00</v>
      </c>
      <c r="AJ113" s="223" t="str">
        <f>'Run Parameters'!B$3</f>
        <v>2018-08-13 18:00</v>
      </c>
      <c r="AK113" s="13" t="s">
        <v>1093</v>
      </c>
      <c r="AL113" s="135" t="str">
        <f t="shared" si="134"/>
        <v>01159754</v>
      </c>
      <c r="AM113" s="13" t="str">
        <f t="shared" si="135"/>
        <v>0115754</v>
      </c>
      <c r="AN113" s="15"/>
      <c r="AO113" s="15"/>
      <c r="AP113" s="13">
        <v>1</v>
      </c>
      <c r="AQ113" s="15" t="s">
        <v>49</v>
      </c>
      <c r="AR113" s="15"/>
      <c r="AS113" s="13"/>
      <c r="AT113" s="15" t="s">
        <v>1112</v>
      </c>
      <c r="AU113" s="15"/>
      <c r="AV113" s="13">
        <f t="shared" si="136"/>
        <v>754</v>
      </c>
      <c r="AW113" s="13" t="s">
        <v>1139</v>
      </c>
      <c r="AX113" s="13" t="s">
        <v>420</v>
      </c>
      <c r="AY113" s="13" t="s">
        <v>421</v>
      </c>
      <c r="AZ113" s="15" t="s">
        <v>334</v>
      </c>
      <c r="BA113" s="15" t="s">
        <v>154</v>
      </c>
      <c r="BB113" s="13">
        <v>1</v>
      </c>
      <c r="BC113" s="13">
        <f t="shared" si="137"/>
        <v>754</v>
      </c>
      <c r="BD113" s="17" t="s">
        <v>1140</v>
      </c>
      <c r="BE113" s="15" t="s">
        <v>390</v>
      </c>
      <c r="BF113" s="16" t="s">
        <v>391</v>
      </c>
      <c r="BG113" s="13" t="s">
        <v>1141</v>
      </c>
      <c r="BH113" s="13" t="str">
        <f t="shared" si="138"/>
        <v>754_1</v>
      </c>
      <c r="BI113" s="13"/>
      <c r="BJ113" s="13" t="str">
        <f t="shared" si="139"/>
        <v>10000000754</v>
      </c>
      <c r="BK113" s="15" t="s">
        <v>51</v>
      </c>
      <c r="BL113" s="15" t="s">
        <v>54</v>
      </c>
      <c r="BM113" s="13"/>
      <c r="BN113" s="15" t="s">
        <v>49</v>
      </c>
      <c r="BO113" s="13"/>
      <c r="BP113" s="15"/>
      <c r="BQ113" s="15"/>
      <c r="BR113" s="13"/>
      <c r="BS113" s="15"/>
      <c r="BT113" s="15"/>
      <c r="BU113" s="15"/>
      <c r="BV113" s="15"/>
      <c r="BW113" s="15"/>
      <c r="BX113" s="15"/>
      <c r="BY113" s="15"/>
      <c r="BZ113" s="15"/>
      <c r="CA113" s="15"/>
      <c r="CB113" s="15"/>
      <c r="CC113" s="15"/>
      <c r="CD113" s="15" t="s">
        <v>392</v>
      </c>
      <c r="CE113" s="15" t="s">
        <v>1093</v>
      </c>
      <c r="CF113" s="15" t="s">
        <v>398</v>
      </c>
      <c r="CG113" s="17" t="s">
        <v>1142</v>
      </c>
      <c r="CH113" s="15" t="s">
        <v>159</v>
      </c>
      <c r="CI113" s="13"/>
      <c r="CJ113" s="13"/>
      <c r="CK113" s="15"/>
      <c r="CL113" s="15"/>
      <c r="CM113" s="15"/>
      <c r="CN113" s="13"/>
      <c r="CO113" s="13"/>
      <c r="CP113" s="15"/>
      <c r="CQ113" s="13"/>
      <c r="CR113" s="13"/>
      <c r="CS113" s="15"/>
      <c r="CT113" s="227"/>
      <c r="CU113" s="13"/>
      <c r="CV113" s="15"/>
      <c r="CW113" s="15"/>
      <c r="CX113" s="15"/>
      <c r="CY113" s="15"/>
      <c r="CZ113" s="15"/>
      <c r="DA113" s="15"/>
      <c r="DB113" s="13"/>
      <c r="DC113" s="15"/>
      <c r="DD113" s="15"/>
      <c r="DE113" s="15"/>
      <c r="DF113" s="15"/>
      <c r="DG113" s="15"/>
      <c r="DH113" s="15"/>
      <c r="DI113" s="15"/>
      <c r="DJ113" s="15"/>
      <c r="DK113" s="15"/>
      <c r="DL113" s="228"/>
      <c r="DM113" s="228"/>
      <c r="DN113" s="13" t="str">
        <f t="shared" si="141"/>
        <v>DS_Pass-754</v>
      </c>
      <c r="DO113" s="15"/>
      <c r="DP113" s="15"/>
      <c r="DQ113" s="15"/>
      <c r="DR113" s="13"/>
      <c r="DS113" s="13"/>
      <c r="DT113" s="15"/>
      <c r="DU113" s="15"/>
      <c r="DV113" s="15"/>
      <c r="DW113" s="13"/>
      <c r="DX113" s="15"/>
      <c r="DY113" s="15"/>
      <c r="DZ113" s="15" t="s">
        <v>402</v>
      </c>
      <c r="EA113" s="135"/>
      <c r="EB113" s="15"/>
      <c r="EC113" s="228"/>
      <c r="ED113" s="228"/>
      <c r="EE113" s="228"/>
    </row>
    <row r="114" spans="1:136" s="229" customFormat="1">
      <c r="A114" s="219" t="s">
        <v>1143</v>
      </c>
      <c r="B114" s="219" t="s">
        <v>892</v>
      </c>
      <c r="C114" s="219" t="s">
        <v>865</v>
      </c>
      <c r="D114" s="13">
        <f>'Run Parameters'!$B$1 + ROW()-1</f>
        <v>755</v>
      </c>
      <c r="E114" s="15" t="s">
        <v>47</v>
      </c>
      <c r="F114" s="13" t="s">
        <v>1141</v>
      </c>
      <c r="G114" s="13" t="str">
        <f t="shared" si="124"/>
        <v>Access Dtls-755</v>
      </c>
      <c r="H114" s="15" t="s">
        <v>275</v>
      </c>
      <c r="I114" s="13" t="str">
        <f>("MR. Test_225_INST8_"&amp;D114&amp;"")</f>
        <v>MR. Test_225_INST8_755</v>
      </c>
      <c r="J114" s="13"/>
      <c r="K114" s="19" t="s">
        <v>425</v>
      </c>
      <c r="L114" s="13" t="str">
        <f t="shared" si="125"/>
        <v>Cust. Ref-755</v>
      </c>
      <c r="M114" s="15" t="s">
        <v>48</v>
      </c>
      <c r="N114" s="15" t="s">
        <v>425</v>
      </c>
      <c r="O114" s="13"/>
      <c r="P114" s="13" t="str">
        <f t="shared" si="126"/>
        <v>SN-755</v>
      </c>
      <c r="Q114" s="13" t="str">
        <f t="shared" si="127"/>
        <v>SI-755</v>
      </c>
      <c r="R114" s="13" t="str">
        <f t="shared" si="128"/>
        <v>SE-755</v>
      </c>
      <c r="S114" s="135" t="str">
        <f t="shared" si="129"/>
        <v>Prev_RA-755</v>
      </c>
      <c r="T114" s="135" t="str">
        <f t="shared" si="130"/>
        <v>Prev_Comms-755</v>
      </c>
      <c r="U114" s="15" t="s">
        <v>75</v>
      </c>
      <c r="V114" s="15" t="s">
        <v>401</v>
      </c>
      <c r="W114" s="15" t="s">
        <v>75</v>
      </c>
      <c r="X114" s="15" t="s">
        <v>1093</v>
      </c>
      <c r="Y114" s="13" t="str">
        <f t="shared" si="131"/>
        <v>Forward Add-755</v>
      </c>
      <c r="Z114" s="15" t="s">
        <v>401</v>
      </c>
      <c r="AA114" s="136" t="str">
        <f>'Run Parameters'!$B$2</f>
        <v>2018-08-13 08:00</v>
      </c>
      <c r="AB114" s="223" t="str">
        <f>'Run Parameters'!B$3</f>
        <v>2018-08-13 18:00</v>
      </c>
      <c r="AC114" s="26">
        <f>('Run Parameters'!$B$2) - 7</f>
        <v>43318.333333333336</v>
      </c>
      <c r="AD114" s="15" t="s">
        <v>75</v>
      </c>
      <c r="AE114" s="13" t="str">
        <f t="shared" si="132"/>
        <v>LAST_METER-755</v>
      </c>
      <c r="AF114" s="136" t="str">
        <f>'Run Parameters'!$B$2</f>
        <v>2018-08-13 08:00</v>
      </c>
      <c r="AG114" s="13" t="str">
        <f>'Run Parameters'!B$4</f>
        <v>AUTOTEST2</v>
      </c>
      <c r="AH114" s="135" t="str">
        <f t="shared" si="133"/>
        <v>Site_Contact_755</v>
      </c>
      <c r="AI114" s="136" t="str">
        <f>'Run Parameters'!B$2</f>
        <v>2018-08-13 08:00</v>
      </c>
      <c r="AJ114" s="223" t="str">
        <f>'Run Parameters'!B$3</f>
        <v>2018-08-13 18:00</v>
      </c>
      <c r="AK114" s="13" t="s">
        <v>1093</v>
      </c>
      <c r="AL114" s="135" t="str">
        <f t="shared" si="134"/>
        <v>01159755</v>
      </c>
      <c r="AM114" s="13" t="str">
        <f t="shared" si="135"/>
        <v>0115755</v>
      </c>
      <c r="AN114" s="15"/>
      <c r="AO114" s="15"/>
      <c r="AP114" s="13">
        <v>1</v>
      </c>
      <c r="AQ114" s="15" t="s">
        <v>49</v>
      </c>
      <c r="AR114" s="15"/>
      <c r="AS114" s="13"/>
      <c r="AT114" s="15" t="s">
        <v>1113</v>
      </c>
      <c r="AU114" s="15"/>
      <c r="AV114" s="13">
        <f t="shared" si="136"/>
        <v>755</v>
      </c>
      <c r="AW114" s="13" t="s">
        <v>1139</v>
      </c>
      <c r="AX114" s="13" t="s">
        <v>420</v>
      </c>
      <c r="AY114" s="13" t="s">
        <v>421</v>
      </c>
      <c r="AZ114" s="15" t="s">
        <v>334</v>
      </c>
      <c r="BA114" s="15" t="s">
        <v>154</v>
      </c>
      <c r="BB114" s="13">
        <v>1</v>
      </c>
      <c r="BC114" s="13">
        <f t="shared" si="137"/>
        <v>755</v>
      </c>
      <c r="BD114" s="17" t="s">
        <v>1140</v>
      </c>
      <c r="BE114" s="15" t="s">
        <v>390</v>
      </c>
      <c r="BF114" s="16" t="s">
        <v>391</v>
      </c>
      <c r="BG114" s="13" t="s">
        <v>1141</v>
      </c>
      <c r="BH114" s="13" t="str">
        <f t="shared" si="138"/>
        <v>755_1</v>
      </c>
      <c r="BI114" s="13"/>
      <c r="BJ114" s="13" t="str">
        <f t="shared" si="139"/>
        <v>10000000755</v>
      </c>
      <c r="BK114" s="15" t="s">
        <v>51</v>
      </c>
      <c r="BL114" s="15" t="s">
        <v>54</v>
      </c>
      <c r="BM114" s="13"/>
      <c r="BN114" s="15" t="s">
        <v>49</v>
      </c>
      <c r="BO114" s="13"/>
      <c r="BP114" s="15"/>
      <c r="BQ114" s="15"/>
      <c r="BR114" s="13"/>
      <c r="BS114" s="15"/>
      <c r="BT114" s="15"/>
      <c r="BU114" s="15"/>
      <c r="BV114" s="15"/>
      <c r="BW114" s="15"/>
      <c r="BX114" s="15"/>
      <c r="BY114" s="15"/>
      <c r="BZ114" s="15"/>
      <c r="CA114" s="15"/>
      <c r="CB114" s="15"/>
      <c r="CC114" s="15"/>
      <c r="CD114" s="15" t="s">
        <v>392</v>
      </c>
      <c r="CE114" s="15" t="s">
        <v>1093</v>
      </c>
      <c r="CF114" s="15" t="s">
        <v>398</v>
      </c>
      <c r="CG114" s="17" t="s">
        <v>1142</v>
      </c>
      <c r="CH114" s="15" t="s">
        <v>159</v>
      </c>
      <c r="CI114" s="13"/>
      <c r="CJ114" s="13"/>
      <c r="CK114" s="15"/>
      <c r="CL114" s="15"/>
      <c r="CM114" s="15"/>
      <c r="CN114" s="13"/>
      <c r="CO114" s="13"/>
      <c r="CP114" s="15"/>
      <c r="CQ114" s="13"/>
      <c r="CR114" s="13"/>
      <c r="CS114" s="15"/>
      <c r="CT114" s="227"/>
      <c r="CU114" s="13"/>
      <c r="CV114" s="15"/>
      <c r="CW114" s="15"/>
      <c r="CX114" s="15"/>
      <c r="CY114" s="15"/>
      <c r="CZ114" s="15"/>
      <c r="DA114" s="15"/>
      <c r="DB114" s="13"/>
      <c r="DC114" s="15"/>
      <c r="DD114" s="15"/>
      <c r="DE114" s="15"/>
      <c r="DF114" s="15"/>
      <c r="DG114" s="15"/>
      <c r="DH114" s="15"/>
      <c r="DI114" s="15"/>
      <c r="DJ114" s="15"/>
      <c r="DK114" s="15"/>
      <c r="DL114" s="228"/>
      <c r="DM114" s="228"/>
      <c r="DN114" s="13" t="str">
        <f t="shared" si="141"/>
        <v>DS_Pass-755</v>
      </c>
      <c r="DO114" s="15"/>
      <c r="DP114" s="15"/>
      <c r="DQ114" s="15"/>
      <c r="DR114" s="13"/>
      <c r="DS114" s="13"/>
      <c r="DT114" s="15"/>
      <c r="DU114" s="15"/>
      <c r="DV114" s="15"/>
      <c r="DW114" s="13"/>
      <c r="DX114" s="15"/>
      <c r="DY114" s="15"/>
      <c r="DZ114" s="15" t="s">
        <v>402</v>
      </c>
      <c r="EA114" s="135"/>
      <c r="EB114" s="15"/>
      <c r="EC114" s="228"/>
      <c r="ED114" s="228"/>
      <c r="EE114" s="228"/>
    </row>
    <row r="115" spans="1:136" s="229" customFormat="1">
      <c r="A115" s="219" t="s">
        <v>1148</v>
      </c>
      <c r="B115" s="219" t="s">
        <v>892</v>
      </c>
      <c r="C115" s="219" t="s">
        <v>865</v>
      </c>
      <c r="D115" s="13">
        <f>'Run Parameters'!$B$1 + ROW()-1</f>
        <v>756</v>
      </c>
      <c r="E115" s="15" t="s">
        <v>47</v>
      </c>
      <c r="F115" s="13" t="s">
        <v>1141</v>
      </c>
      <c r="G115" s="13" t="str">
        <f t="shared" si="124"/>
        <v>Access Dtls-756</v>
      </c>
      <c r="H115" s="15" t="s">
        <v>275</v>
      </c>
      <c r="I115" s="13" t="str">
        <f>("MR. Test_226_INST8_"&amp;D115&amp;"")</f>
        <v>MR. Test_226_INST8_756</v>
      </c>
      <c r="J115" s="13"/>
      <c r="K115" s="19" t="s">
        <v>425</v>
      </c>
      <c r="L115" s="13" t="str">
        <f t="shared" si="125"/>
        <v>Cust. Ref-756</v>
      </c>
      <c r="M115" s="15" t="s">
        <v>48</v>
      </c>
      <c r="N115" s="15" t="s">
        <v>425</v>
      </c>
      <c r="O115" s="13"/>
      <c r="P115" s="13" t="str">
        <f t="shared" si="126"/>
        <v>SN-756</v>
      </c>
      <c r="Q115" s="13" t="str">
        <f t="shared" si="127"/>
        <v>SI-756</v>
      </c>
      <c r="R115" s="13" t="str">
        <f t="shared" si="128"/>
        <v>SE-756</v>
      </c>
      <c r="S115" s="135" t="str">
        <f t="shared" si="129"/>
        <v>Prev_RA-756</v>
      </c>
      <c r="T115" s="135" t="str">
        <f t="shared" si="130"/>
        <v>Prev_Comms-756</v>
      </c>
      <c r="U115" s="15" t="s">
        <v>75</v>
      </c>
      <c r="V115" s="15" t="s">
        <v>401</v>
      </c>
      <c r="W115" s="15" t="s">
        <v>75</v>
      </c>
      <c r="X115" s="15" t="s">
        <v>1093</v>
      </c>
      <c r="Y115" s="13" t="str">
        <f t="shared" si="131"/>
        <v>Forward Add-756</v>
      </c>
      <c r="Z115" s="15" t="s">
        <v>401</v>
      </c>
      <c r="AA115" s="136" t="str">
        <f>'Run Parameters'!$B$2</f>
        <v>2018-08-13 08:00</v>
      </c>
      <c r="AB115" s="223" t="str">
        <f>'Run Parameters'!B$3</f>
        <v>2018-08-13 18:00</v>
      </c>
      <c r="AC115" s="26">
        <f>('Run Parameters'!$B$2) - 7</f>
        <v>43318.333333333336</v>
      </c>
      <c r="AD115" s="15" t="s">
        <v>75</v>
      </c>
      <c r="AE115" s="13" t="str">
        <f t="shared" si="132"/>
        <v>LAST_METER-756</v>
      </c>
      <c r="AF115" s="136" t="str">
        <f>'Run Parameters'!$B$2</f>
        <v>2018-08-13 08:00</v>
      </c>
      <c r="AG115" s="13" t="str">
        <f>'Run Parameters'!B$4</f>
        <v>AUTOTEST2</v>
      </c>
      <c r="AH115" s="135" t="str">
        <f t="shared" si="133"/>
        <v>Site_Contact_756</v>
      </c>
      <c r="AI115" s="136" t="str">
        <f>'Run Parameters'!B$2</f>
        <v>2018-08-13 08:00</v>
      </c>
      <c r="AJ115" s="223" t="str">
        <f>'Run Parameters'!B$3</f>
        <v>2018-08-13 18:00</v>
      </c>
      <c r="AK115" s="13" t="s">
        <v>1093</v>
      </c>
      <c r="AL115" s="135" t="str">
        <f t="shared" si="134"/>
        <v>01159756</v>
      </c>
      <c r="AM115" s="13" t="str">
        <f t="shared" si="135"/>
        <v>0115756</v>
      </c>
      <c r="AN115" s="15"/>
      <c r="AO115" s="15"/>
      <c r="AP115" s="13">
        <v>1</v>
      </c>
      <c r="AQ115" s="15" t="s">
        <v>49</v>
      </c>
      <c r="AR115" s="15"/>
      <c r="AS115" s="13"/>
      <c r="AT115" s="15" t="s">
        <v>1114</v>
      </c>
      <c r="AU115" s="15"/>
      <c r="AV115" s="13">
        <f t="shared" si="136"/>
        <v>756</v>
      </c>
      <c r="AW115" s="13" t="s">
        <v>1139</v>
      </c>
      <c r="AX115" s="13" t="s">
        <v>420</v>
      </c>
      <c r="AY115" s="13" t="s">
        <v>421</v>
      </c>
      <c r="AZ115" s="15" t="s">
        <v>334</v>
      </c>
      <c r="BA115" s="15" t="s">
        <v>154</v>
      </c>
      <c r="BB115" s="13">
        <v>1</v>
      </c>
      <c r="BC115" s="13">
        <f t="shared" si="137"/>
        <v>756</v>
      </c>
      <c r="BD115" s="17" t="s">
        <v>1140</v>
      </c>
      <c r="BE115" s="15" t="s">
        <v>390</v>
      </c>
      <c r="BF115" s="16" t="s">
        <v>391</v>
      </c>
      <c r="BG115" s="13" t="s">
        <v>1141</v>
      </c>
      <c r="BH115" s="13" t="str">
        <f t="shared" si="138"/>
        <v>756_1</v>
      </c>
      <c r="BI115" s="13"/>
      <c r="BJ115" s="13" t="str">
        <f t="shared" si="139"/>
        <v>10000000756</v>
      </c>
      <c r="BK115" s="15" t="s">
        <v>51</v>
      </c>
      <c r="BL115" s="15" t="s">
        <v>54</v>
      </c>
      <c r="BM115" s="13"/>
      <c r="BN115" s="15" t="s">
        <v>49</v>
      </c>
      <c r="BO115" s="13"/>
      <c r="BP115" s="15"/>
      <c r="BQ115" s="15"/>
      <c r="BR115" s="13"/>
      <c r="BS115" s="15"/>
      <c r="BT115" s="15"/>
      <c r="BU115" s="15"/>
      <c r="BV115" s="15"/>
      <c r="BW115" s="15"/>
      <c r="BX115" s="15"/>
      <c r="BY115" s="15"/>
      <c r="BZ115" s="15"/>
      <c r="CA115" s="15"/>
      <c r="CB115" s="15"/>
      <c r="CC115" s="15"/>
      <c r="CD115" s="15" t="s">
        <v>392</v>
      </c>
      <c r="CE115" s="15" t="s">
        <v>1093</v>
      </c>
      <c r="CF115" s="15" t="s">
        <v>398</v>
      </c>
      <c r="CG115" s="17" t="s">
        <v>1142</v>
      </c>
      <c r="CH115" s="15" t="s">
        <v>159</v>
      </c>
      <c r="CI115" s="13"/>
      <c r="CJ115" s="13"/>
      <c r="CK115" s="15"/>
      <c r="CL115" s="15"/>
      <c r="CM115" s="15"/>
      <c r="CN115" s="13"/>
      <c r="CO115" s="13"/>
      <c r="CP115" s="15"/>
      <c r="CQ115" s="13"/>
      <c r="CR115" s="13"/>
      <c r="CS115" s="15"/>
      <c r="CT115" s="227"/>
      <c r="CU115" s="13"/>
      <c r="CV115" s="15"/>
      <c r="CW115" s="15"/>
      <c r="CX115" s="15"/>
      <c r="CY115" s="15"/>
      <c r="CZ115" s="15"/>
      <c r="DA115" s="15"/>
      <c r="DB115" s="13"/>
      <c r="DC115" s="15"/>
      <c r="DD115" s="15"/>
      <c r="DE115" s="15"/>
      <c r="DF115" s="15"/>
      <c r="DG115" s="15"/>
      <c r="DH115" s="15"/>
      <c r="DI115" s="15"/>
      <c r="DJ115" s="15"/>
      <c r="DK115" s="15"/>
      <c r="DL115" s="228"/>
      <c r="DM115" s="228"/>
      <c r="DN115" s="13" t="str">
        <f t="shared" si="141"/>
        <v>DS_Pass-756</v>
      </c>
      <c r="DO115" s="15"/>
      <c r="DP115" s="15"/>
      <c r="DQ115" s="15"/>
      <c r="DR115" s="13"/>
      <c r="DS115" s="13"/>
      <c r="DT115" s="15"/>
      <c r="DU115" s="15"/>
      <c r="DV115" s="15"/>
      <c r="DW115" s="13"/>
      <c r="DX115" s="15"/>
      <c r="DY115" s="15"/>
      <c r="DZ115" s="15" t="s">
        <v>402</v>
      </c>
      <c r="EA115" s="135"/>
      <c r="EB115" s="15"/>
      <c r="EC115" s="228"/>
      <c r="ED115" s="228"/>
      <c r="EE115" s="228"/>
    </row>
    <row r="116" spans="1:136">
      <c r="A116" s="219" t="s">
        <v>869</v>
      </c>
      <c r="B116" s="219" t="s">
        <v>892</v>
      </c>
      <c r="C116" s="219" t="s">
        <v>865</v>
      </c>
      <c r="D116" s="13">
        <f>'Run Parameters'!$B$1 + ROW()-1</f>
        <v>757</v>
      </c>
      <c r="E116" s="15" t="s">
        <v>47</v>
      </c>
      <c r="F116" s="18" t="s">
        <v>766</v>
      </c>
      <c r="G116" s="13" t="str">
        <f t="shared" ref="G116:G150" si="142">("Access Dtls-" &amp; D116)</f>
        <v>Access Dtls-757</v>
      </c>
      <c r="H116" s="15" t="s">
        <v>275</v>
      </c>
      <c r="I116" s="13" t="str">
        <f>("MR. Test_107_EXCH3_"&amp;D116&amp;"")</f>
        <v>MR. Test_107_EXCH3_757</v>
      </c>
      <c r="J116" s="18"/>
      <c r="K116" s="19" t="s">
        <v>425</v>
      </c>
      <c r="L116" s="13" t="str">
        <f t="shared" ref="L116:L150" si="143">("Cust. Ref-" &amp; D116)</f>
        <v>Cust. Ref-757</v>
      </c>
      <c r="M116" s="15" t="s">
        <v>48</v>
      </c>
      <c r="N116" s="15" t="s">
        <v>425</v>
      </c>
      <c r="O116" s="13"/>
      <c r="P116" s="13" t="str">
        <f t="shared" ref="P116:P150" si="144">("SN-" &amp; D116)</f>
        <v>SN-757</v>
      </c>
      <c r="Q116" s="13" t="str">
        <f t="shared" ref="Q116:Q150" si="145">("SI-" &amp; D116)</f>
        <v>SI-757</v>
      </c>
      <c r="R116" s="13" t="str">
        <f t="shared" ref="R116:R150" si="146">("SE-" &amp; D116)</f>
        <v>SE-757</v>
      </c>
      <c r="S116" s="54" t="str">
        <f t="shared" ref="S116:S150" si="147">("Prev_RA-" &amp; D116)</f>
        <v>Prev_RA-757</v>
      </c>
      <c r="T116" s="54" t="str">
        <f t="shared" ref="T116:T150" si="148">("Prev_Comms-" &amp; D116)</f>
        <v>Prev_Comms-757</v>
      </c>
      <c r="U116" s="17" t="s">
        <v>75</v>
      </c>
      <c r="V116" s="15" t="s">
        <v>401</v>
      </c>
      <c r="W116" s="17" t="s">
        <v>75</v>
      </c>
      <c r="X116" s="15" t="s">
        <v>396</v>
      </c>
      <c r="Y116" s="13" t="str">
        <f t="shared" ref="Y116:Y150" si="149">("Forward Add-" &amp; D116)</f>
        <v>Forward Add-757</v>
      </c>
      <c r="Z116" s="15" t="s">
        <v>401</v>
      </c>
      <c r="AA116" s="136" t="str">
        <f>'Run Parameters'!$B$2</f>
        <v>2018-08-13 08:00</v>
      </c>
      <c r="AB116" s="223" t="str">
        <f>'Run Parameters'!B$3</f>
        <v>2018-08-13 18:00</v>
      </c>
      <c r="AC116" s="26">
        <f>('Run Parameters'!$B$2) - 7</f>
        <v>43318.333333333336</v>
      </c>
      <c r="AD116" s="17" t="s">
        <v>75</v>
      </c>
      <c r="AE116" s="18" t="str">
        <f t="shared" ref="AE116:AE150" si="150">("LAST_METER-" &amp; D116)</f>
        <v>LAST_METER-757</v>
      </c>
      <c r="AF116" s="136" t="str">
        <f>'Run Parameters'!$B$2</f>
        <v>2018-08-13 08:00</v>
      </c>
      <c r="AG116" s="13" t="str">
        <f>'Run Parameters'!B$4</f>
        <v>AUTOTEST2</v>
      </c>
      <c r="AH116" s="54" t="str">
        <f t="shared" ref="AH116:AH150" si="151">("Site_Contact_" &amp; D116)</f>
        <v>Site_Contact_757</v>
      </c>
      <c r="AI116" s="136" t="str">
        <f>'Run Parameters'!B$2</f>
        <v>2018-08-13 08:00</v>
      </c>
      <c r="AJ116" s="223" t="str">
        <f>'Run Parameters'!B$3</f>
        <v>2018-08-13 18:00</v>
      </c>
      <c r="AK116" s="13" t="s">
        <v>396</v>
      </c>
      <c r="AL116" s="54" t="str">
        <f t="shared" ref="AL116:AL150" si="152">"01159" &amp; D116</f>
        <v>01159757</v>
      </c>
      <c r="AM116" s="13" t="str">
        <f t="shared" ref="AM116:AM150" si="153">("0115" &amp; D116)</f>
        <v>0115757</v>
      </c>
      <c r="AN116" s="15"/>
      <c r="AO116" s="52"/>
      <c r="AP116" s="13">
        <v>1</v>
      </c>
      <c r="AQ116" s="53" t="s">
        <v>49</v>
      </c>
      <c r="AR116" s="15"/>
      <c r="AS116" s="13"/>
      <c r="AT116" s="7" t="s">
        <v>400</v>
      </c>
      <c r="AU116" s="7"/>
      <c r="AV116" s="13">
        <f t="shared" ref="AV116:AV150" si="154">D116</f>
        <v>757</v>
      </c>
      <c r="AW116" s="13" t="s">
        <v>767</v>
      </c>
      <c r="AX116" s="13" t="s">
        <v>420</v>
      </c>
      <c r="AY116" s="13" t="s">
        <v>421</v>
      </c>
      <c r="AZ116" s="15" t="s">
        <v>334</v>
      </c>
      <c r="BA116" s="14" t="s">
        <v>154</v>
      </c>
      <c r="BB116" s="21">
        <v>1</v>
      </c>
      <c r="BC116" s="20">
        <f t="shared" ref="BC116:BC150" si="155">D116</f>
        <v>757</v>
      </c>
      <c r="BD116" s="16" t="s">
        <v>768</v>
      </c>
      <c r="BE116" s="16" t="s">
        <v>391</v>
      </c>
      <c r="BF116" s="16" t="s">
        <v>390</v>
      </c>
      <c r="BG116" s="20" t="s">
        <v>766</v>
      </c>
      <c r="BH116" s="20" t="str">
        <f t="shared" ref="BH116:BH150" si="156">BC116&amp;"_"&amp;BB116</f>
        <v>757_1</v>
      </c>
      <c r="BI116" s="21"/>
      <c r="BJ116" s="21" t="str">
        <f t="shared" ref="BJ116:BJ150" si="157">"10000000" &amp; D116</f>
        <v>10000000757</v>
      </c>
      <c r="BK116" s="16" t="s">
        <v>51</v>
      </c>
      <c r="BL116" s="16" t="s">
        <v>54</v>
      </c>
      <c r="BM116" s="20" t="s">
        <v>769</v>
      </c>
      <c r="BN116" s="16" t="s">
        <v>51</v>
      </c>
      <c r="BO116" s="20" t="str">
        <f t="shared" ref="BO116:BO150" si="158">"S05S" &amp; D116</f>
        <v>S05S757</v>
      </c>
      <c r="BP116" s="16" t="s">
        <v>770</v>
      </c>
      <c r="BQ116" s="16" t="s">
        <v>770</v>
      </c>
      <c r="BR116" s="20" t="s">
        <v>161</v>
      </c>
      <c r="BS116" s="16" t="s">
        <v>50</v>
      </c>
      <c r="BT116" s="16" t="s">
        <v>47</v>
      </c>
      <c r="BU116" s="16" t="s">
        <v>393</v>
      </c>
      <c r="BV116" s="16" t="s">
        <v>51</v>
      </c>
      <c r="BW116" s="16" t="s">
        <v>154</v>
      </c>
      <c r="BX116" s="16"/>
      <c r="BY116" s="16"/>
      <c r="BZ116" s="16" t="s">
        <v>157</v>
      </c>
      <c r="CA116" s="16" t="s">
        <v>269</v>
      </c>
      <c r="CB116" s="16" t="s">
        <v>412</v>
      </c>
      <c r="CC116" s="16" t="s">
        <v>771</v>
      </c>
      <c r="CD116" s="16" t="s">
        <v>392</v>
      </c>
      <c r="CE116" s="16" t="s">
        <v>396</v>
      </c>
      <c r="CF116" s="16" t="s">
        <v>398</v>
      </c>
      <c r="CG116" s="16" t="s">
        <v>267</v>
      </c>
      <c r="CH116" s="16" t="s">
        <v>159</v>
      </c>
      <c r="CI116" s="6">
        <v>1</v>
      </c>
      <c r="CJ116" s="6" t="str">
        <f t="shared" ref="CJ116:CJ127" si="159">("GAS_ENQ_NO-" &amp; D116)</f>
        <v>GAS_ENQ_NO-757</v>
      </c>
      <c r="CK116" s="7" t="s">
        <v>165</v>
      </c>
      <c r="CL116" s="7" t="s">
        <v>391</v>
      </c>
      <c r="CM116" s="7" t="s">
        <v>390</v>
      </c>
      <c r="CN116" s="6" t="s">
        <v>278</v>
      </c>
      <c r="CO116" s="6" t="str">
        <f t="shared" ref="CO116:CO127" si="160">("GAS_JOB_ID-" &amp; D116)</f>
        <v>GAS_JOB_ID-757</v>
      </c>
      <c r="CP116" s="7"/>
      <c r="CQ116" s="6" t="str">
        <f t="shared" ref="CQ116:CQ127" si="161">"10000" &amp; D116</f>
        <v>10000757</v>
      </c>
      <c r="CR116" s="6" t="s">
        <v>154</v>
      </c>
      <c r="CS116" s="7" t="s">
        <v>51</v>
      </c>
      <c r="CT116" s="27" t="str">
        <f t="shared" ref="CT116:CT127" si="162">"GMETER" &amp; D116</f>
        <v>GMETER757</v>
      </c>
      <c r="CU116" s="6" t="s">
        <v>161</v>
      </c>
      <c r="CV116" s="7" t="s">
        <v>165</v>
      </c>
      <c r="CW116" s="7" t="s">
        <v>772</v>
      </c>
      <c r="CX116" s="7"/>
      <c r="CY116" s="7"/>
      <c r="CZ116" s="7" t="s">
        <v>394</v>
      </c>
      <c r="DA116" s="7" t="s">
        <v>395</v>
      </c>
      <c r="DB116" s="6" t="str">
        <f t="shared" ref="DB116:DB228" si="163">("GAS_INST_ID-" &amp; $D116)</f>
        <v>GAS_INST_ID-757</v>
      </c>
      <c r="DC116" s="7" t="s">
        <v>161</v>
      </c>
      <c r="DD116" s="7"/>
      <c r="DE116" s="7" t="s">
        <v>51</v>
      </c>
      <c r="DF116" s="7" t="s">
        <v>264</v>
      </c>
      <c r="DG116" s="7"/>
      <c r="DH116" s="7" t="s">
        <v>397</v>
      </c>
      <c r="DI116" s="7" t="s">
        <v>399</v>
      </c>
      <c r="DJ116" s="10" t="s">
        <v>267</v>
      </c>
      <c r="DK116" s="7" t="s">
        <v>140</v>
      </c>
      <c r="DL116" s="40"/>
      <c r="DM116" s="40"/>
      <c r="DN116" s="38" t="str">
        <f t="shared" ref="DN116:DN228" si="164">("DS_Pass-" &amp; $D116)</f>
        <v>DS_Pass-757</v>
      </c>
      <c r="DO116" s="40"/>
      <c r="DP116" s="40"/>
      <c r="DQ116" s="40"/>
      <c r="DR116" s="41"/>
      <c r="DS116" s="41"/>
      <c r="DT116" s="40"/>
      <c r="DU116" s="40"/>
      <c r="DV116" s="40"/>
      <c r="DW116" s="41"/>
      <c r="DX116" s="40"/>
      <c r="DY116" s="40"/>
      <c r="DZ116" s="37" t="s">
        <v>770</v>
      </c>
      <c r="EA116" s="39"/>
      <c r="EB116" s="37"/>
      <c r="EC116" s="37"/>
      <c r="ED116" s="16"/>
      <c r="EE116" s="1"/>
      <c r="EF116" s="55"/>
    </row>
    <row r="117" spans="1:136">
      <c r="A117" s="219" t="s">
        <v>870</v>
      </c>
      <c r="B117" s="219" t="s">
        <v>868</v>
      </c>
      <c r="C117" s="219" t="s">
        <v>865</v>
      </c>
      <c r="D117" s="13">
        <f>'Run Parameters'!$B$1 + ROW()-1</f>
        <v>758</v>
      </c>
      <c r="E117" s="15" t="s">
        <v>47</v>
      </c>
      <c r="F117" s="18" t="s">
        <v>766</v>
      </c>
      <c r="G117" s="13" t="str">
        <f t="shared" si="142"/>
        <v>Access Dtls-758</v>
      </c>
      <c r="H117" s="15" t="s">
        <v>275</v>
      </c>
      <c r="I117" s="13" t="str">
        <f>("MR. Test_108_EXCH3_"&amp;D117&amp;"")</f>
        <v>MR. Test_108_EXCH3_758</v>
      </c>
      <c r="J117" s="18"/>
      <c r="K117" s="19" t="s">
        <v>425</v>
      </c>
      <c r="L117" s="13" t="str">
        <f t="shared" si="143"/>
        <v>Cust. Ref-758</v>
      </c>
      <c r="M117" s="15" t="s">
        <v>48</v>
      </c>
      <c r="N117" s="15" t="s">
        <v>425</v>
      </c>
      <c r="O117" s="13"/>
      <c r="P117" s="13" t="str">
        <f t="shared" si="144"/>
        <v>SN-758</v>
      </c>
      <c r="Q117" s="13" t="str">
        <f t="shared" si="145"/>
        <v>SI-758</v>
      </c>
      <c r="R117" s="13" t="str">
        <f t="shared" si="146"/>
        <v>SE-758</v>
      </c>
      <c r="S117" s="54" t="str">
        <f t="shared" si="147"/>
        <v>Prev_RA-758</v>
      </c>
      <c r="T117" s="54" t="str">
        <f t="shared" si="148"/>
        <v>Prev_Comms-758</v>
      </c>
      <c r="U117" s="17" t="s">
        <v>75</v>
      </c>
      <c r="V117" s="15" t="s">
        <v>401</v>
      </c>
      <c r="W117" s="17" t="s">
        <v>75</v>
      </c>
      <c r="X117" s="15" t="s">
        <v>396</v>
      </c>
      <c r="Y117" s="13" t="str">
        <f t="shared" si="149"/>
        <v>Forward Add-758</v>
      </c>
      <c r="Z117" s="15" t="s">
        <v>401</v>
      </c>
      <c r="AA117" s="136" t="str">
        <f>'Run Parameters'!$B$2</f>
        <v>2018-08-13 08:00</v>
      </c>
      <c r="AB117" s="223" t="str">
        <f>'Run Parameters'!B$3</f>
        <v>2018-08-13 18:00</v>
      </c>
      <c r="AC117" s="26">
        <f>('Run Parameters'!$B$2) - 7</f>
        <v>43318.333333333336</v>
      </c>
      <c r="AD117" s="17" t="s">
        <v>75</v>
      </c>
      <c r="AE117" s="18" t="str">
        <f t="shared" si="150"/>
        <v>LAST_METER-758</v>
      </c>
      <c r="AF117" s="136" t="str">
        <f>'Run Parameters'!$B$2</f>
        <v>2018-08-13 08:00</v>
      </c>
      <c r="AG117" s="13" t="str">
        <f>'Run Parameters'!B$4</f>
        <v>AUTOTEST2</v>
      </c>
      <c r="AH117" s="54" t="str">
        <f t="shared" si="151"/>
        <v>Site_Contact_758</v>
      </c>
      <c r="AI117" s="136" t="str">
        <f>'Run Parameters'!B$2</f>
        <v>2018-08-13 08:00</v>
      </c>
      <c r="AJ117" s="223" t="str">
        <f>'Run Parameters'!B$3</f>
        <v>2018-08-13 18:00</v>
      </c>
      <c r="AK117" s="13" t="s">
        <v>396</v>
      </c>
      <c r="AL117" s="54" t="str">
        <f t="shared" si="152"/>
        <v>01159758</v>
      </c>
      <c r="AM117" s="13" t="str">
        <f t="shared" si="153"/>
        <v>0115758</v>
      </c>
      <c r="AN117" s="15"/>
      <c r="AO117" s="52"/>
      <c r="AP117" s="13">
        <v>1</v>
      </c>
      <c r="AQ117" s="53" t="s">
        <v>49</v>
      </c>
      <c r="AR117" s="15"/>
      <c r="AS117" s="13"/>
      <c r="AT117" s="7" t="s">
        <v>400</v>
      </c>
      <c r="AU117" s="7"/>
      <c r="AV117" s="13">
        <f t="shared" si="154"/>
        <v>758</v>
      </c>
      <c r="AW117" s="13" t="s">
        <v>767</v>
      </c>
      <c r="AX117" s="13" t="s">
        <v>420</v>
      </c>
      <c r="AY117" s="13" t="s">
        <v>421</v>
      </c>
      <c r="AZ117" s="15" t="s">
        <v>334</v>
      </c>
      <c r="BA117" s="14" t="s">
        <v>154</v>
      </c>
      <c r="BB117" s="21">
        <v>1</v>
      </c>
      <c r="BC117" s="20">
        <f t="shared" si="155"/>
        <v>758</v>
      </c>
      <c r="BD117" s="16" t="s">
        <v>768</v>
      </c>
      <c r="BE117" s="16" t="s">
        <v>391</v>
      </c>
      <c r="BF117" s="16" t="s">
        <v>390</v>
      </c>
      <c r="BG117" s="20" t="s">
        <v>766</v>
      </c>
      <c r="BH117" s="20" t="str">
        <f t="shared" si="156"/>
        <v>758_1</v>
      </c>
      <c r="BI117" s="21"/>
      <c r="BJ117" s="21" t="str">
        <f t="shared" si="157"/>
        <v>10000000758</v>
      </c>
      <c r="BK117" s="16" t="s">
        <v>51</v>
      </c>
      <c r="BL117" s="16" t="s">
        <v>54</v>
      </c>
      <c r="BM117" s="20" t="s">
        <v>769</v>
      </c>
      <c r="BN117" s="16" t="s">
        <v>51</v>
      </c>
      <c r="BO117" s="20" t="str">
        <f t="shared" si="158"/>
        <v>S05S758</v>
      </c>
      <c r="BP117" s="16" t="s">
        <v>770</v>
      </c>
      <c r="BQ117" s="16" t="s">
        <v>770</v>
      </c>
      <c r="BR117" s="20" t="s">
        <v>161</v>
      </c>
      <c r="BS117" s="16" t="s">
        <v>50</v>
      </c>
      <c r="BT117" s="16" t="s">
        <v>47</v>
      </c>
      <c r="BU117" s="16" t="s">
        <v>393</v>
      </c>
      <c r="BV117" s="16" t="s">
        <v>51</v>
      </c>
      <c r="BW117" s="16" t="s">
        <v>154</v>
      </c>
      <c r="BX117" s="16"/>
      <c r="BY117" s="16"/>
      <c r="BZ117" s="16" t="s">
        <v>157</v>
      </c>
      <c r="CA117" s="16" t="s">
        <v>269</v>
      </c>
      <c r="CB117" s="16" t="s">
        <v>412</v>
      </c>
      <c r="CC117" s="16" t="s">
        <v>771</v>
      </c>
      <c r="CD117" s="16" t="s">
        <v>392</v>
      </c>
      <c r="CE117" s="16" t="s">
        <v>396</v>
      </c>
      <c r="CF117" s="16" t="s">
        <v>398</v>
      </c>
      <c r="CG117" s="16" t="s">
        <v>267</v>
      </c>
      <c r="CH117" s="16" t="s">
        <v>159</v>
      </c>
      <c r="CI117" s="6">
        <v>1</v>
      </c>
      <c r="CJ117" s="6" t="str">
        <f t="shared" si="159"/>
        <v>GAS_ENQ_NO-758</v>
      </c>
      <c r="CK117" s="7" t="s">
        <v>165</v>
      </c>
      <c r="CL117" s="7" t="s">
        <v>391</v>
      </c>
      <c r="CM117" s="7" t="s">
        <v>390</v>
      </c>
      <c r="CN117" s="6" t="s">
        <v>278</v>
      </c>
      <c r="CO117" s="6" t="str">
        <f t="shared" si="160"/>
        <v>GAS_JOB_ID-758</v>
      </c>
      <c r="CP117" s="7"/>
      <c r="CQ117" s="6" t="str">
        <f t="shared" si="161"/>
        <v>10000758</v>
      </c>
      <c r="CR117" s="6" t="s">
        <v>154</v>
      </c>
      <c r="CS117" s="7" t="s">
        <v>51</v>
      </c>
      <c r="CT117" s="27" t="str">
        <f t="shared" si="162"/>
        <v>GMETER758</v>
      </c>
      <c r="CU117" s="6" t="s">
        <v>161</v>
      </c>
      <c r="CV117" s="7" t="s">
        <v>165</v>
      </c>
      <c r="CW117" s="7" t="s">
        <v>772</v>
      </c>
      <c r="CX117" s="7"/>
      <c r="CY117" s="7"/>
      <c r="CZ117" s="7" t="s">
        <v>394</v>
      </c>
      <c r="DA117" s="7" t="s">
        <v>395</v>
      </c>
      <c r="DB117" s="6" t="str">
        <f t="shared" si="163"/>
        <v>GAS_INST_ID-758</v>
      </c>
      <c r="DC117" s="7" t="s">
        <v>161</v>
      </c>
      <c r="DD117" s="7"/>
      <c r="DE117" s="7" t="s">
        <v>51</v>
      </c>
      <c r="DF117" s="7" t="s">
        <v>264</v>
      </c>
      <c r="DG117" s="7"/>
      <c r="DH117" s="7" t="s">
        <v>397</v>
      </c>
      <c r="DI117" s="7" t="s">
        <v>399</v>
      </c>
      <c r="DJ117" s="10" t="s">
        <v>267</v>
      </c>
      <c r="DK117" s="7" t="s">
        <v>140</v>
      </c>
      <c r="DL117" s="40"/>
      <c r="DM117" s="40"/>
      <c r="DN117" s="38" t="str">
        <f t="shared" si="164"/>
        <v>DS_Pass-758</v>
      </c>
      <c r="DO117" s="40"/>
      <c r="DP117" s="40"/>
      <c r="DQ117" s="40"/>
      <c r="DR117" s="41"/>
      <c r="DS117" s="41"/>
      <c r="DT117" s="40"/>
      <c r="DU117" s="40"/>
      <c r="DV117" s="40"/>
      <c r="DW117" s="41"/>
      <c r="DX117" s="40"/>
      <c r="DY117" s="40"/>
      <c r="DZ117" s="37" t="s">
        <v>770</v>
      </c>
      <c r="EA117" s="39"/>
      <c r="EB117" s="37"/>
      <c r="EC117" s="37"/>
      <c r="ED117" s="16"/>
      <c r="EE117" s="1"/>
      <c r="EF117" s="55"/>
    </row>
    <row r="118" spans="1:136">
      <c r="A118" s="219" t="s">
        <v>871</v>
      </c>
      <c r="B118" s="219" t="s">
        <v>892</v>
      </c>
      <c r="C118" s="219" t="s">
        <v>865</v>
      </c>
      <c r="D118" s="13">
        <f>'Run Parameters'!$B$1 + ROW()-1</f>
        <v>759</v>
      </c>
      <c r="E118" s="15" t="s">
        <v>47</v>
      </c>
      <c r="F118" s="18" t="s">
        <v>766</v>
      </c>
      <c r="G118" s="13" t="str">
        <f t="shared" si="142"/>
        <v>Access Dtls-759</v>
      </c>
      <c r="H118" s="15" t="s">
        <v>275</v>
      </c>
      <c r="I118" s="13" t="str">
        <f>("MR. Test_109_EXCH3_"&amp;D118&amp;"")</f>
        <v>MR. Test_109_EXCH3_759</v>
      </c>
      <c r="J118" s="18"/>
      <c r="K118" s="19" t="s">
        <v>425</v>
      </c>
      <c r="L118" s="13" t="str">
        <f t="shared" si="143"/>
        <v>Cust. Ref-759</v>
      </c>
      <c r="M118" s="15" t="s">
        <v>48</v>
      </c>
      <c r="N118" s="15" t="s">
        <v>425</v>
      </c>
      <c r="O118" s="13"/>
      <c r="P118" s="13" t="str">
        <f t="shared" si="144"/>
        <v>SN-759</v>
      </c>
      <c r="Q118" s="13" t="str">
        <f t="shared" ref="Q118:Q127" si="165">("SI-" &amp; D118)</f>
        <v>SI-759</v>
      </c>
      <c r="R118" s="13" t="str">
        <f t="shared" ref="R118:R127" si="166">("SE-" &amp; D118)</f>
        <v>SE-759</v>
      </c>
      <c r="S118" s="54" t="str">
        <f t="shared" ref="S118:S127" si="167">("Prev_RA-" &amp; D118)</f>
        <v>Prev_RA-759</v>
      </c>
      <c r="T118" s="54" t="str">
        <f t="shared" ref="T118:T127" si="168">("Prev_Comms-" &amp; D118)</f>
        <v>Prev_Comms-759</v>
      </c>
      <c r="U118" s="17" t="s">
        <v>75</v>
      </c>
      <c r="V118" s="15" t="s">
        <v>401</v>
      </c>
      <c r="W118" s="17" t="s">
        <v>75</v>
      </c>
      <c r="X118" s="15" t="s">
        <v>396</v>
      </c>
      <c r="Y118" s="13" t="str">
        <f t="shared" ref="Y118:Y127" si="169">("Forward Add-" &amp; D118)</f>
        <v>Forward Add-759</v>
      </c>
      <c r="Z118" s="15" t="s">
        <v>401</v>
      </c>
      <c r="AA118" s="136" t="str">
        <f>'Run Parameters'!$B$2</f>
        <v>2018-08-13 08:00</v>
      </c>
      <c r="AB118" s="223" t="str">
        <f>'Run Parameters'!B$3</f>
        <v>2018-08-13 18:00</v>
      </c>
      <c r="AC118" s="26">
        <f>('Run Parameters'!$B$2) - 7</f>
        <v>43318.333333333336</v>
      </c>
      <c r="AD118" s="17" t="s">
        <v>75</v>
      </c>
      <c r="AE118" s="18" t="str">
        <f t="shared" ref="AE118:AE127" si="170">("LAST_METER-" &amp; D118)</f>
        <v>LAST_METER-759</v>
      </c>
      <c r="AF118" s="136" t="str">
        <f>'Run Parameters'!$B$2</f>
        <v>2018-08-13 08:00</v>
      </c>
      <c r="AG118" s="13" t="str">
        <f>'Run Parameters'!B$4</f>
        <v>AUTOTEST2</v>
      </c>
      <c r="AH118" s="54" t="str">
        <f t="shared" ref="AH118:AH127" si="171">("Site_Contact_" &amp; D118)</f>
        <v>Site_Contact_759</v>
      </c>
      <c r="AI118" s="136" t="str">
        <f>'Run Parameters'!B$2</f>
        <v>2018-08-13 08:00</v>
      </c>
      <c r="AJ118" s="223" t="str">
        <f>'Run Parameters'!B$3</f>
        <v>2018-08-13 18:00</v>
      </c>
      <c r="AK118" s="13" t="s">
        <v>396</v>
      </c>
      <c r="AL118" s="54" t="str">
        <f t="shared" ref="AL118:AL127" si="172">"01159" &amp; D118</f>
        <v>01159759</v>
      </c>
      <c r="AM118" s="13" t="str">
        <f t="shared" ref="AM118:AM127" si="173">("0115" &amp; D118)</f>
        <v>0115759</v>
      </c>
      <c r="AN118" s="15"/>
      <c r="AO118" s="52"/>
      <c r="AP118" s="13">
        <v>1</v>
      </c>
      <c r="AQ118" s="53" t="s">
        <v>49</v>
      </c>
      <c r="AR118" s="15"/>
      <c r="AS118" s="13"/>
      <c r="AT118" s="7" t="s">
        <v>400</v>
      </c>
      <c r="AU118" s="7"/>
      <c r="AV118" s="13">
        <f t="shared" ref="AV118:AV127" si="174">D118</f>
        <v>759</v>
      </c>
      <c r="AW118" s="13" t="s">
        <v>767</v>
      </c>
      <c r="AX118" s="13" t="s">
        <v>420</v>
      </c>
      <c r="AY118" s="13" t="s">
        <v>421</v>
      </c>
      <c r="AZ118" s="15" t="s">
        <v>334</v>
      </c>
      <c r="BA118" s="14" t="s">
        <v>154</v>
      </c>
      <c r="BB118" s="21">
        <v>1</v>
      </c>
      <c r="BC118" s="20">
        <f t="shared" si="155"/>
        <v>759</v>
      </c>
      <c r="BD118" s="16" t="s">
        <v>768</v>
      </c>
      <c r="BE118" s="16" t="s">
        <v>391</v>
      </c>
      <c r="BF118" s="16" t="s">
        <v>390</v>
      </c>
      <c r="BG118" s="20" t="s">
        <v>766</v>
      </c>
      <c r="BH118" s="20" t="str">
        <f t="shared" ref="BH118:BH127" si="175">BC118&amp;"_"&amp;BB118</f>
        <v>759_1</v>
      </c>
      <c r="BI118" s="21"/>
      <c r="BJ118" s="21" t="str">
        <f t="shared" ref="BJ118:BJ127" si="176">"10000000" &amp; D118</f>
        <v>10000000759</v>
      </c>
      <c r="BK118" s="16" t="s">
        <v>51</v>
      </c>
      <c r="BL118" s="16" t="s">
        <v>54</v>
      </c>
      <c r="BM118" s="20" t="s">
        <v>769</v>
      </c>
      <c r="BN118" s="16" t="s">
        <v>51</v>
      </c>
      <c r="BO118" s="20" t="str">
        <f t="shared" ref="BO118:BO127" si="177">"S05S" &amp; D118</f>
        <v>S05S759</v>
      </c>
      <c r="BP118" s="16" t="s">
        <v>770</v>
      </c>
      <c r="BQ118" s="16" t="s">
        <v>770</v>
      </c>
      <c r="BR118" s="20" t="s">
        <v>161</v>
      </c>
      <c r="BS118" s="16" t="s">
        <v>50</v>
      </c>
      <c r="BT118" s="16" t="s">
        <v>47</v>
      </c>
      <c r="BU118" s="16" t="s">
        <v>393</v>
      </c>
      <c r="BV118" s="16" t="s">
        <v>51</v>
      </c>
      <c r="BW118" s="16" t="s">
        <v>154</v>
      </c>
      <c r="BX118" s="16"/>
      <c r="BY118" s="16"/>
      <c r="BZ118" s="16" t="s">
        <v>157</v>
      </c>
      <c r="CA118" s="16" t="s">
        <v>269</v>
      </c>
      <c r="CB118" s="16" t="s">
        <v>412</v>
      </c>
      <c r="CC118" s="16" t="s">
        <v>771</v>
      </c>
      <c r="CD118" s="16" t="s">
        <v>392</v>
      </c>
      <c r="CE118" s="16" t="s">
        <v>396</v>
      </c>
      <c r="CF118" s="16" t="s">
        <v>398</v>
      </c>
      <c r="CG118" s="16" t="s">
        <v>267</v>
      </c>
      <c r="CH118" s="16" t="s">
        <v>159</v>
      </c>
      <c r="CI118" s="6">
        <v>1</v>
      </c>
      <c r="CJ118" s="6" t="str">
        <f t="shared" si="159"/>
        <v>GAS_ENQ_NO-759</v>
      </c>
      <c r="CK118" s="7" t="s">
        <v>165</v>
      </c>
      <c r="CL118" s="7" t="s">
        <v>391</v>
      </c>
      <c r="CM118" s="7" t="s">
        <v>390</v>
      </c>
      <c r="CN118" s="6" t="s">
        <v>278</v>
      </c>
      <c r="CO118" s="6" t="str">
        <f t="shared" si="160"/>
        <v>GAS_JOB_ID-759</v>
      </c>
      <c r="CP118" s="7"/>
      <c r="CQ118" s="6" t="str">
        <f t="shared" si="161"/>
        <v>10000759</v>
      </c>
      <c r="CR118" s="6" t="s">
        <v>154</v>
      </c>
      <c r="CS118" s="7" t="s">
        <v>51</v>
      </c>
      <c r="CT118" s="27" t="str">
        <f t="shared" si="162"/>
        <v>GMETER759</v>
      </c>
      <c r="CU118" s="6" t="s">
        <v>161</v>
      </c>
      <c r="CV118" s="7" t="s">
        <v>165</v>
      </c>
      <c r="CW118" s="7" t="s">
        <v>772</v>
      </c>
      <c r="CX118" s="7"/>
      <c r="CY118" s="7"/>
      <c r="CZ118" s="7" t="s">
        <v>394</v>
      </c>
      <c r="DA118" s="7" t="s">
        <v>395</v>
      </c>
      <c r="DB118" s="6" t="str">
        <f t="shared" si="163"/>
        <v>GAS_INST_ID-759</v>
      </c>
      <c r="DC118" s="7" t="s">
        <v>161</v>
      </c>
      <c r="DD118" s="7"/>
      <c r="DE118" s="7" t="s">
        <v>51</v>
      </c>
      <c r="DF118" s="7" t="s">
        <v>264</v>
      </c>
      <c r="DG118" s="7"/>
      <c r="DH118" s="7" t="s">
        <v>397</v>
      </c>
      <c r="DI118" s="7" t="s">
        <v>399</v>
      </c>
      <c r="DJ118" s="10" t="s">
        <v>267</v>
      </c>
      <c r="DK118" s="7" t="s">
        <v>140</v>
      </c>
      <c r="DL118" s="40"/>
      <c r="DM118" s="40"/>
      <c r="DN118" s="38" t="str">
        <f t="shared" si="164"/>
        <v>DS_Pass-759</v>
      </c>
      <c r="DO118" s="40"/>
      <c r="DP118" s="40"/>
      <c r="DQ118" s="40"/>
      <c r="DR118" s="41"/>
      <c r="DS118" s="41"/>
      <c r="DT118" s="40"/>
      <c r="DU118" s="40"/>
      <c r="DV118" s="40"/>
      <c r="DW118" s="41"/>
      <c r="DX118" s="40"/>
      <c r="DY118" s="40"/>
      <c r="DZ118" s="37" t="s">
        <v>770</v>
      </c>
      <c r="EA118" s="39"/>
      <c r="EB118" s="37"/>
      <c r="EC118" s="37"/>
      <c r="ED118" s="16"/>
      <c r="EE118" s="1"/>
      <c r="EF118" s="55"/>
    </row>
    <row r="119" spans="1:136">
      <c r="A119" s="219" t="s">
        <v>1079</v>
      </c>
      <c r="B119" s="219" t="s">
        <v>892</v>
      </c>
      <c r="C119" s="219" t="s">
        <v>865</v>
      </c>
      <c r="D119" s="13">
        <f>'Run Parameters'!$B$1 + ROW()-1</f>
        <v>760</v>
      </c>
      <c r="E119" s="15" t="s">
        <v>47</v>
      </c>
      <c r="F119" s="18" t="s">
        <v>766</v>
      </c>
      <c r="G119" s="13" t="str">
        <f t="shared" si="142"/>
        <v>Access Dtls-760</v>
      </c>
      <c r="H119" s="15" t="s">
        <v>275</v>
      </c>
      <c r="I119" s="13" t="str">
        <f>("MR. Test_110_EXCH3_"&amp;D119&amp;"")</f>
        <v>MR. Test_110_EXCH3_760</v>
      </c>
      <c r="J119" s="18"/>
      <c r="K119" s="19" t="s">
        <v>425</v>
      </c>
      <c r="L119" s="13" t="str">
        <f t="shared" si="143"/>
        <v>Cust. Ref-760</v>
      </c>
      <c r="M119" s="15" t="s">
        <v>48</v>
      </c>
      <c r="N119" s="15" t="s">
        <v>425</v>
      </c>
      <c r="O119" s="13"/>
      <c r="P119" s="13" t="str">
        <f t="shared" si="144"/>
        <v>SN-760</v>
      </c>
      <c r="Q119" s="13" t="str">
        <f t="shared" si="165"/>
        <v>SI-760</v>
      </c>
      <c r="R119" s="13" t="str">
        <f t="shared" si="166"/>
        <v>SE-760</v>
      </c>
      <c r="S119" s="54" t="str">
        <f t="shared" si="167"/>
        <v>Prev_RA-760</v>
      </c>
      <c r="T119" s="54" t="str">
        <f t="shared" si="168"/>
        <v>Prev_Comms-760</v>
      </c>
      <c r="U119" s="17" t="s">
        <v>75</v>
      </c>
      <c r="V119" s="15" t="s">
        <v>401</v>
      </c>
      <c r="W119" s="17" t="s">
        <v>75</v>
      </c>
      <c r="X119" s="15" t="s">
        <v>396</v>
      </c>
      <c r="Y119" s="13" t="str">
        <f t="shared" si="169"/>
        <v>Forward Add-760</v>
      </c>
      <c r="Z119" s="15" t="s">
        <v>401</v>
      </c>
      <c r="AA119" s="136" t="str">
        <f>'Run Parameters'!$B$2</f>
        <v>2018-08-13 08:00</v>
      </c>
      <c r="AB119" s="223" t="str">
        <f>'Run Parameters'!B$3</f>
        <v>2018-08-13 18:00</v>
      </c>
      <c r="AC119" s="26">
        <f>('Run Parameters'!$B$2) - 7</f>
        <v>43318.333333333336</v>
      </c>
      <c r="AD119" s="17" t="s">
        <v>75</v>
      </c>
      <c r="AE119" s="18" t="str">
        <f t="shared" si="170"/>
        <v>LAST_METER-760</v>
      </c>
      <c r="AF119" s="136" t="str">
        <f>'Run Parameters'!$B$2</f>
        <v>2018-08-13 08:00</v>
      </c>
      <c r="AG119" s="13" t="str">
        <f>'Run Parameters'!B$4</f>
        <v>AUTOTEST2</v>
      </c>
      <c r="AH119" s="54" t="str">
        <f t="shared" si="171"/>
        <v>Site_Contact_760</v>
      </c>
      <c r="AI119" s="136" t="str">
        <f>'Run Parameters'!B$2</f>
        <v>2018-08-13 08:00</v>
      </c>
      <c r="AJ119" s="223" t="str">
        <f>'Run Parameters'!B$3</f>
        <v>2018-08-13 18:00</v>
      </c>
      <c r="AK119" s="13" t="s">
        <v>396</v>
      </c>
      <c r="AL119" s="54" t="str">
        <f t="shared" si="172"/>
        <v>01159760</v>
      </c>
      <c r="AM119" s="13" t="str">
        <f t="shared" si="173"/>
        <v>0115760</v>
      </c>
      <c r="AN119" s="15"/>
      <c r="AO119" s="52"/>
      <c r="AP119" s="13">
        <v>1</v>
      </c>
      <c r="AQ119" s="53" t="s">
        <v>49</v>
      </c>
      <c r="AR119" s="15"/>
      <c r="AS119" s="13"/>
      <c r="AT119" s="7" t="s">
        <v>400</v>
      </c>
      <c r="AU119" s="7"/>
      <c r="AV119" s="13">
        <f t="shared" si="174"/>
        <v>760</v>
      </c>
      <c r="AW119" s="13" t="s">
        <v>767</v>
      </c>
      <c r="AX119" s="13" t="s">
        <v>420</v>
      </c>
      <c r="AY119" s="13" t="s">
        <v>421</v>
      </c>
      <c r="AZ119" s="15" t="s">
        <v>334</v>
      </c>
      <c r="BA119" s="14" t="s">
        <v>154</v>
      </c>
      <c r="BB119" s="21">
        <v>1</v>
      </c>
      <c r="BC119" s="20">
        <f t="shared" si="155"/>
        <v>760</v>
      </c>
      <c r="BD119" s="16" t="s">
        <v>768</v>
      </c>
      <c r="BE119" s="16" t="s">
        <v>391</v>
      </c>
      <c r="BF119" s="16" t="s">
        <v>390</v>
      </c>
      <c r="BG119" s="20" t="s">
        <v>766</v>
      </c>
      <c r="BH119" s="20" t="str">
        <f t="shared" si="175"/>
        <v>760_1</v>
      </c>
      <c r="BI119" s="21"/>
      <c r="BJ119" s="21" t="str">
        <f t="shared" si="176"/>
        <v>10000000760</v>
      </c>
      <c r="BK119" s="16" t="s">
        <v>51</v>
      </c>
      <c r="BL119" s="16" t="s">
        <v>54</v>
      </c>
      <c r="BM119" s="20" t="s">
        <v>769</v>
      </c>
      <c r="BN119" s="16" t="s">
        <v>51</v>
      </c>
      <c r="BO119" s="20" t="str">
        <f t="shared" si="177"/>
        <v>S05S760</v>
      </c>
      <c r="BP119" s="16" t="s">
        <v>770</v>
      </c>
      <c r="BQ119" s="16" t="s">
        <v>770</v>
      </c>
      <c r="BR119" s="20" t="s">
        <v>161</v>
      </c>
      <c r="BS119" s="16" t="s">
        <v>50</v>
      </c>
      <c r="BT119" s="16" t="s">
        <v>47</v>
      </c>
      <c r="BU119" s="16" t="s">
        <v>393</v>
      </c>
      <c r="BV119" s="16" t="s">
        <v>51</v>
      </c>
      <c r="BW119" s="16" t="s">
        <v>154</v>
      </c>
      <c r="BX119" s="16"/>
      <c r="BY119" s="16"/>
      <c r="BZ119" s="16" t="s">
        <v>157</v>
      </c>
      <c r="CA119" s="16" t="s">
        <v>269</v>
      </c>
      <c r="CB119" s="16" t="s">
        <v>412</v>
      </c>
      <c r="CC119" s="16" t="s">
        <v>771</v>
      </c>
      <c r="CD119" s="16" t="s">
        <v>392</v>
      </c>
      <c r="CE119" s="16" t="s">
        <v>396</v>
      </c>
      <c r="CF119" s="16" t="s">
        <v>398</v>
      </c>
      <c r="CG119" s="16" t="s">
        <v>267</v>
      </c>
      <c r="CH119" s="16" t="s">
        <v>159</v>
      </c>
      <c r="CI119" s="6">
        <v>1</v>
      </c>
      <c r="CJ119" s="6" t="str">
        <f t="shared" si="159"/>
        <v>GAS_ENQ_NO-760</v>
      </c>
      <c r="CK119" s="7" t="s">
        <v>165</v>
      </c>
      <c r="CL119" s="7" t="s">
        <v>391</v>
      </c>
      <c r="CM119" s="7" t="s">
        <v>390</v>
      </c>
      <c r="CN119" s="6" t="s">
        <v>278</v>
      </c>
      <c r="CO119" s="6" t="str">
        <f t="shared" si="160"/>
        <v>GAS_JOB_ID-760</v>
      </c>
      <c r="CP119" s="7"/>
      <c r="CQ119" s="6" t="str">
        <f t="shared" si="161"/>
        <v>10000760</v>
      </c>
      <c r="CR119" s="6" t="s">
        <v>154</v>
      </c>
      <c r="CS119" s="7" t="s">
        <v>51</v>
      </c>
      <c r="CT119" s="27" t="str">
        <f t="shared" si="162"/>
        <v>GMETER760</v>
      </c>
      <c r="CU119" s="6" t="s">
        <v>161</v>
      </c>
      <c r="CV119" s="7" t="s">
        <v>165</v>
      </c>
      <c r="CW119" s="7" t="s">
        <v>772</v>
      </c>
      <c r="CX119" s="7"/>
      <c r="CY119" s="7"/>
      <c r="CZ119" s="7" t="s">
        <v>394</v>
      </c>
      <c r="DA119" s="7" t="s">
        <v>395</v>
      </c>
      <c r="DB119" s="6" t="str">
        <f t="shared" si="163"/>
        <v>GAS_INST_ID-760</v>
      </c>
      <c r="DC119" s="7" t="s">
        <v>161</v>
      </c>
      <c r="DD119" s="7"/>
      <c r="DE119" s="7" t="s">
        <v>51</v>
      </c>
      <c r="DF119" s="7" t="s">
        <v>264</v>
      </c>
      <c r="DG119" s="7"/>
      <c r="DH119" s="7" t="s">
        <v>397</v>
      </c>
      <c r="DI119" s="7" t="s">
        <v>399</v>
      </c>
      <c r="DJ119" s="10" t="s">
        <v>267</v>
      </c>
      <c r="DK119" s="7" t="s">
        <v>140</v>
      </c>
      <c r="DL119" s="40"/>
      <c r="DM119" s="40"/>
      <c r="DN119" s="38" t="str">
        <f t="shared" si="164"/>
        <v>DS_Pass-760</v>
      </c>
      <c r="DO119" s="40"/>
      <c r="DP119" s="40"/>
      <c r="DQ119" s="40"/>
      <c r="DR119" s="41"/>
      <c r="DS119" s="41"/>
      <c r="DT119" s="40"/>
      <c r="DU119" s="40"/>
      <c r="DV119" s="40"/>
      <c r="DW119" s="41"/>
      <c r="DX119" s="40"/>
      <c r="DY119" s="40"/>
      <c r="DZ119" s="37" t="s">
        <v>770</v>
      </c>
      <c r="EA119" s="39"/>
      <c r="EB119" s="37"/>
      <c r="EC119" s="37"/>
      <c r="ED119" s="16"/>
      <c r="EE119" s="1"/>
      <c r="EF119" s="55"/>
    </row>
    <row r="120" spans="1:136">
      <c r="A120" s="219" t="s">
        <v>872</v>
      </c>
      <c r="B120" s="219" t="s">
        <v>892</v>
      </c>
      <c r="C120" s="219" t="s">
        <v>865</v>
      </c>
      <c r="D120" s="13">
        <f>'Run Parameters'!$B$1 + ROW()-1</f>
        <v>761</v>
      </c>
      <c r="E120" s="15" t="s">
        <v>47</v>
      </c>
      <c r="F120" s="18" t="s">
        <v>766</v>
      </c>
      <c r="G120" s="13" t="str">
        <f t="shared" si="142"/>
        <v>Access Dtls-761</v>
      </c>
      <c r="H120" s="15" t="s">
        <v>275</v>
      </c>
      <c r="I120" s="13" t="str">
        <f>("MR. Test_111_EXCH3_"&amp;D120&amp;"")</f>
        <v>MR. Test_111_EXCH3_761</v>
      </c>
      <c r="J120" s="18"/>
      <c r="K120" s="19" t="s">
        <v>425</v>
      </c>
      <c r="L120" s="13" t="str">
        <f t="shared" si="143"/>
        <v>Cust. Ref-761</v>
      </c>
      <c r="M120" s="15" t="s">
        <v>48</v>
      </c>
      <c r="N120" s="15" t="s">
        <v>425</v>
      </c>
      <c r="O120" s="13"/>
      <c r="P120" s="13" t="str">
        <f t="shared" si="144"/>
        <v>SN-761</v>
      </c>
      <c r="Q120" s="13" t="str">
        <f t="shared" si="165"/>
        <v>SI-761</v>
      </c>
      <c r="R120" s="13" t="str">
        <f t="shared" si="166"/>
        <v>SE-761</v>
      </c>
      <c r="S120" s="54" t="str">
        <f t="shared" si="167"/>
        <v>Prev_RA-761</v>
      </c>
      <c r="T120" s="54" t="str">
        <f t="shared" si="168"/>
        <v>Prev_Comms-761</v>
      </c>
      <c r="U120" s="17" t="s">
        <v>75</v>
      </c>
      <c r="V120" s="15" t="s">
        <v>401</v>
      </c>
      <c r="W120" s="17" t="s">
        <v>75</v>
      </c>
      <c r="X120" s="15" t="s">
        <v>396</v>
      </c>
      <c r="Y120" s="13" t="str">
        <f t="shared" si="169"/>
        <v>Forward Add-761</v>
      </c>
      <c r="Z120" s="15" t="s">
        <v>401</v>
      </c>
      <c r="AA120" s="136" t="str">
        <f>'Run Parameters'!$B$2</f>
        <v>2018-08-13 08:00</v>
      </c>
      <c r="AB120" s="223" t="str">
        <f>'Run Parameters'!B$3</f>
        <v>2018-08-13 18:00</v>
      </c>
      <c r="AC120" s="26">
        <f>('Run Parameters'!$B$2) - 7</f>
        <v>43318.333333333336</v>
      </c>
      <c r="AD120" s="17" t="s">
        <v>75</v>
      </c>
      <c r="AE120" s="18" t="str">
        <f t="shared" si="170"/>
        <v>LAST_METER-761</v>
      </c>
      <c r="AF120" s="136" t="str">
        <f>'Run Parameters'!$B$2</f>
        <v>2018-08-13 08:00</v>
      </c>
      <c r="AG120" s="13" t="str">
        <f>'Run Parameters'!B$4</f>
        <v>AUTOTEST2</v>
      </c>
      <c r="AH120" s="54" t="str">
        <f t="shared" si="171"/>
        <v>Site_Contact_761</v>
      </c>
      <c r="AI120" s="136" t="str">
        <f>'Run Parameters'!B$2</f>
        <v>2018-08-13 08:00</v>
      </c>
      <c r="AJ120" s="223" t="str">
        <f>'Run Parameters'!B$3</f>
        <v>2018-08-13 18:00</v>
      </c>
      <c r="AK120" s="13" t="s">
        <v>396</v>
      </c>
      <c r="AL120" s="54" t="str">
        <f t="shared" si="172"/>
        <v>01159761</v>
      </c>
      <c r="AM120" s="13" t="str">
        <f t="shared" si="173"/>
        <v>0115761</v>
      </c>
      <c r="AN120" s="15"/>
      <c r="AO120" s="52"/>
      <c r="AP120" s="13">
        <v>1</v>
      </c>
      <c r="AQ120" s="53" t="s">
        <v>49</v>
      </c>
      <c r="AR120" s="15"/>
      <c r="AS120" s="13"/>
      <c r="AT120" s="7" t="s">
        <v>400</v>
      </c>
      <c r="AU120" s="7"/>
      <c r="AV120" s="13">
        <f t="shared" si="174"/>
        <v>761</v>
      </c>
      <c r="AW120" s="13" t="s">
        <v>767</v>
      </c>
      <c r="AX120" s="13" t="s">
        <v>420</v>
      </c>
      <c r="AY120" s="13" t="s">
        <v>421</v>
      </c>
      <c r="AZ120" s="15" t="s">
        <v>334</v>
      </c>
      <c r="BA120" s="14" t="s">
        <v>154</v>
      </c>
      <c r="BB120" s="21">
        <v>1</v>
      </c>
      <c r="BC120" s="20">
        <f t="shared" si="155"/>
        <v>761</v>
      </c>
      <c r="BD120" s="16" t="s">
        <v>768</v>
      </c>
      <c r="BE120" s="16" t="s">
        <v>391</v>
      </c>
      <c r="BF120" s="16" t="s">
        <v>390</v>
      </c>
      <c r="BG120" s="20" t="s">
        <v>766</v>
      </c>
      <c r="BH120" s="20" t="str">
        <f t="shared" si="175"/>
        <v>761_1</v>
      </c>
      <c r="BI120" s="21"/>
      <c r="BJ120" s="21" t="str">
        <f t="shared" si="176"/>
        <v>10000000761</v>
      </c>
      <c r="BK120" s="16" t="s">
        <v>51</v>
      </c>
      <c r="BL120" s="16" t="s">
        <v>54</v>
      </c>
      <c r="BM120" s="20" t="s">
        <v>769</v>
      </c>
      <c r="BN120" s="16" t="s">
        <v>51</v>
      </c>
      <c r="BO120" s="20" t="str">
        <f t="shared" si="177"/>
        <v>S05S761</v>
      </c>
      <c r="BP120" s="16" t="s">
        <v>770</v>
      </c>
      <c r="BQ120" s="16" t="s">
        <v>770</v>
      </c>
      <c r="BR120" s="20" t="s">
        <v>161</v>
      </c>
      <c r="BS120" s="16" t="s">
        <v>50</v>
      </c>
      <c r="BT120" s="16" t="s">
        <v>47</v>
      </c>
      <c r="BU120" s="16" t="s">
        <v>393</v>
      </c>
      <c r="BV120" s="16" t="s">
        <v>51</v>
      </c>
      <c r="BW120" s="16" t="s">
        <v>154</v>
      </c>
      <c r="BX120" s="16"/>
      <c r="BY120" s="16"/>
      <c r="BZ120" s="16" t="s">
        <v>157</v>
      </c>
      <c r="CA120" s="16" t="s">
        <v>269</v>
      </c>
      <c r="CB120" s="16" t="s">
        <v>412</v>
      </c>
      <c r="CC120" s="16" t="s">
        <v>771</v>
      </c>
      <c r="CD120" s="16" t="s">
        <v>392</v>
      </c>
      <c r="CE120" s="16" t="s">
        <v>396</v>
      </c>
      <c r="CF120" s="16" t="s">
        <v>398</v>
      </c>
      <c r="CG120" s="16" t="s">
        <v>267</v>
      </c>
      <c r="CH120" s="16" t="s">
        <v>159</v>
      </c>
      <c r="CI120" s="6">
        <v>1</v>
      </c>
      <c r="CJ120" s="6" t="str">
        <f t="shared" si="159"/>
        <v>GAS_ENQ_NO-761</v>
      </c>
      <c r="CK120" s="7" t="s">
        <v>165</v>
      </c>
      <c r="CL120" s="7" t="s">
        <v>391</v>
      </c>
      <c r="CM120" s="7" t="s">
        <v>390</v>
      </c>
      <c r="CN120" s="6" t="s">
        <v>278</v>
      </c>
      <c r="CO120" s="6" t="str">
        <f t="shared" si="160"/>
        <v>GAS_JOB_ID-761</v>
      </c>
      <c r="CP120" s="7"/>
      <c r="CQ120" s="6" t="str">
        <f t="shared" si="161"/>
        <v>10000761</v>
      </c>
      <c r="CR120" s="6" t="s">
        <v>154</v>
      </c>
      <c r="CS120" s="7" t="s">
        <v>51</v>
      </c>
      <c r="CT120" s="27" t="str">
        <f t="shared" si="162"/>
        <v>GMETER761</v>
      </c>
      <c r="CU120" s="6" t="s">
        <v>161</v>
      </c>
      <c r="CV120" s="7" t="s">
        <v>165</v>
      </c>
      <c r="CW120" s="7" t="s">
        <v>772</v>
      </c>
      <c r="CX120" s="7"/>
      <c r="CY120" s="7"/>
      <c r="CZ120" s="7" t="s">
        <v>394</v>
      </c>
      <c r="DA120" s="7" t="s">
        <v>395</v>
      </c>
      <c r="DB120" s="6" t="str">
        <f t="shared" si="163"/>
        <v>GAS_INST_ID-761</v>
      </c>
      <c r="DC120" s="7" t="s">
        <v>161</v>
      </c>
      <c r="DD120" s="7"/>
      <c r="DE120" s="7" t="s">
        <v>51</v>
      </c>
      <c r="DF120" s="7" t="s">
        <v>264</v>
      </c>
      <c r="DG120" s="7"/>
      <c r="DH120" s="7" t="s">
        <v>397</v>
      </c>
      <c r="DI120" s="7" t="s">
        <v>399</v>
      </c>
      <c r="DJ120" s="10" t="s">
        <v>267</v>
      </c>
      <c r="DK120" s="7" t="s">
        <v>140</v>
      </c>
      <c r="DL120" s="40"/>
      <c r="DM120" s="40"/>
      <c r="DN120" s="38" t="str">
        <f t="shared" si="164"/>
        <v>DS_Pass-761</v>
      </c>
      <c r="DO120" s="40"/>
      <c r="DP120" s="40"/>
      <c r="DQ120" s="40"/>
      <c r="DR120" s="41"/>
      <c r="DS120" s="41"/>
      <c r="DT120" s="40"/>
      <c r="DU120" s="40"/>
      <c r="DV120" s="40"/>
      <c r="DW120" s="41"/>
      <c r="DX120" s="40"/>
      <c r="DY120" s="40"/>
      <c r="DZ120" s="37" t="s">
        <v>770</v>
      </c>
      <c r="EA120" s="39"/>
      <c r="EB120" s="37"/>
      <c r="EC120" s="37"/>
      <c r="ED120" s="16"/>
      <c r="EE120" s="1"/>
      <c r="EF120" s="55"/>
    </row>
    <row r="121" spans="1:136">
      <c r="A121" s="219" t="s">
        <v>873</v>
      </c>
      <c r="B121" s="219" t="s">
        <v>868</v>
      </c>
      <c r="C121" s="219" t="s">
        <v>865</v>
      </c>
      <c r="D121" s="13">
        <f>'Run Parameters'!$B$1 + ROW()-1</f>
        <v>762</v>
      </c>
      <c r="E121" s="15" t="s">
        <v>47</v>
      </c>
      <c r="F121" s="18" t="s">
        <v>766</v>
      </c>
      <c r="G121" s="13" t="str">
        <f t="shared" si="142"/>
        <v>Access Dtls-762</v>
      </c>
      <c r="H121" s="15" t="s">
        <v>275</v>
      </c>
      <c r="I121" s="13" t="str">
        <f>("MR. Test_112_EXCH3_"&amp;D121&amp;"")</f>
        <v>MR. Test_112_EXCH3_762</v>
      </c>
      <c r="J121" s="18"/>
      <c r="K121" s="19" t="s">
        <v>425</v>
      </c>
      <c r="L121" s="13" t="str">
        <f t="shared" si="143"/>
        <v>Cust. Ref-762</v>
      </c>
      <c r="M121" s="15" t="s">
        <v>48</v>
      </c>
      <c r="N121" s="15" t="s">
        <v>425</v>
      </c>
      <c r="O121" s="13"/>
      <c r="P121" s="13" t="str">
        <f t="shared" si="144"/>
        <v>SN-762</v>
      </c>
      <c r="Q121" s="13" t="str">
        <f t="shared" si="165"/>
        <v>SI-762</v>
      </c>
      <c r="R121" s="13" t="str">
        <f t="shared" si="166"/>
        <v>SE-762</v>
      </c>
      <c r="S121" s="54" t="str">
        <f t="shared" si="167"/>
        <v>Prev_RA-762</v>
      </c>
      <c r="T121" s="54" t="str">
        <f t="shared" si="168"/>
        <v>Prev_Comms-762</v>
      </c>
      <c r="U121" s="17" t="s">
        <v>75</v>
      </c>
      <c r="V121" s="15" t="s">
        <v>401</v>
      </c>
      <c r="W121" s="17" t="s">
        <v>75</v>
      </c>
      <c r="X121" s="15" t="s">
        <v>396</v>
      </c>
      <c r="Y121" s="13" t="str">
        <f t="shared" si="169"/>
        <v>Forward Add-762</v>
      </c>
      <c r="Z121" s="15" t="s">
        <v>401</v>
      </c>
      <c r="AA121" s="136" t="str">
        <f>'Run Parameters'!$B$2</f>
        <v>2018-08-13 08:00</v>
      </c>
      <c r="AB121" s="223" t="str">
        <f>'Run Parameters'!B$3</f>
        <v>2018-08-13 18:00</v>
      </c>
      <c r="AC121" s="26">
        <f>('Run Parameters'!$B$2) - 7</f>
        <v>43318.333333333336</v>
      </c>
      <c r="AD121" s="17" t="s">
        <v>75</v>
      </c>
      <c r="AE121" s="18" t="str">
        <f t="shared" si="170"/>
        <v>LAST_METER-762</v>
      </c>
      <c r="AF121" s="136" t="str">
        <f>'Run Parameters'!$B$2</f>
        <v>2018-08-13 08:00</v>
      </c>
      <c r="AG121" s="13" t="str">
        <f>'Run Parameters'!B$4</f>
        <v>AUTOTEST2</v>
      </c>
      <c r="AH121" s="54" t="str">
        <f t="shared" si="171"/>
        <v>Site_Contact_762</v>
      </c>
      <c r="AI121" s="136" t="str">
        <f>'Run Parameters'!B$2</f>
        <v>2018-08-13 08:00</v>
      </c>
      <c r="AJ121" s="223" t="str">
        <f>'Run Parameters'!B$3</f>
        <v>2018-08-13 18:00</v>
      </c>
      <c r="AK121" s="13" t="s">
        <v>396</v>
      </c>
      <c r="AL121" s="54" t="str">
        <f t="shared" si="172"/>
        <v>01159762</v>
      </c>
      <c r="AM121" s="13" t="str">
        <f t="shared" si="173"/>
        <v>0115762</v>
      </c>
      <c r="AN121" s="15"/>
      <c r="AO121" s="52"/>
      <c r="AP121" s="13">
        <v>1</v>
      </c>
      <c r="AQ121" s="53" t="s">
        <v>49</v>
      </c>
      <c r="AR121" s="15"/>
      <c r="AS121" s="13"/>
      <c r="AT121" s="7" t="s">
        <v>400</v>
      </c>
      <c r="AU121" s="7"/>
      <c r="AV121" s="13">
        <f t="shared" si="174"/>
        <v>762</v>
      </c>
      <c r="AW121" s="13" t="s">
        <v>767</v>
      </c>
      <c r="AX121" s="13" t="s">
        <v>420</v>
      </c>
      <c r="AY121" s="13" t="s">
        <v>421</v>
      </c>
      <c r="AZ121" s="15" t="s">
        <v>334</v>
      </c>
      <c r="BA121" s="14" t="s">
        <v>154</v>
      </c>
      <c r="BB121" s="21">
        <v>1</v>
      </c>
      <c r="BC121" s="20">
        <f t="shared" si="155"/>
        <v>762</v>
      </c>
      <c r="BD121" s="16" t="s">
        <v>768</v>
      </c>
      <c r="BE121" s="16" t="s">
        <v>391</v>
      </c>
      <c r="BF121" s="16" t="s">
        <v>390</v>
      </c>
      <c r="BG121" s="20" t="s">
        <v>766</v>
      </c>
      <c r="BH121" s="20" t="str">
        <f t="shared" si="175"/>
        <v>762_1</v>
      </c>
      <c r="BI121" s="21"/>
      <c r="BJ121" s="21" t="str">
        <f t="shared" si="176"/>
        <v>10000000762</v>
      </c>
      <c r="BK121" s="16" t="s">
        <v>51</v>
      </c>
      <c r="BL121" s="16" t="s">
        <v>54</v>
      </c>
      <c r="BM121" s="20" t="s">
        <v>769</v>
      </c>
      <c r="BN121" s="16" t="s">
        <v>51</v>
      </c>
      <c r="BO121" s="20" t="str">
        <f t="shared" si="177"/>
        <v>S05S762</v>
      </c>
      <c r="BP121" s="16" t="s">
        <v>770</v>
      </c>
      <c r="BQ121" s="16" t="s">
        <v>770</v>
      </c>
      <c r="BR121" s="20" t="s">
        <v>161</v>
      </c>
      <c r="BS121" s="16" t="s">
        <v>50</v>
      </c>
      <c r="BT121" s="16" t="s">
        <v>47</v>
      </c>
      <c r="BU121" s="16" t="s">
        <v>393</v>
      </c>
      <c r="BV121" s="16" t="s">
        <v>51</v>
      </c>
      <c r="BW121" s="16" t="s">
        <v>154</v>
      </c>
      <c r="BX121" s="16"/>
      <c r="BY121" s="16"/>
      <c r="BZ121" s="16" t="s">
        <v>157</v>
      </c>
      <c r="CA121" s="16" t="s">
        <v>269</v>
      </c>
      <c r="CB121" s="16" t="s">
        <v>412</v>
      </c>
      <c r="CC121" s="16" t="s">
        <v>771</v>
      </c>
      <c r="CD121" s="16" t="s">
        <v>392</v>
      </c>
      <c r="CE121" s="16" t="s">
        <v>396</v>
      </c>
      <c r="CF121" s="16" t="s">
        <v>398</v>
      </c>
      <c r="CG121" s="16" t="s">
        <v>267</v>
      </c>
      <c r="CH121" s="16" t="s">
        <v>159</v>
      </c>
      <c r="CI121" s="6">
        <v>1</v>
      </c>
      <c r="CJ121" s="6" t="str">
        <f t="shared" si="159"/>
        <v>GAS_ENQ_NO-762</v>
      </c>
      <c r="CK121" s="7" t="s">
        <v>165</v>
      </c>
      <c r="CL121" s="7" t="s">
        <v>391</v>
      </c>
      <c r="CM121" s="7" t="s">
        <v>390</v>
      </c>
      <c r="CN121" s="6" t="s">
        <v>278</v>
      </c>
      <c r="CO121" s="6" t="str">
        <f t="shared" si="160"/>
        <v>GAS_JOB_ID-762</v>
      </c>
      <c r="CP121" s="7"/>
      <c r="CQ121" s="6" t="str">
        <f t="shared" si="161"/>
        <v>10000762</v>
      </c>
      <c r="CR121" s="6" t="s">
        <v>154</v>
      </c>
      <c r="CS121" s="7" t="s">
        <v>51</v>
      </c>
      <c r="CT121" s="27" t="str">
        <f t="shared" si="162"/>
        <v>GMETER762</v>
      </c>
      <c r="CU121" s="6" t="s">
        <v>161</v>
      </c>
      <c r="CV121" s="7" t="s">
        <v>165</v>
      </c>
      <c r="CW121" s="7" t="s">
        <v>772</v>
      </c>
      <c r="CX121" s="7"/>
      <c r="CY121" s="7"/>
      <c r="CZ121" s="7" t="s">
        <v>394</v>
      </c>
      <c r="DA121" s="7" t="s">
        <v>395</v>
      </c>
      <c r="DB121" s="6" t="str">
        <f t="shared" si="163"/>
        <v>GAS_INST_ID-762</v>
      </c>
      <c r="DC121" s="7" t="s">
        <v>161</v>
      </c>
      <c r="DD121" s="7"/>
      <c r="DE121" s="7" t="s">
        <v>51</v>
      </c>
      <c r="DF121" s="7" t="s">
        <v>264</v>
      </c>
      <c r="DG121" s="7"/>
      <c r="DH121" s="7" t="s">
        <v>397</v>
      </c>
      <c r="DI121" s="7" t="s">
        <v>399</v>
      </c>
      <c r="DJ121" s="10" t="s">
        <v>267</v>
      </c>
      <c r="DK121" s="7" t="s">
        <v>140</v>
      </c>
      <c r="DL121" s="40"/>
      <c r="DM121" s="40"/>
      <c r="DN121" s="38" t="str">
        <f t="shared" si="164"/>
        <v>DS_Pass-762</v>
      </c>
      <c r="DO121" s="40"/>
      <c r="DP121" s="40"/>
      <c r="DQ121" s="40"/>
      <c r="DR121" s="41"/>
      <c r="DS121" s="41"/>
      <c r="DT121" s="40"/>
      <c r="DU121" s="40"/>
      <c r="DV121" s="40"/>
      <c r="DW121" s="41"/>
      <c r="DX121" s="40"/>
      <c r="DY121" s="40"/>
      <c r="DZ121" s="37" t="s">
        <v>770</v>
      </c>
      <c r="EA121" s="39"/>
      <c r="EB121" s="37"/>
      <c r="EC121" s="37"/>
      <c r="ED121" s="16"/>
      <c r="EE121" s="1"/>
      <c r="EF121" s="55"/>
    </row>
    <row r="122" spans="1:136">
      <c r="A122" s="219" t="s">
        <v>874</v>
      </c>
      <c r="B122" s="219" t="s">
        <v>892</v>
      </c>
      <c r="C122" s="219" t="s">
        <v>865</v>
      </c>
      <c r="D122" s="13">
        <f>'Run Parameters'!$B$1 + ROW()-1</f>
        <v>763</v>
      </c>
      <c r="E122" s="15" t="s">
        <v>47</v>
      </c>
      <c r="F122" s="18" t="s">
        <v>766</v>
      </c>
      <c r="G122" s="13" t="str">
        <f t="shared" si="142"/>
        <v>Access Dtls-763</v>
      </c>
      <c r="H122" s="15" t="s">
        <v>275</v>
      </c>
      <c r="I122" s="13" t="str">
        <f>("MR. Test_113_EXCH3_"&amp;D122&amp;"")</f>
        <v>MR. Test_113_EXCH3_763</v>
      </c>
      <c r="J122" s="18"/>
      <c r="K122" s="19" t="s">
        <v>425</v>
      </c>
      <c r="L122" s="13" t="str">
        <f t="shared" si="143"/>
        <v>Cust. Ref-763</v>
      </c>
      <c r="M122" s="15" t="s">
        <v>48</v>
      </c>
      <c r="N122" s="15" t="s">
        <v>425</v>
      </c>
      <c r="O122" s="13"/>
      <c r="P122" s="13" t="str">
        <f t="shared" si="144"/>
        <v>SN-763</v>
      </c>
      <c r="Q122" s="13" t="str">
        <f t="shared" si="165"/>
        <v>SI-763</v>
      </c>
      <c r="R122" s="13" t="str">
        <f t="shared" si="166"/>
        <v>SE-763</v>
      </c>
      <c r="S122" s="54" t="str">
        <f t="shared" si="167"/>
        <v>Prev_RA-763</v>
      </c>
      <c r="T122" s="54" t="str">
        <f t="shared" si="168"/>
        <v>Prev_Comms-763</v>
      </c>
      <c r="U122" s="17" t="s">
        <v>75</v>
      </c>
      <c r="V122" s="15" t="s">
        <v>401</v>
      </c>
      <c r="W122" s="17" t="s">
        <v>75</v>
      </c>
      <c r="X122" s="15" t="s">
        <v>396</v>
      </c>
      <c r="Y122" s="13" t="str">
        <f t="shared" si="169"/>
        <v>Forward Add-763</v>
      </c>
      <c r="Z122" s="15" t="s">
        <v>401</v>
      </c>
      <c r="AA122" s="136" t="str">
        <f>'Run Parameters'!$B$2</f>
        <v>2018-08-13 08:00</v>
      </c>
      <c r="AB122" s="223" t="str">
        <f>'Run Parameters'!B$3</f>
        <v>2018-08-13 18:00</v>
      </c>
      <c r="AC122" s="26">
        <f>('Run Parameters'!$B$2) - 7</f>
        <v>43318.333333333336</v>
      </c>
      <c r="AD122" s="17" t="s">
        <v>75</v>
      </c>
      <c r="AE122" s="18" t="str">
        <f t="shared" si="170"/>
        <v>LAST_METER-763</v>
      </c>
      <c r="AF122" s="136" t="str">
        <f>'Run Parameters'!$B$2</f>
        <v>2018-08-13 08:00</v>
      </c>
      <c r="AG122" s="13" t="str">
        <f>'Run Parameters'!B$4</f>
        <v>AUTOTEST2</v>
      </c>
      <c r="AH122" s="54" t="str">
        <f t="shared" si="171"/>
        <v>Site_Contact_763</v>
      </c>
      <c r="AI122" s="136" t="str">
        <f>'Run Parameters'!B$2</f>
        <v>2018-08-13 08:00</v>
      </c>
      <c r="AJ122" s="223" t="str">
        <f>'Run Parameters'!B$3</f>
        <v>2018-08-13 18:00</v>
      </c>
      <c r="AK122" s="13" t="s">
        <v>396</v>
      </c>
      <c r="AL122" s="54" t="str">
        <f t="shared" si="172"/>
        <v>01159763</v>
      </c>
      <c r="AM122" s="13" t="str">
        <f t="shared" si="173"/>
        <v>0115763</v>
      </c>
      <c r="AN122" s="15"/>
      <c r="AO122" s="52"/>
      <c r="AP122" s="13">
        <v>1</v>
      </c>
      <c r="AQ122" s="53" t="s">
        <v>49</v>
      </c>
      <c r="AR122" s="15"/>
      <c r="AS122" s="13"/>
      <c r="AT122" s="7" t="s">
        <v>400</v>
      </c>
      <c r="AU122" s="7"/>
      <c r="AV122" s="13">
        <f t="shared" si="174"/>
        <v>763</v>
      </c>
      <c r="AW122" s="13" t="s">
        <v>767</v>
      </c>
      <c r="AX122" s="13" t="s">
        <v>420</v>
      </c>
      <c r="AY122" s="13" t="s">
        <v>421</v>
      </c>
      <c r="AZ122" s="15" t="s">
        <v>334</v>
      </c>
      <c r="BA122" s="14" t="s">
        <v>154</v>
      </c>
      <c r="BB122" s="21">
        <v>1</v>
      </c>
      <c r="BC122" s="20">
        <f t="shared" si="155"/>
        <v>763</v>
      </c>
      <c r="BD122" s="16" t="s">
        <v>768</v>
      </c>
      <c r="BE122" s="16" t="s">
        <v>391</v>
      </c>
      <c r="BF122" s="16" t="s">
        <v>390</v>
      </c>
      <c r="BG122" s="20" t="s">
        <v>766</v>
      </c>
      <c r="BH122" s="20" t="str">
        <f t="shared" si="175"/>
        <v>763_1</v>
      </c>
      <c r="BI122" s="21"/>
      <c r="BJ122" s="21" t="str">
        <f t="shared" si="176"/>
        <v>10000000763</v>
      </c>
      <c r="BK122" s="16" t="s">
        <v>51</v>
      </c>
      <c r="BL122" s="16" t="s">
        <v>54</v>
      </c>
      <c r="BM122" s="20" t="s">
        <v>769</v>
      </c>
      <c r="BN122" s="16" t="s">
        <v>51</v>
      </c>
      <c r="BO122" s="20" t="str">
        <f t="shared" si="177"/>
        <v>S05S763</v>
      </c>
      <c r="BP122" s="16" t="s">
        <v>770</v>
      </c>
      <c r="BQ122" s="16" t="s">
        <v>770</v>
      </c>
      <c r="BR122" s="20" t="s">
        <v>161</v>
      </c>
      <c r="BS122" s="16" t="s">
        <v>50</v>
      </c>
      <c r="BT122" s="16" t="s">
        <v>47</v>
      </c>
      <c r="BU122" s="16" t="s">
        <v>393</v>
      </c>
      <c r="BV122" s="16" t="s">
        <v>51</v>
      </c>
      <c r="BW122" s="16" t="s">
        <v>154</v>
      </c>
      <c r="BX122" s="16"/>
      <c r="BY122" s="16"/>
      <c r="BZ122" s="16" t="s">
        <v>157</v>
      </c>
      <c r="CA122" s="16" t="s">
        <v>269</v>
      </c>
      <c r="CB122" s="16" t="s">
        <v>412</v>
      </c>
      <c r="CC122" s="16" t="s">
        <v>771</v>
      </c>
      <c r="CD122" s="16" t="s">
        <v>392</v>
      </c>
      <c r="CE122" s="16" t="s">
        <v>396</v>
      </c>
      <c r="CF122" s="16" t="s">
        <v>398</v>
      </c>
      <c r="CG122" s="16" t="s">
        <v>267</v>
      </c>
      <c r="CH122" s="16" t="s">
        <v>159</v>
      </c>
      <c r="CI122" s="6">
        <v>1</v>
      </c>
      <c r="CJ122" s="6" t="str">
        <f t="shared" si="159"/>
        <v>GAS_ENQ_NO-763</v>
      </c>
      <c r="CK122" s="7" t="s">
        <v>165</v>
      </c>
      <c r="CL122" s="7" t="s">
        <v>391</v>
      </c>
      <c r="CM122" s="7" t="s">
        <v>390</v>
      </c>
      <c r="CN122" s="6" t="s">
        <v>278</v>
      </c>
      <c r="CO122" s="6" t="str">
        <f t="shared" si="160"/>
        <v>GAS_JOB_ID-763</v>
      </c>
      <c r="CP122" s="7"/>
      <c r="CQ122" s="6" t="str">
        <f t="shared" si="161"/>
        <v>10000763</v>
      </c>
      <c r="CR122" s="6" t="s">
        <v>154</v>
      </c>
      <c r="CS122" s="7" t="s">
        <v>51</v>
      </c>
      <c r="CT122" s="27" t="str">
        <f t="shared" si="162"/>
        <v>GMETER763</v>
      </c>
      <c r="CU122" s="6" t="s">
        <v>161</v>
      </c>
      <c r="CV122" s="7" t="s">
        <v>165</v>
      </c>
      <c r="CW122" s="7" t="s">
        <v>772</v>
      </c>
      <c r="CX122" s="7"/>
      <c r="CY122" s="7"/>
      <c r="CZ122" s="7" t="s">
        <v>394</v>
      </c>
      <c r="DA122" s="7" t="s">
        <v>395</v>
      </c>
      <c r="DB122" s="6" t="str">
        <f t="shared" si="163"/>
        <v>GAS_INST_ID-763</v>
      </c>
      <c r="DC122" s="7" t="s">
        <v>161</v>
      </c>
      <c r="DD122" s="7"/>
      <c r="DE122" s="7" t="s">
        <v>51</v>
      </c>
      <c r="DF122" s="7" t="s">
        <v>264</v>
      </c>
      <c r="DG122" s="7"/>
      <c r="DH122" s="7" t="s">
        <v>397</v>
      </c>
      <c r="DI122" s="7" t="s">
        <v>399</v>
      </c>
      <c r="DJ122" s="10" t="s">
        <v>267</v>
      </c>
      <c r="DK122" s="7" t="s">
        <v>140</v>
      </c>
      <c r="DL122" s="40"/>
      <c r="DM122" s="40"/>
      <c r="DN122" s="38" t="str">
        <f t="shared" si="164"/>
        <v>DS_Pass-763</v>
      </c>
      <c r="DO122" s="40"/>
      <c r="DP122" s="40"/>
      <c r="DQ122" s="40"/>
      <c r="DR122" s="41"/>
      <c r="DS122" s="41"/>
      <c r="DT122" s="40"/>
      <c r="DU122" s="40"/>
      <c r="DV122" s="40"/>
      <c r="DW122" s="41"/>
      <c r="DX122" s="40"/>
      <c r="DY122" s="40"/>
      <c r="DZ122" s="37" t="s">
        <v>770</v>
      </c>
      <c r="EA122" s="39"/>
      <c r="EB122" s="37"/>
      <c r="EC122" s="37"/>
      <c r="ED122" s="16"/>
      <c r="EE122" s="1"/>
      <c r="EF122" s="55"/>
    </row>
    <row r="123" spans="1:136">
      <c r="A123" s="219" t="s">
        <v>875</v>
      </c>
      <c r="B123" s="219" t="s">
        <v>868</v>
      </c>
      <c r="C123" s="219" t="s">
        <v>865</v>
      </c>
      <c r="D123" s="13">
        <f>'Run Parameters'!$B$1 + ROW()-1</f>
        <v>764</v>
      </c>
      <c r="E123" s="15" t="s">
        <v>47</v>
      </c>
      <c r="F123" s="18" t="s">
        <v>766</v>
      </c>
      <c r="G123" s="13" t="str">
        <f t="shared" si="142"/>
        <v>Access Dtls-764</v>
      </c>
      <c r="H123" s="15" t="s">
        <v>275</v>
      </c>
      <c r="I123" s="13" t="str">
        <f>("MR. Test_114_EXCH3_"&amp;D123&amp;"")</f>
        <v>MR. Test_114_EXCH3_764</v>
      </c>
      <c r="J123" s="18"/>
      <c r="K123" s="19" t="s">
        <v>425</v>
      </c>
      <c r="L123" s="13" t="str">
        <f t="shared" si="143"/>
        <v>Cust. Ref-764</v>
      </c>
      <c r="M123" s="15" t="s">
        <v>48</v>
      </c>
      <c r="N123" s="15" t="s">
        <v>425</v>
      </c>
      <c r="O123" s="13"/>
      <c r="P123" s="13" t="str">
        <f t="shared" si="144"/>
        <v>SN-764</v>
      </c>
      <c r="Q123" s="13" t="str">
        <f t="shared" si="165"/>
        <v>SI-764</v>
      </c>
      <c r="R123" s="13" t="str">
        <f t="shared" si="166"/>
        <v>SE-764</v>
      </c>
      <c r="S123" s="54" t="str">
        <f t="shared" si="167"/>
        <v>Prev_RA-764</v>
      </c>
      <c r="T123" s="54" t="str">
        <f t="shared" si="168"/>
        <v>Prev_Comms-764</v>
      </c>
      <c r="U123" s="17" t="s">
        <v>75</v>
      </c>
      <c r="V123" s="15" t="s">
        <v>401</v>
      </c>
      <c r="W123" s="17" t="s">
        <v>75</v>
      </c>
      <c r="X123" s="15" t="s">
        <v>396</v>
      </c>
      <c r="Y123" s="13" t="str">
        <f t="shared" si="169"/>
        <v>Forward Add-764</v>
      </c>
      <c r="Z123" s="15" t="s">
        <v>401</v>
      </c>
      <c r="AA123" s="136" t="str">
        <f>'Run Parameters'!$B$2</f>
        <v>2018-08-13 08:00</v>
      </c>
      <c r="AB123" s="223" t="str">
        <f>'Run Parameters'!B$3</f>
        <v>2018-08-13 18:00</v>
      </c>
      <c r="AC123" s="26">
        <f>('Run Parameters'!$B$2) - 7</f>
        <v>43318.333333333336</v>
      </c>
      <c r="AD123" s="17" t="s">
        <v>75</v>
      </c>
      <c r="AE123" s="18" t="str">
        <f t="shared" si="170"/>
        <v>LAST_METER-764</v>
      </c>
      <c r="AF123" s="136" t="str">
        <f>'Run Parameters'!$B$2</f>
        <v>2018-08-13 08:00</v>
      </c>
      <c r="AG123" s="13" t="str">
        <f>'Run Parameters'!B$4</f>
        <v>AUTOTEST2</v>
      </c>
      <c r="AH123" s="54" t="str">
        <f t="shared" si="171"/>
        <v>Site_Contact_764</v>
      </c>
      <c r="AI123" s="136" t="str">
        <f>'Run Parameters'!B$2</f>
        <v>2018-08-13 08:00</v>
      </c>
      <c r="AJ123" s="223" t="str">
        <f>'Run Parameters'!B$3</f>
        <v>2018-08-13 18:00</v>
      </c>
      <c r="AK123" s="13" t="s">
        <v>396</v>
      </c>
      <c r="AL123" s="54" t="str">
        <f t="shared" si="172"/>
        <v>01159764</v>
      </c>
      <c r="AM123" s="13" t="str">
        <f t="shared" si="173"/>
        <v>0115764</v>
      </c>
      <c r="AN123" s="15"/>
      <c r="AO123" s="52"/>
      <c r="AP123" s="13">
        <v>1</v>
      </c>
      <c r="AQ123" s="53" t="s">
        <v>49</v>
      </c>
      <c r="AR123" s="15"/>
      <c r="AS123" s="13"/>
      <c r="AT123" s="7" t="s">
        <v>400</v>
      </c>
      <c r="AU123" s="7"/>
      <c r="AV123" s="13">
        <f t="shared" si="174"/>
        <v>764</v>
      </c>
      <c r="AW123" s="13" t="s">
        <v>767</v>
      </c>
      <c r="AX123" s="13" t="s">
        <v>420</v>
      </c>
      <c r="AY123" s="13" t="s">
        <v>421</v>
      </c>
      <c r="AZ123" s="15" t="s">
        <v>334</v>
      </c>
      <c r="BA123" s="14" t="s">
        <v>154</v>
      </c>
      <c r="BB123" s="21">
        <v>1</v>
      </c>
      <c r="BC123" s="20">
        <f t="shared" si="155"/>
        <v>764</v>
      </c>
      <c r="BD123" s="16" t="s">
        <v>768</v>
      </c>
      <c r="BE123" s="16" t="s">
        <v>391</v>
      </c>
      <c r="BF123" s="16" t="s">
        <v>390</v>
      </c>
      <c r="BG123" s="20" t="s">
        <v>766</v>
      </c>
      <c r="BH123" s="20" t="str">
        <f t="shared" si="175"/>
        <v>764_1</v>
      </c>
      <c r="BI123" s="21"/>
      <c r="BJ123" s="21" t="str">
        <f t="shared" si="176"/>
        <v>10000000764</v>
      </c>
      <c r="BK123" s="16" t="s">
        <v>51</v>
      </c>
      <c r="BL123" s="16" t="s">
        <v>54</v>
      </c>
      <c r="BM123" s="20" t="s">
        <v>769</v>
      </c>
      <c r="BN123" s="16" t="s">
        <v>51</v>
      </c>
      <c r="BO123" s="20" t="str">
        <f t="shared" si="177"/>
        <v>S05S764</v>
      </c>
      <c r="BP123" s="16" t="s">
        <v>770</v>
      </c>
      <c r="BQ123" s="16" t="s">
        <v>770</v>
      </c>
      <c r="BR123" s="20" t="s">
        <v>161</v>
      </c>
      <c r="BS123" s="16" t="s">
        <v>50</v>
      </c>
      <c r="BT123" s="16" t="s">
        <v>47</v>
      </c>
      <c r="BU123" s="16" t="s">
        <v>393</v>
      </c>
      <c r="BV123" s="16" t="s">
        <v>51</v>
      </c>
      <c r="BW123" s="16" t="s">
        <v>154</v>
      </c>
      <c r="BX123" s="16"/>
      <c r="BY123" s="16"/>
      <c r="BZ123" s="16" t="s">
        <v>157</v>
      </c>
      <c r="CA123" s="16" t="s">
        <v>269</v>
      </c>
      <c r="CB123" s="16" t="s">
        <v>412</v>
      </c>
      <c r="CC123" s="16" t="s">
        <v>771</v>
      </c>
      <c r="CD123" s="16" t="s">
        <v>392</v>
      </c>
      <c r="CE123" s="16" t="s">
        <v>396</v>
      </c>
      <c r="CF123" s="16" t="s">
        <v>398</v>
      </c>
      <c r="CG123" s="16" t="s">
        <v>267</v>
      </c>
      <c r="CH123" s="16" t="s">
        <v>159</v>
      </c>
      <c r="CI123" s="6">
        <v>1</v>
      </c>
      <c r="CJ123" s="6" t="str">
        <f t="shared" si="159"/>
        <v>GAS_ENQ_NO-764</v>
      </c>
      <c r="CK123" s="7" t="s">
        <v>165</v>
      </c>
      <c r="CL123" s="7" t="s">
        <v>391</v>
      </c>
      <c r="CM123" s="7" t="s">
        <v>390</v>
      </c>
      <c r="CN123" s="6" t="s">
        <v>278</v>
      </c>
      <c r="CO123" s="6" t="str">
        <f t="shared" si="160"/>
        <v>GAS_JOB_ID-764</v>
      </c>
      <c r="CP123" s="7"/>
      <c r="CQ123" s="6" t="str">
        <f t="shared" si="161"/>
        <v>10000764</v>
      </c>
      <c r="CR123" s="6" t="s">
        <v>154</v>
      </c>
      <c r="CS123" s="7" t="s">
        <v>51</v>
      </c>
      <c r="CT123" s="27" t="str">
        <f t="shared" si="162"/>
        <v>GMETER764</v>
      </c>
      <c r="CU123" s="6" t="s">
        <v>161</v>
      </c>
      <c r="CV123" s="7" t="s">
        <v>165</v>
      </c>
      <c r="CW123" s="7" t="s">
        <v>772</v>
      </c>
      <c r="CX123" s="7"/>
      <c r="CY123" s="7"/>
      <c r="CZ123" s="7" t="s">
        <v>394</v>
      </c>
      <c r="DA123" s="7" t="s">
        <v>395</v>
      </c>
      <c r="DB123" s="6" t="str">
        <f t="shared" si="163"/>
        <v>GAS_INST_ID-764</v>
      </c>
      <c r="DC123" s="7" t="s">
        <v>161</v>
      </c>
      <c r="DD123" s="7"/>
      <c r="DE123" s="7" t="s">
        <v>51</v>
      </c>
      <c r="DF123" s="7" t="s">
        <v>264</v>
      </c>
      <c r="DG123" s="7"/>
      <c r="DH123" s="7" t="s">
        <v>397</v>
      </c>
      <c r="DI123" s="7" t="s">
        <v>399</v>
      </c>
      <c r="DJ123" s="10" t="s">
        <v>267</v>
      </c>
      <c r="DK123" s="7" t="s">
        <v>140</v>
      </c>
      <c r="DL123" s="40"/>
      <c r="DM123" s="40"/>
      <c r="DN123" s="38" t="str">
        <f t="shared" si="164"/>
        <v>DS_Pass-764</v>
      </c>
      <c r="DO123" s="40"/>
      <c r="DP123" s="40"/>
      <c r="DQ123" s="40"/>
      <c r="DR123" s="41"/>
      <c r="DS123" s="41"/>
      <c r="DT123" s="40"/>
      <c r="DU123" s="40"/>
      <c r="DV123" s="40"/>
      <c r="DW123" s="41"/>
      <c r="DX123" s="40"/>
      <c r="DY123" s="40"/>
      <c r="DZ123" s="37" t="s">
        <v>770</v>
      </c>
      <c r="EA123" s="39"/>
      <c r="EB123" s="37"/>
      <c r="EC123" s="37"/>
      <c r="ED123" s="16"/>
      <c r="EE123" s="1"/>
      <c r="EF123" s="55"/>
    </row>
    <row r="124" spans="1:136">
      <c r="A124" s="219" t="s">
        <v>876</v>
      </c>
      <c r="B124" s="219" t="s">
        <v>892</v>
      </c>
      <c r="C124" s="219" t="s">
        <v>865</v>
      </c>
      <c r="D124" s="13">
        <f>'Run Parameters'!$B$1 + ROW()-1</f>
        <v>765</v>
      </c>
      <c r="E124" s="15" t="s">
        <v>47</v>
      </c>
      <c r="F124" s="18" t="s">
        <v>766</v>
      </c>
      <c r="G124" s="13" t="str">
        <f t="shared" si="142"/>
        <v>Access Dtls-765</v>
      </c>
      <c r="H124" s="15" t="s">
        <v>275</v>
      </c>
      <c r="I124" s="13" t="str">
        <f>("MR. Test_115_EXCH3_"&amp;D124&amp;"")</f>
        <v>MR. Test_115_EXCH3_765</v>
      </c>
      <c r="J124" s="18"/>
      <c r="K124" s="19" t="s">
        <v>425</v>
      </c>
      <c r="L124" s="13" t="str">
        <f t="shared" si="143"/>
        <v>Cust. Ref-765</v>
      </c>
      <c r="M124" s="15" t="s">
        <v>48</v>
      </c>
      <c r="N124" s="15" t="s">
        <v>425</v>
      </c>
      <c r="O124" s="13"/>
      <c r="P124" s="13" t="str">
        <f t="shared" si="144"/>
        <v>SN-765</v>
      </c>
      <c r="Q124" s="13" t="str">
        <f t="shared" si="165"/>
        <v>SI-765</v>
      </c>
      <c r="R124" s="13" t="str">
        <f t="shared" si="166"/>
        <v>SE-765</v>
      </c>
      <c r="S124" s="54" t="str">
        <f t="shared" si="167"/>
        <v>Prev_RA-765</v>
      </c>
      <c r="T124" s="54" t="str">
        <f t="shared" si="168"/>
        <v>Prev_Comms-765</v>
      </c>
      <c r="U124" s="17" t="s">
        <v>75</v>
      </c>
      <c r="V124" s="15" t="s">
        <v>401</v>
      </c>
      <c r="W124" s="17" t="s">
        <v>75</v>
      </c>
      <c r="X124" s="15" t="s">
        <v>396</v>
      </c>
      <c r="Y124" s="13" t="str">
        <f t="shared" si="169"/>
        <v>Forward Add-765</v>
      </c>
      <c r="Z124" s="15" t="s">
        <v>401</v>
      </c>
      <c r="AA124" s="136" t="str">
        <f>'Run Parameters'!$B$2</f>
        <v>2018-08-13 08:00</v>
      </c>
      <c r="AB124" s="223" t="str">
        <f>'Run Parameters'!B$3</f>
        <v>2018-08-13 18:00</v>
      </c>
      <c r="AC124" s="26">
        <f>('Run Parameters'!$B$2) - 7</f>
        <v>43318.333333333336</v>
      </c>
      <c r="AD124" s="17" t="s">
        <v>75</v>
      </c>
      <c r="AE124" s="18" t="str">
        <f t="shared" si="170"/>
        <v>LAST_METER-765</v>
      </c>
      <c r="AF124" s="136" t="str">
        <f>'Run Parameters'!$B$2</f>
        <v>2018-08-13 08:00</v>
      </c>
      <c r="AG124" s="13" t="str">
        <f>'Run Parameters'!B$4</f>
        <v>AUTOTEST2</v>
      </c>
      <c r="AH124" s="54" t="str">
        <f t="shared" si="171"/>
        <v>Site_Contact_765</v>
      </c>
      <c r="AI124" s="136" t="str">
        <f>'Run Parameters'!B$2</f>
        <v>2018-08-13 08:00</v>
      </c>
      <c r="AJ124" s="223" t="str">
        <f>'Run Parameters'!B$3</f>
        <v>2018-08-13 18:00</v>
      </c>
      <c r="AK124" s="13" t="s">
        <v>396</v>
      </c>
      <c r="AL124" s="54" t="str">
        <f t="shared" si="172"/>
        <v>01159765</v>
      </c>
      <c r="AM124" s="13" t="str">
        <f t="shared" si="173"/>
        <v>0115765</v>
      </c>
      <c r="AN124" s="15"/>
      <c r="AO124" s="52"/>
      <c r="AP124" s="13">
        <v>1</v>
      </c>
      <c r="AQ124" s="53" t="s">
        <v>49</v>
      </c>
      <c r="AR124" s="15"/>
      <c r="AS124" s="13"/>
      <c r="AT124" s="7" t="s">
        <v>400</v>
      </c>
      <c r="AU124" s="7"/>
      <c r="AV124" s="13">
        <f t="shared" si="174"/>
        <v>765</v>
      </c>
      <c r="AW124" s="13" t="s">
        <v>767</v>
      </c>
      <c r="AX124" s="13" t="s">
        <v>420</v>
      </c>
      <c r="AY124" s="13" t="s">
        <v>421</v>
      </c>
      <c r="AZ124" s="15" t="s">
        <v>334</v>
      </c>
      <c r="BA124" s="14" t="s">
        <v>154</v>
      </c>
      <c r="BB124" s="21">
        <v>1</v>
      </c>
      <c r="BC124" s="20">
        <f t="shared" si="155"/>
        <v>765</v>
      </c>
      <c r="BD124" s="16" t="s">
        <v>768</v>
      </c>
      <c r="BE124" s="16" t="s">
        <v>391</v>
      </c>
      <c r="BF124" s="16" t="s">
        <v>390</v>
      </c>
      <c r="BG124" s="20" t="s">
        <v>766</v>
      </c>
      <c r="BH124" s="20" t="str">
        <f t="shared" si="175"/>
        <v>765_1</v>
      </c>
      <c r="BI124" s="21"/>
      <c r="BJ124" s="21" t="str">
        <f t="shared" si="176"/>
        <v>10000000765</v>
      </c>
      <c r="BK124" s="16" t="s">
        <v>51</v>
      </c>
      <c r="BL124" s="16" t="s">
        <v>54</v>
      </c>
      <c r="BM124" s="20" t="s">
        <v>769</v>
      </c>
      <c r="BN124" s="16" t="s">
        <v>51</v>
      </c>
      <c r="BO124" s="20" t="str">
        <f t="shared" si="177"/>
        <v>S05S765</v>
      </c>
      <c r="BP124" s="16" t="s">
        <v>770</v>
      </c>
      <c r="BQ124" s="16" t="s">
        <v>770</v>
      </c>
      <c r="BR124" s="20" t="s">
        <v>161</v>
      </c>
      <c r="BS124" s="16" t="s">
        <v>50</v>
      </c>
      <c r="BT124" s="16" t="s">
        <v>47</v>
      </c>
      <c r="BU124" s="16" t="s">
        <v>393</v>
      </c>
      <c r="BV124" s="16" t="s">
        <v>51</v>
      </c>
      <c r="BW124" s="16" t="s">
        <v>154</v>
      </c>
      <c r="BX124" s="16"/>
      <c r="BY124" s="16"/>
      <c r="BZ124" s="16" t="s">
        <v>157</v>
      </c>
      <c r="CA124" s="16" t="s">
        <v>269</v>
      </c>
      <c r="CB124" s="16" t="s">
        <v>412</v>
      </c>
      <c r="CC124" s="16" t="s">
        <v>771</v>
      </c>
      <c r="CD124" s="16" t="s">
        <v>392</v>
      </c>
      <c r="CE124" s="16" t="s">
        <v>396</v>
      </c>
      <c r="CF124" s="16" t="s">
        <v>398</v>
      </c>
      <c r="CG124" s="16" t="s">
        <v>267</v>
      </c>
      <c r="CH124" s="16" t="s">
        <v>159</v>
      </c>
      <c r="CI124" s="6">
        <v>1</v>
      </c>
      <c r="CJ124" s="6" t="str">
        <f t="shared" si="159"/>
        <v>GAS_ENQ_NO-765</v>
      </c>
      <c r="CK124" s="7" t="s">
        <v>165</v>
      </c>
      <c r="CL124" s="7" t="s">
        <v>391</v>
      </c>
      <c r="CM124" s="7" t="s">
        <v>390</v>
      </c>
      <c r="CN124" s="6" t="s">
        <v>278</v>
      </c>
      <c r="CO124" s="6" t="str">
        <f t="shared" si="160"/>
        <v>GAS_JOB_ID-765</v>
      </c>
      <c r="CP124" s="7"/>
      <c r="CQ124" s="6" t="str">
        <f t="shared" si="161"/>
        <v>10000765</v>
      </c>
      <c r="CR124" s="6" t="s">
        <v>154</v>
      </c>
      <c r="CS124" s="7" t="s">
        <v>51</v>
      </c>
      <c r="CT124" s="27" t="str">
        <f t="shared" si="162"/>
        <v>GMETER765</v>
      </c>
      <c r="CU124" s="6" t="s">
        <v>161</v>
      </c>
      <c r="CV124" s="7" t="s">
        <v>165</v>
      </c>
      <c r="CW124" s="7" t="s">
        <v>772</v>
      </c>
      <c r="CX124" s="7"/>
      <c r="CY124" s="7"/>
      <c r="CZ124" s="7" t="s">
        <v>394</v>
      </c>
      <c r="DA124" s="7" t="s">
        <v>395</v>
      </c>
      <c r="DB124" s="6" t="str">
        <f t="shared" si="163"/>
        <v>GAS_INST_ID-765</v>
      </c>
      <c r="DC124" s="7" t="s">
        <v>161</v>
      </c>
      <c r="DD124" s="7"/>
      <c r="DE124" s="7" t="s">
        <v>51</v>
      </c>
      <c r="DF124" s="7" t="s">
        <v>264</v>
      </c>
      <c r="DG124" s="7"/>
      <c r="DH124" s="7" t="s">
        <v>397</v>
      </c>
      <c r="DI124" s="7" t="s">
        <v>399</v>
      </c>
      <c r="DJ124" s="10" t="s">
        <v>267</v>
      </c>
      <c r="DK124" s="7" t="s">
        <v>140</v>
      </c>
      <c r="DL124" s="40"/>
      <c r="DM124" s="40"/>
      <c r="DN124" s="38" t="str">
        <f t="shared" si="164"/>
        <v>DS_Pass-765</v>
      </c>
      <c r="DO124" s="40"/>
      <c r="DP124" s="40"/>
      <c r="DQ124" s="40"/>
      <c r="DR124" s="41"/>
      <c r="DS124" s="41"/>
      <c r="DT124" s="40"/>
      <c r="DU124" s="40"/>
      <c r="DV124" s="40"/>
      <c r="DW124" s="41"/>
      <c r="DX124" s="40"/>
      <c r="DY124" s="40"/>
      <c r="DZ124" s="37" t="s">
        <v>770</v>
      </c>
      <c r="EA124" s="39"/>
      <c r="EB124" s="37"/>
      <c r="EC124" s="37"/>
      <c r="ED124" s="16"/>
      <c r="EE124" s="1"/>
      <c r="EF124" s="55"/>
    </row>
    <row r="125" spans="1:136">
      <c r="A125" s="219" t="s">
        <v>877</v>
      </c>
      <c r="B125" s="219" t="s">
        <v>868</v>
      </c>
      <c r="C125" s="219" t="s">
        <v>865</v>
      </c>
      <c r="D125" s="13">
        <f>'Run Parameters'!$B$1 + ROW()-1</f>
        <v>766</v>
      </c>
      <c r="E125" s="15" t="s">
        <v>47</v>
      </c>
      <c r="F125" s="18" t="s">
        <v>766</v>
      </c>
      <c r="G125" s="13" t="str">
        <f t="shared" si="142"/>
        <v>Access Dtls-766</v>
      </c>
      <c r="H125" s="15" t="s">
        <v>275</v>
      </c>
      <c r="I125" s="13" t="str">
        <f>("MR. Test_116_EXCH3_"&amp;D125&amp;"")</f>
        <v>MR. Test_116_EXCH3_766</v>
      </c>
      <c r="J125" s="18"/>
      <c r="K125" s="19" t="s">
        <v>425</v>
      </c>
      <c r="L125" s="13" t="str">
        <f t="shared" si="143"/>
        <v>Cust. Ref-766</v>
      </c>
      <c r="M125" s="15" t="s">
        <v>48</v>
      </c>
      <c r="N125" s="15" t="s">
        <v>425</v>
      </c>
      <c r="O125" s="13"/>
      <c r="P125" s="13" t="str">
        <f t="shared" si="144"/>
        <v>SN-766</v>
      </c>
      <c r="Q125" s="13" t="str">
        <f t="shared" si="165"/>
        <v>SI-766</v>
      </c>
      <c r="R125" s="13" t="str">
        <f t="shared" si="166"/>
        <v>SE-766</v>
      </c>
      <c r="S125" s="54" t="str">
        <f t="shared" si="167"/>
        <v>Prev_RA-766</v>
      </c>
      <c r="T125" s="54" t="str">
        <f t="shared" si="168"/>
        <v>Prev_Comms-766</v>
      </c>
      <c r="U125" s="17" t="s">
        <v>75</v>
      </c>
      <c r="V125" s="15" t="s">
        <v>401</v>
      </c>
      <c r="W125" s="17" t="s">
        <v>75</v>
      </c>
      <c r="X125" s="15" t="s">
        <v>396</v>
      </c>
      <c r="Y125" s="13" t="str">
        <f t="shared" si="169"/>
        <v>Forward Add-766</v>
      </c>
      <c r="Z125" s="15" t="s">
        <v>401</v>
      </c>
      <c r="AA125" s="136" t="str">
        <f>'Run Parameters'!$B$2</f>
        <v>2018-08-13 08:00</v>
      </c>
      <c r="AB125" s="223" t="str">
        <f>'Run Parameters'!B$3</f>
        <v>2018-08-13 18:00</v>
      </c>
      <c r="AC125" s="26">
        <f>('Run Parameters'!$B$2) - 7</f>
        <v>43318.333333333336</v>
      </c>
      <c r="AD125" s="17" t="s">
        <v>75</v>
      </c>
      <c r="AE125" s="18" t="str">
        <f t="shared" si="170"/>
        <v>LAST_METER-766</v>
      </c>
      <c r="AF125" s="136" t="str">
        <f>'Run Parameters'!$B$2</f>
        <v>2018-08-13 08:00</v>
      </c>
      <c r="AG125" s="13" t="str">
        <f>'Run Parameters'!B$4</f>
        <v>AUTOTEST2</v>
      </c>
      <c r="AH125" s="54" t="str">
        <f t="shared" si="171"/>
        <v>Site_Contact_766</v>
      </c>
      <c r="AI125" s="136" t="str">
        <f>'Run Parameters'!B$2</f>
        <v>2018-08-13 08:00</v>
      </c>
      <c r="AJ125" s="223" t="str">
        <f>'Run Parameters'!B$3</f>
        <v>2018-08-13 18:00</v>
      </c>
      <c r="AK125" s="13" t="s">
        <v>396</v>
      </c>
      <c r="AL125" s="54" t="str">
        <f t="shared" si="172"/>
        <v>01159766</v>
      </c>
      <c r="AM125" s="13" t="str">
        <f t="shared" si="173"/>
        <v>0115766</v>
      </c>
      <c r="AN125" s="15"/>
      <c r="AO125" s="52"/>
      <c r="AP125" s="13">
        <v>1</v>
      </c>
      <c r="AQ125" s="53" t="s">
        <v>49</v>
      </c>
      <c r="AR125" s="15"/>
      <c r="AS125" s="13"/>
      <c r="AT125" s="7" t="s">
        <v>400</v>
      </c>
      <c r="AU125" s="7"/>
      <c r="AV125" s="13">
        <f t="shared" si="174"/>
        <v>766</v>
      </c>
      <c r="AW125" s="13" t="s">
        <v>767</v>
      </c>
      <c r="AX125" s="13" t="s">
        <v>420</v>
      </c>
      <c r="AY125" s="13" t="s">
        <v>421</v>
      </c>
      <c r="AZ125" s="15" t="s">
        <v>334</v>
      </c>
      <c r="BA125" s="14" t="s">
        <v>154</v>
      </c>
      <c r="BB125" s="21">
        <v>1</v>
      </c>
      <c r="BC125" s="20">
        <f t="shared" si="155"/>
        <v>766</v>
      </c>
      <c r="BD125" s="16" t="s">
        <v>768</v>
      </c>
      <c r="BE125" s="16" t="s">
        <v>391</v>
      </c>
      <c r="BF125" s="16" t="s">
        <v>390</v>
      </c>
      <c r="BG125" s="20" t="s">
        <v>766</v>
      </c>
      <c r="BH125" s="20" t="str">
        <f t="shared" si="175"/>
        <v>766_1</v>
      </c>
      <c r="BI125" s="21"/>
      <c r="BJ125" s="21" t="str">
        <f t="shared" si="176"/>
        <v>10000000766</v>
      </c>
      <c r="BK125" s="16" t="s">
        <v>51</v>
      </c>
      <c r="BL125" s="16" t="s">
        <v>54</v>
      </c>
      <c r="BM125" s="20" t="s">
        <v>769</v>
      </c>
      <c r="BN125" s="16" t="s">
        <v>51</v>
      </c>
      <c r="BO125" s="20" t="str">
        <f t="shared" si="177"/>
        <v>S05S766</v>
      </c>
      <c r="BP125" s="16" t="s">
        <v>770</v>
      </c>
      <c r="BQ125" s="16" t="s">
        <v>770</v>
      </c>
      <c r="BR125" s="20" t="s">
        <v>161</v>
      </c>
      <c r="BS125" s="16" t="s">
        <v>50</v>
      </c>
      <c r="BT125" s="16" t="s">
        <v>47</v>
      </c>
      <c r="BU125" s="16" t="s">
        <v>393</v>
      </c>
      <c r="BV125" s="16" t="s">
        <v>51</v>
      </c>
      <c r="BW125" s="16" t="s">
        <v>154</v>
      </c>
      <c r="BX125" s="16"/>
      <c r="BY125" s="16"/>
      <c r="BZ125" s="16" t="s">
        <v>157</v>
      </c>
      <c r="CA125" s="16" t="s">
        <v>269</v>
      </c>
      <c r="CB125" s="16" t="s">
        <v>412</v>
      </c>
      <c r="CC125" s="16" t="s">
        <v>771</v>
      </c>
      <c r="CD125" s="16" t="s">
        <v>392</v>
      </c>
      <c r="CE125" s="16" t="s">
        <v>396</v>
      </c>
      <c r="CF125" s="16" t="s">
        <v>398</v>
      </c>
      <c r="CG125" s="16" t="s">
        <v>267</v>
      </c>
      <c r="CH125" s="16" t="s">
        <v>159</v>
      </c>
      <c r="CI125" s="6">
        <v>1</v>
      </c>
      <c r="CJ125" s="6" t="str">
        <f t="shared" si="159"/>
        <v>GAS_ENQ_NO-766</v>
      </c>
      <c r="CK125" s="7" t="s">
        <v>165</v>
      </c>
      <c r="CL125" s="7" t="s">
        <v>391</v>
      </c>
      <c r="CM125" s="7" t="s">
        <v>390</v>
      </c>
      <c r="CN125" s="6" t="s">
        <v>278</v>
      </c>
      <c r="CO125" s="6" t="str">
        <f t="shared" si="160"/>
        <v>GAS_JOB_ID-766</v>
      </c>
      <c r="CP125" s="7"/>
      <c r="CQ125" s="6" t="str">
        <f t="shared" si="161"/>
        <v>10000766</v>
      </c>
      <c r="CR125" s="6" t="s">
        <v>154</v>
      </c>
      <c r="CS125" s="7" t="s">
        <v>51</v>
      </c>
      <c r="CT125" s="27" t="str">
        <f t="shared" si="162"/>
        <v>GMETER766</v>
      </c>
      <c r="CU125" s="6" t="s">
        <v>161</v>
      </c>
      <c r="CV125" s="7" t="s">
        <v>165</v>
      </c>
      <c r="CW125" s="7" t="s">
        <v>772</v>
      </c>
      <c r="CX125" s="7"/>
      <c r="CY125" s="7"/>
      <c r="CZ125" s="7" t="s">
        <v>394</v>
      </c>
      <c r="DA125" s="7" t="s">
        <v>395</v>
      </c>
      <c r="DB125" s="6" t="str">
        <f t="shared" si="163"/>
        <v>GAS_INST_ID-766</v>
      </c>
      <c r="DC125" s="7" t="s">
        <v>161</v>
      </c>
      <c r="DD125" s="7"/>
      <c r="DE125" s="7" t="s">
        <v>51</v>
      </c>
      <c r="DF125" s="7" t="s">
        <v>264</v>
      </c>
      <c r="DG125" s="7"/>
      <c r="DH125" s="7" t="s">
        <v>397</v>
      </c>
      <c r="DI125" s="7" t="s">
        <v>399</v>
      </c>
      <c r="DJ125" s="10" t="s">
        <v>267</v>
      </c>
      <c r="DK125" s="7" t="s">
        <v>140</v>
      </c>
      <c r="DL125" s="40"/>
      <c r="DM125" s="40"/>
      <c r="DN125" s="38" t="str">
        <f t="shared" si="164"/>
        <v>DS_Pass-766</v>
      </c>
      <c r="DO125" s="40"/>
      <c r="DP125" s="40"/>
      <c r="DQ125" s="40"/>
      <c r="DR125" s="41"/>
      <c r="DS125" s="41"/>
      <c r="DT125" s="40"/>
      <c r="DU125" s="40"/>
      <c r="DV125" s="40"/>
      <c r="DW125" s="41"/>
      <c r="DX125" s="40"/>
      <c r="DY125" s="40"/>
      <c r="DZ125" s="37" t="s">
        <v>770</v>
      </c>
      <c r="EA125" s="39"/>
      <c r="EB125" s="37"/>
      <c r="EC125" s="37"/>
      <c r="ED125" s="16"/>
      <c r="EE125" s="1"/>
      <c r="EF125" s="55"/>
    </row>
    <row r="126" spans="1:136">
      <c r="A126" s="219" t="s">
        <v>894</v>
      </c>
      <c r="B126" s="219" t="s">
        <v>892</v>
      </c>
      <c r="C126" s="219" t="s">
        <v>865</v>
      </c>
      <c r="D126" s="13">
        <f>'Run Parameters'!$B$1 + ROW()-1</f>
        <v>767</v>
      </c>
      <c r="E126" s="15" t="s">
        <v>47</v>
      </c>
      <c r="F126" s="18" t="s">
        <v>766</v>
      </c>
      <c r="G126" s="13" t="str">
        <f t="shared" si="142"/>
        <v>Access Dtls-767</v>
      </c>
      <c r="H126" s="15" t="s">
        <v>275</v>
      </c>
      <c r="I126" s="13" t="str">
        <f>("MR. Test_117_EXCH3_"&amp;D126&amp;"")</f>
        <v>MR. Test_117_EXCH3_767</v>
      </c>
      <c r="J126" s="18"/>
      <c r="K126" s="19" t="s">
        <v>425</v>
      </c>
      <c r="L126" s="13" t="str">
        <f t="shared" si="143"/>
        <v>Cust. Ref-767</v>
      </c>
      <c r="M126" s="15" t="s">
        <v>48</v>
      </c>
      <c r="N126" s="15" t="s">
        <v>425</v>
      </c>
      <c r="O126" s="13"/>
      <c r="P126" s="13" t="str">
        <f t="shared" si="144"/>
        <v>SN-767</v>
      </c>
      <c r="Q126" s="13" t="str">
        <f t="shared" si="165"/>
        <v>SI-767</v>
      </c>
      <c r="R126" s="13" t="str">
        <f t="shared" si="166"/>
        <v>SE-767</v>
      </c>
      <c r="S126" s="54" t="str">
        <f t="shared" si="167"/>
        <v>Prev_RA-767</v>
      </c>
      <c r="T126" s="54" t="str">
        <f t="shared" si="168"/>
        <v>Prev_Comms-767</v>
      </c>
      <c r="U126" s="17" t="s">
        <v>75</v>
      </c>
      <c r="V126" s="15" t="s">
        <v>401</v>
      </c>
      <c r="W126" s="17" t="s">
        <v>75</v>
      </c>
      <c r="X126" s="15" t="s">
        <v>396</v>
      </c>
      <c r="Y126" s="13" t="str">
        <f t="shared" si="169"/>
        <v>Forward Add-767</v>
      </c>
      <c r="Z126" s="15" t="s">
        <v>401</v>
      </c>
      <c r="AA126" s="136" t="str">
        <f>'Run Parameters'!$B$2</f>
        <v>2018-08-13 08:00</v>
      </c>
      <c r="AB126" s="223" t="str">
        <f>'Run Parameters'!B$3</f>
        <v>2018-08-13 18:00</v>
      </c>
      <c r="AC126" s="26">
        <f>('Run Parameters'!$B$2) - 7</f>
        <v>43318.333333333336</v>
      </c>
      <c r="AD126" s="17" t="s">
        <v>75</v>
      </c>
      <c r="AE126" s="18" t="str">
        <f t="shared" si="170"/>
        <v>LAST_METER-767</v>
      </c>
      <c r="AF126" s="136" t="str">
        <f>'Run Parameters'!$B$2</f>
        <v>2018-08-13 08:00</v>
      </c>
      <c r="AG126" s="13" t="str">
        <f>'Run Parameters'!B$4</f>
        <v>AUTOTEST2</v>
      </c>
      <c r="AH126" s="54" t="str">
        <f t="shared" si="171"/>
        <v>Site_Contact_767</v>
      </c>
      <c r="AI126" s="136" t="str">
        <f>'Run Parameters'!B$2</f>
        <v>2018-08-13 08:00</v>
      </c>
      <c r="AJ126" s="223" t="str">
        <f>'Run Parameters'!B$3</f>
        <v>2018-08-13 18:00</v>
      </c>
      <c r="AK126" s="13" t="s">
        <v>396</v>
      </c>
      <c r="AL126" s="54" t="str">
        <f t="shared" si="172"/>
        <v>01159767</v>
      </c>
      <c r="AM126" s="13" t="str">
        <f t="shared" si="173"/>
        <v>0115767</v>
      </c>
      <c r="AN126" s="15"/>
      <c r="AO126" s="52"/>
      <c r="AP126" s="13">
        <v>1</v>
      </c>
      <c r="AQ126" s="53" t="s">
        <v>49</v>
      </c>
      <c r="AR126" s="15"/>
      <c r="AS126" s="13"/>
      <c r="AT126" s="7" t="s">
        <v>400</v>
      </c>
      <c r="AU126" s="7"/>
      <c r="AV126" s="13">
        <f t="shared" si="174"/>
        <v>767</v>
      </c>
      <c r="AW126" s="13" t="s">
        <v>767</v>
      </c>
      <c r="AX126" s="13" t="s">
        <v>420</v>
      </c>
      <c r="AY126" s="13" t="s">
        <v>421</v>
      </c>
      <c r="AZ126" s="15" t="s">
        <v>334</v>
      </c>
      <c r="BA126" s="14" t="s">
        <v>154</v>
      </c>
      <c r="BB126" s="21">
        <v>1</v>
      </c>
      <c r="BC126" s="20">
        <f t="shared" si="155"/>
        <v>767</v>
      </c>
      <c r="BD126" s="16" t="s">
        <v>768</v>
      </c>
      <c r="BE126" s="16" t="s">
        <v>391</v>
      </c>
      <c r="BF126" s="16" t="s">
        <v>390</v>
      </c>
      <c r="BG126" s="20" t="s">
        <v>766</v>
      </c>
      <c r="BH126" s="20" t="str">
        <f t="shared" si="175"/>
        <v>767_1</v>
      </c>
      <c r="BI126" s="21"/>
      <c r="BJ126" s="21" t="str">
        <f t="shared" si="176"/>
        <v>10000000767</v>
      </c>
      <c r="BK126" s="16" t="s">
        <v>51</v>
      </c>
      <c r="BL126" s="16" t="s">
        <v>54</v>
      </c>
      <c r="BM126" s="20" t="s">
        <v>769</v>
      </c>
      <c r="BN126" s="16" t="s">
        <v>51</v>
      </c>
      <c r="BO126" s="20" t="str">
        <f t="shared" si="177"/>
        <v>S05S767</v>
      </c>
      <c r="BP126" s="16" t="s">
        <v>770</v>
      </c>
      <c r="BQ126" s="16" t="s">
        <v>770</v>
      </c>
      <c r="BR126" s="20" t="s">
        <v>161</v>
      </c>
      <c r="BS126" s="16" t="s">
        <v>50</v>
      </c>
      <c r="BT126" s="16" t="s">
        <v>47</v>
      </c>
      <c r="BU126" s="16" t="s">
        <v>393</v>
      </c>
      <c r="BV126" s="16" t="s">
        <v>51</v>
      </c>
      <c r="BW126" s="16" t="s">
        <v>154</v>
      </c>
      <c r="BX126" s="16"/>
      <c r="BY126" s="16"/>
      <c r="BZ126" s="16" t="s">
        <v>157</v>
      </c>
      <c r="CA126" s="16" t="s">
        <v>269</v>
      </c>
      <c r="CB126" s="16" t="s">
        <v>412</v>
      </c>
      <c r="CC126" s="16" t="s">
        <v>771</v>
      </c>
      <c r="CD126" s="16" t="s">
        <v>392</v>
      </c>
      <c r="CE126" s="16" t="s">
        <v>396</v>
      </c>
      <c r="CF126" s="16" t="s">
        <v>398</v>
      </c>
      <c r="CG126" s="16" t="s">
        <v>267</v>
      </c>
      <c r="CH126" s="16" t="s">
        <v>159</v>
      </c>
      <c r="CI126" s="6">
        <v>1</v>
      </c>
      <c r="CJ126" s="6" t="str">
        <f t="shared" si="159"/>
        <v>GAS_ENQ_NO-767</v>
      </c>
      <c r="CK126" s="7" t="s">
        <v>165</v>
      </c>
      <c r="CL126" s="7" t="s">
        <v>391</v>
      </c>
      <c r="CM126" s="7" t="s">
        <v>390</v>
      </c>
      <c r="CN126" s="6" t="s">
        <v>278</v>
      </c>
      <c r="CO126" s="6" t="str">
        <f t="shared" si="160"/>
        <v>GAS_JOB_ID-767</v>
      </c>
      <c r="CP126" s="7"/>
      <c r="CQ126" s="6" t="str">
        <f t="shared" si="161"/>
        <v>10000767</v>
      </c>
      <c r="CR126" s="6" t="s">
        <v>154</v>
      </c>
      <c r="CS126" s="7" t="s">
        <v>51</v>
      </c>
      <c r="CT126" s="27" t="str">
        <f t="shared" si="162"/>
        <v>GMETER767</v>
      </c>
      <c r="CU126" s="6" t="s">
        <v>161</v>
      </c>
      <c r="CV126" s="7" t="s">
        <v>165</v>
      </c>
      <c r="CW126" s="7" t="s">
        <v>772</v>
      </c>
      <c r="CX126" s="7"/>
      <c r="CY126" s="7"/>
      <c r="CZ126" s="7" t="s">
        <v>394</v>
      </c>
      <c r="DA126" s="7" t="s">
        <v>395</v>
      </c>
      <c r="DB126" s="6" t="str">
        <f t="shared" si="163"/>
        <v>GAS_INST_ID-767</v>
      </c>
      <c r="DC126" s="7" t="s">
        <v>161</v>
      </c>
      <c r="DD126" s="7"/>
      <c r="DE126" s="7" t="s">
        <v>51</v>
      </c>
      <c r="DF126" s="7" t="s">
        <v>264</v>
      </c>
      <c r="DG126" s="7"/>
      <c r="DH126" s="7" t="s">
        <v>397</v>
      </c>
      <c r="DI126" s="7" t="s">
        <v>399</v>
      </c>
      <c r="DJ126" s="10" t="s">
        <v>267</v>
      </c>
      <c r="DK126" s="7" t="s">
        <v>140</v>
      </c>
      <c r="DL126" s="40"/>
      <c r="DM126" s="40"/>
      <c r="DN126" s="38" t="str">
        <f t="shared" si="164"/>
        <v>DS_Pass-767</v>
      </c>
      <c r="DO126" s="40"/>
      <c r="DP126" s="40"/>
      <c r="DQ126" s="40"/>
      <c r="DR126" s="41"/>
      <c r="DS126" s="41"/>
      <c r="DT126" s="40"/>
      <c r="DU126" s="40"/>
      <c r="DV126" s="40"/>
      <c r="DW126" s="41"/>
      <c r="DX126" s="40"/>
      <c r="DY126" s="40"/>
      <c r="DZ126" s="37" t="s">
        <v>770</v>
      </c>
      <c r="EA126" s="39"/>
      <c r="EB126" s="37"/>
      <c r="EC126" s="37"/>
      <c r="ED126" s="16"/>
      <c r="EE126" s="1"/>
      <c r="EF126" s="55"/>
    </row>
    <row r="127" spans="1:136">
      <c r="A127" s="219" t="s">
        <v>895</v>
      </c>
      <c r="B127" s="219" t="s">
        <v>868</v>
      </c>
      <c r="C127" s="219" t="s">
        <v>865</v>
      </c>
      <c r="D127" s="13">
        <f>'Run Parameters'!$B$1 + ROW()-1</f>
        <v>768</v>
      </c>
      <c r="E127" s="15" t="s">
        <v>47</v>
      </c>
      <c r="F127" s="18" t="s">
        <v>766</v>
      </c>
      <c r="G127" s="13" t="str">
        <f t="shared" si="142"/>
        <v>Access Dtls-768</v>
      </c>
      <c r="H127" s="15" t="s">
        <v>275</v>
      </c>
      <c r="I127" s="13" t="str">
        <f>("MR. Test_118_EXCH3_"&amp;D127&amp;"")</f>
        <v>MR. Test_118_EXCH3_768</v>
      </c>
      <c r="J127" s="18"/>
      <c r="K127" s="19" t="s">
        <v>425</v>
      </c>
      <c r="L127" s="13" t="str">
        <f t="shared" si="143"/>
        <v>Cust. Ref-768</v>
      </c>
      <c r="M127" s="15" t="s">
        <v>48</v>
      </c>
      <c r="N127" s="15" t="s">
        <v>425</v>
      </c>
      <c r="O127" s="13"/>
      <c r="P127" s="13" t="str">
        <f t="shared" si="144"/>
        <v>SN-768</v>
      </c>
      <c r="Q127" s="13" t="str">
        <f t="shared" si="165"/>
        <v>SI-768</v>
      </c>
      <c r="R127" s="13" t="str">
        <f t="shared" si="166"/>
        <v>SE-768</v>
      </c>
      <c r="S127" s="54" t="str">
        <f t="shared" si="167"/>
        <v>Prev_RA-768</v>
      </c>
      <c r="T127" s="54" t="str">
        <f t="shared" si="168"/>
        <v>Prev_Comms-768</v>
      </c>
      <c r="U127" s="17" t="s">
        <v>75</v>
      </c>
      <c r="V127" s="15" t="s">
        <v>401</v>
      </c>
      <c r="W127" s="17" t="s">
        <v>75</v>
      </c>
      <c r="X127" s="15" t="s">
        <v>396</v>
      </c>
      <c r="Y127" s="13" t="str">
        <f t="shared" si="169"/>
        <v>Forward Add-768</v>
      </c>
      <c r="Z127" s="15" t="s">
        <v>401</v>
      </c>
      <c r="AA127" s="136" t="str">
        <f>'Run Parameters'!$B$2</f>
        <v>2018-08-13 08:00</v>
      </c>
      <c r="AB127" s="223" t="str">
        <f>'Run Parameters'!B$3</f>
        <v>2018-08-13 18:00</v>
      </c>
      <c r="AC127" s="26">
        <f>('Run Parameters'!$B$2) - 7</f>
        <v>43318.333333333336</v>
      </c>
      <c r="AD127" s="17" t="s">
        <v>75</v>
      </c>
      <c r="AE127" s="18" t="str">
        <f t="shared" si="170"/>
        <v>LAST_METER-768</v>
      </c>
      <c r="AF127" s="136" t="str">
        <f>'Run Parameters'!$B$2</f>
        <v>2018-08-13 08:00</v>
      </c>
      <c r="AG127" s="13" t="str">
        <f>'Run Parameters'!B$4</f>
        <v>AUTOTEST2</v>
      </c>
      <c r="AH127" s="54" t="str">
        <f t="shared" si="171"/>
        <v>Site_Contact_768</v>
      </c>
      <c r="AI127" s="136" t="str">
        <f>'Run Parameters'!B$2</f>
        <v>2018-08-13 08:00</v>
      </c>
      <c r="AJ127" s="223" t="str">
        <f>'Run Parameters'!B$3</f>
        <v>2018-08-13 18:00</v>
      </c>
      <c r="AK127" s="13" t="s">
        <v>396</v>
      </c>
      <c r="AL127" s="54" t="str">
        <f t="shared" si="172"/>
        <v>01159768</v>
      </c>
      <c r="AM127" s="13" t="str">
        <f t="shared" si="173"/>
        <v>0115768</v>
      </c>
      <c r="AN127" s="15"/>
      <c r="AO127" s="52"/>
      <c r="AP127" s="13">
        <v>1</v>
      </c>
      <c r="AQ127" s="53" t="s">
        <v>49</v>
      </c>
      <c r="AR127" s="15"/>
      <c r="AS127" s="13"/>
      <c r="AT127" s="7" t="s">
        <v>400</v>
      </c>
      <c r="AU127" s="7"/>
      <c r="AV127" s="13">
        <f t="shared" si="174"/>
        <v>768</v>
      </c>
      <c r="AW127" s="13" t="s">
        <v>767</v>
      </c>
      <c r="AX127" s="13" t="s">
        <v>420</v>
      </c>
      <c r="AY127" s="13" t="s">
        <v>421</v>
      </c>
      <c r="AZ127" s="15" t="s">
        <v>334</v>
      </c>
      <c r="BA127" s="14" t="s">
        <v>154</v>
      </c>
      <c r="BB127" s="21">
        <v>1</v>
      </c>
      <c r="BC127" s="20">
        <f t="shared" si="155"/>
        <v>768</v>
      </c>
      <c r="BD127" s="16" t="s">
        <v>768</v>
      </c>
      <c r="BE127" s="16" t="s">
        <v>391</v>
      </c>
      <c r="BF127" s="16" t="s">
        <v>390</v>
      </c>
      <c r="BG127" s="20" t="s">
        <v>766</v>
      </c>
      <c r="BH127" s="20" t="str">
        <f t="shared" si="175"/>
        <v>768_1</v>
      </c>
      <c r="BI127" s="21"/>
      <c r="BJ127" s="21" t="str">
        <f t="shared" si="176"/>
        <v>10000000768</v>
      </c>
      <c r="BK127" s="16" t="s">
        <v>51</v>
      </c>
      <c r="BL127" s="16" t="s">
        <v>54</v>
      </c>
      <c r="BM127" s="20" t="s">
        <v>769</v>
      </c>
      <c r="BN127" s="16" t="s">
        <v>51</v>
      </c>
      <c r="BO127" s="20" t="str">
        <f t="shared" si="177"/>
        <v>S05S768</v>
      </c>
      <c r="BP127" s="16" t="s">
        <v>770</v>
      </c>
      <c r="BQ127" s="16" t="s">
        <v>770</v>
      </c>
      <c r="BR127" s="20" t="s">
        <v>161</v>
      </c>
      <c r="BS127" s="16" t="s">
        <v>50</v>
      </c>
      <c r="BT127" s="16" t="s">
        <v>47</v>
      </c>
      <c r="BU127" s="16" t="s">
        <v>393</v>
      </c>
      <c r="BV127" s="16" t="s">
        <v>51</v>
      </c>
      <c r="BW127" s="16" t="s">
        <v>154</v>
      </c>
      <c r="BX127" s="16"/>
      <c r="BY127" s="16"/>
      <c r="BZ127" s="16" t="s">
        <v>157</v>
      </c>
      <c r="CA127" s="16" t="s">
        <v>269</v>
      </c>
      <c r="CB127" s="16" t="s">
        <v>412</v>
      </c>
      <c r="CC127" s="16" t="s">
        <v>771</v>
      </c>
      <c r="CD127" s="16" t="s">
        <v>392</v>
      </c>
      <c r="CE127" s="16" t="s">
        <v>396</v>
      </c>
      <c r="CF127" s="16" t="s">
        <v>398</v>
      </c>
      <c r="CG127" s="16" t="s">
        <v>267</v>
      </c>
      <c r="CH127" s="16" t="s">
        <v>159</v>
      </c>
      <c r="CI127" s="6">
        <v>1</v>
      </c>
      <c r="CJ127" s="6" t="str">
        <f t="shared" si="159"/>
        <v>GAS_ENQ_NO-768</v>
      </c>
      <c r="CK127" s="7" t="s">
        <v>165</v>
      </c>
      <c r="CL127" s="7" t="s">
        <v>391</v>
      </c>
      <c r="CM127" s="7" t="s">
        <v>390</v>
      </c>
      <c r="CN127" s="6" t="s">
        <v>278</v>
      </c>
      <c r="CO127" s="6" t="str">
        <f t="shared" si="160"/>
        <v>GAS_JOB_ID-768</v>
      </c>
      <c r="CP127" s="7"/>
      <c r="CQ127" s="6" t="str">
        <f t="shared" si="161"/>
        <v>10000768</v>
      </c>
      <c r="CR127" s="6" t="s">
        <v>154</v>
      </c>
      <c r="CS127" s="7" t="s">
        <v>51</v>
      </c>
      <c r="CT127" s="27" t="str">
        <f t="shared" si="162"/>
        <v>GMETER768</v>
      </c>
      <c r="CU127" s="6" t="s">
        <v>161</v>
      </c>
      <c r="CV127" s="7" t="s">
        <v>165</v>
      </c>
      <c r="CW127" s="7" t="s">
        <v>772</v>
      </c>
      <c r="CX127" s="7"/>
      <c r="CY127" s="7"/>
      <c r="CZ127" s="7" t="s">
        <v>394</v>
      </c>
      <c r="DA127" s="7" t="s">
        <v>395</v>
      </c>
      <c r="DB127" s="6" t="str">
        <f t="shared" si="163"/>
        <v>GAS_INST_ID-768</v>
      </c>
      <c r="DC127" s="7" t="s">
        <v>161</v>
      </c>
      <c r="DD127" s="7"/>
      <c r="DE127" s="7" t="s">
        <v>51</v>
      </c>
      <c r="DF127" s="7" t="s">
        <v>264</v>
      </c>
      <c r="DG127" s="7"/>
      <c r="DH127" s="7" t="s">
        <v>397</v>
      </c>
      <c r="DI127" s="7" t="s">
        <v>399</v>
      </c>
      <c r="DJ127" s="10" t="s">
        <v>267</v>
      </c>
      <c r="DK127" s="7" t="s">
        <v>140</v>
      </c>
      <c r="DL127" s="40"/>
      <c r="DM127" s="40"/>
      <c r="DN127" s="38" t="str">
        <f t="shared" si="164"/>
        <v>DS_Pass-768</v>
      </c>
      <c r="DO127" s="40"/>
      <c r="DP127" s="40"/>
      <c r="DQ127" s="40"/>
      <c r="DR127" s="41"/>
      <c r="DS127" s="41"/>
      <c r="DT127" s="40"/>
      <c r="DU127" s="40"/>
      <c r="DV127" s="40"/>
      <c r="DW127" s="41"/>
      <c r="DX127" s="40"/>
      <c r="DY127" s="40"/>
      <c r="DZ127" s="37" t="s">
        <v>770</v>
      </c>
      <c r="EA127" s="39"/>
      <c r="EB127" s="37"/>
      <c r="EC127" s="37"/>
      <c r="ED127" s="16"/>
      <c r="EE127" s="1"/>
      <c r="EF127" s="55"/>
    </row>
    <row r="128" spans="1:136">
      <c r="A128" s="219" t="s">
        <v>878</v>
      </c>
      <c r="B128" s="219" t="s">
        <v>892</v>
      </c>
      <c r="C128" s="219" t="s">
        <v>865</v>
      </c>
      <c r="D128" s="13">
        <f>'Run Parameters'!$B$1 + ROW()-1</f>
        <v>769</v>
      </c>
      <c r="E128" s="15" t="s">
        <v>47</v>
      </c>
      <c r="F128" s="18" t="s">
        <v>766</v>
      </c>
      <c r="G128" s="13" t="str">
        <f t="shared" si="142"/>
        <v>Access Dtls-769</v>
      </c>
      <c r="H128" s="15" t="s">
        <v>275</v>
      </c>
      <c r="I128" s="13" t="str">
        <f>("MR. Test_119_EXCH3_"&amp;D128&amp;"")</f>
        <v>MR. Test_119_EXCH3_769</v>
      </c>
      <c r="J128" s="18"/>
      <c r="K128" s="19" t="s">
        <v>425</v>
      </c>
      <c r="L128" s="13" t="str">
        <f t="shared" si="143"/>
        <v>Cust. Ref-769</v>
      </c>
      <c r="M128" s="15" t="s">
        <v>48</v>
      </c>
      <c r="N128" s="15" t="s">
        <v>425</v>
      </c>
      <c r="O128" s="13"/>
      <c r="P128" s="13" t="str">
        <f t="shared" si="144"/>
        <v>SN-769</v>
      </c>
      <c r="Q128" s="13" t="str">
        <f t="shared" si="145"/>
        <v>SI-769</v>
      </c>
      <c r="R128" s="13" t="str">
        <f t="shared" si="146"/>
        <v>SE-769</v>
      </c>
      <c r="S128" s="54" t="str">
        <f t="shared" si="147"/>
        <v>Prev_RA-769</v>
      </c>
      <c r="T128" s="54" t="str">
        <f t="shared" si="148"/>
        <v>Prev_Comms-769</v>
      </c>
      <c r="U128" s="17" t="s">
        <v>75</v>
      </c>
      <c r="V128" s="15" t="s">
        <v>401</v>
      </c>
      <c r="W128" s="17" t="s">
        <v>75</v>
      </c>
      <c r="X128" s="15" t="s">
        <v>396</v>
      </c>
      <c r="Y128" s="13" t="str">
        <f t="shared" si="149"/>
        <v>Forward Add-769</v>
      </c>
      <c r="Z128" s="15" t="s">
        <v>401</v>
      </c>
      <c r="AA128" s="136" t="str">
        <f>'Run Parameters'!$B$2</f>
        <v>2018-08-13 08:00</v>
      </c>
      <c r="AB128" s="223" t="str">
        <f>'Run Parameters'!B$3</f>
        <v>2018-08-13 18:00</v>
      </c>
      <c r="AC128" s="26">
        <f>('Run Parameters'!$B$2) - 7</f>
        <v>43318.333333333336</v>
      </c>
      <c r="AD128" s="17" t="s">
        <v>75</v>
      </c>
      <c r="AE128" s="18" t="str">
        <f t="shared" si="150"/>
        <v>LAST_METER-769</v>
      </c>
      <c r="AF128" s="136" t="str">
        <f>'Run Parameters'!$B$2</f>
        <v>2018-08-13 08:00</v>
      </c>
      <c r="AG128" s="13" t="str">
        <f>'Run Parameters'!B$4</f>
        <v>AUTOTEST2</v>
      </c>
      <c r="AH128" s="54" t="str">
        <f t="shared" si="151"/>
        <v>Site_Contact_769</v>
      </c>
      <c r="AI128" s="136" t="str">
        <f>'Run Parameters'!B$2</f>
        <v>2018-08-13 08:00</v>
      </c>
      <c r="AJ128" s="223" t="str">
        <f>'Run Parameters'!B$3</f>
        <v>2018-08-13 18:00</v>
      </c>
      <c r="AK128" s="13" t="s">
        <v>396</v>
      </c>
      <c r="AL128" s="54" t="str">
        <f t="shared" si="152"/>
        <v>01159769</v>
      </c>
      <c r="AM128" s="13" t="str">
        <f t="shared" si="153"/>
        <v>0115769</v>
      </c>
      <c r="AN128" s="15"/>
      <c r="AO128" s="52"/>
      <c r="AP128" s="13">
        <v>1</v>
      </c>
      <c r="AQ128" s="53" t="s">
        <v>49</v>
      </c>
      <c r="AR128" s="15"/>
      <c r="AS128" s="13"/>
      <c r="AT128" s="7" t="s">
        <v>400</v>
      </c>
      <c r="AU128" s="7"/>
      <c r="AV128" s="13">
        <f t="shared" si="154"/>
        <v>769</v>
      </c>
      <c r="AW128" s="13" t="s">
        <v>767</v>
      </c>
      <c r="AX128" s="13" t="s">
        <v>420</v>
      </c>
      <c r="AY128" s="13" t="s">
        <v>421</v>
      </c>
      <c r="AZ128" s="15" t="s">
        <v>334</v>
      </c>
      <c r="BA128" s="14" t="s">
        <v>154</v>
      </c>
      <c r="BB128" s="21">
        <v>1</v>
      </c>
      <c r="BC128" s="20">
        <f t="shared" si="155"/>
        <v>769</v>
      </c>
      <c r="BD128" s="16" t="s">
        <v>768</v>
      </c>
      <c r="BE128" s="16" t="s">
        <v>391</v>
      </c>
      <c r="BF128" s="16" t="s">
        <v>390</v>
      </c>
      <c r="BG128" s="20" t="s">
        <v>766</v>
      </c>
      <c r="BH128" s="20" t="str">
        <f t="shared" si="156"/>
        <v>769_1</v>
      </c>
      <c r="BI128" s="21"/>
      <c r="BJ128" s="21" t="str">
        <f t="shared" si="157"/>
        <v>10000000769</v>
      </c>
      <c r="BK128" s="16" t="s">
        <v>51</v>
      </c>
      <c r="BL128" s="16" t="s">
        <v>54</v>
      </c>
      <c r="BM128" s="20" t="s">
        <v>769</v>
      </c>
      <c r="BN128" s="16" t="s">
        <v>51</v>
      </c>
      <c r="BO128" s="20" t="str">
        <f t="shared" si="158"/>
        <v>S05S769</v>
      </c>
      <c r="BP128" s="16" t="s">
        <v>770</v>
      </c>
      <c r="BQ128" s="16" t="s">
        <v>770</v>
      </c>
      <c r="BR128" s="20" t="s">
        <v>161</v>
      </c>
      <c r="BS128" s="16" t="s">
        <v>50</v>
      </c>
      <c r="BT128" s="16" t="s">
        <v>47</v>
      </c>
      <c r="BU128" s="16" t="s">
        <v>393</v>
      </c>
      <c r="BV128" s="16" t="s">
        <v>51</v>
      </c>
      <c r="BW128" s="16" t="s">
        <v>154</v>
      </c>
      <c r="BX128" s="16"/>
      <c r="BY128" s="16"/>
      <c r="BZ128" s="16" t="s">
        <v>157</v>
      </c>
      <c r="CA128" s="16" t="s">
        <v>269</v>
      </c>
      <c r="CB128" s="16" t="s">
        <v>412</v>
      </c>
      <c r="CC128" s="16" t="s">
        <v>771</v>
      </c>
      <c r="CD128" s="16" t="s">
        <v>392</v>
      </c>
      <c r="CE128" s="16" t="s">
        <v>396</v>
      </c>
      <c r="CF128" s="16" t="s">
        <v>398</v>
      </c>
      <c r="CG128" s="16" t="s">
        <v>267</v>
      </c>
      <c r="CH128" s="16" t="s">
        <v>159</v>
      </c>
      <c r="CI128" s="6">
        <v>1</v>
      </c>
      <c r="CJ128" s="6" t="str">
        <f t="shared" ref="CJ128:CJ150" si="178">("GAS_ENQ_NO-" &amp; D128)</f>
        <v>GAS_ENQ_NO-769</v>
      </c>
      <c r="CK128" s="7" t="s">
        <v>165</v>
      </c>
      <c r="CL128" s="7" t="s">
        <v>391</v>
      </c>
      <c r="CM128" s="7" t="s">
        <v>390</v>
      </c>
      <c r="CN128" s="6" t="s">
        <v>278</v>
      </c>
      <c r="CO128" s="6" t="str">
        <f t="shared" ref="CO128:CO150" si="179">("GAS_JOB_ID-" &amp; D128)</f>
        <v>GAS_JOB_ID-769</v>
      </c>
      <c r="CP128" s="7"/>
      <c r="CQ128" s="6" t="str">
        <f t="shared" ref="CQ128:CQ150" si="180">"10000" &amp; D128</f>
        <v>10000769</v>
      </c>
      <c r="CR128" s="6" t="s">
        <v>154</v>
      </c>
      <c r="CS128" s="7" t="s">
        <v>51</v>
      </c>
      <c r="CT128" s="27" t="str">
        <f t="shared" ref="CT128:CT150" si="181">"GMETER" &amp; D128</f>
        <v>GMETER769</v>
      </c>
      <c r="CU128" s="6" t="s">
        <v>161</v>
      </c>
      <c r="CV128" s="7" t="s">
        <v>165</v>
      </c>
      <c r="CW128" s="7" t="s">
        <v>772</v>
      </c>
      <c r="CX128" s="7"/>
      <c r="CY128" s="7"/>
      <c r="CZ128" s="7" t="s">
        <v>394</v>
      </c>
      <c r="DA128" s="7" t="s">
        <v>395</v>
      </c>
      <c r="DB128" s="6" t="str">
        <f t="shared" si="163"/>
        <v>GAS_INST_ID-769</v>
      </c>
      <c r="DC128" s="7" t="s">
        <v>161</v>
      </c>
      <c r="DD128" s="7"/>
      <c r="DE128" s="7" t="s">
        <v>51</v>
      </c>
      <c r="DF128" s="7" t="s">
        <v>264</v>
      </c>
      <c r="DG128" s="7"/>
      <c r="DH128" s="7" t="s">
        <v>397</v>
      </c>
      <c r="DI128" s="7" t="s">
        <v>399</v>
      </c>
      <c r="DJ128" s="10" t="s">
        <v>267</v>
      </c>
      <c r="DK128" s="7" t="s">
        <v>140</v>
      </c>
      <c r="DL128" s="40"/>
      <c r="DM128" s="40"/>
      <c r="DN128" s="38" t="str">
        <f t="shared" si="164"/>
        <v>DS_Pass-769</v>
      </c>
      <c r="DO128" s="40"/>
      <c r="DP128" s="40"/>
      <c r="DQ128" s="40"/>
      <c r="DR128" s="41"/>
      <c r="DS128" s="41"/>
      <c r="DT128" s="40"/>
      <c r="DU128" s="40"/>
      <c r="DV128" s="40"/>
      <c r="DW128" s="41"/>
      <c r="DX128" s="40"/>
      <c r="DY128" s="40"/>
      <c r="DZ128" s="37" t="s">
        <v>770</v>
      </c>
      <c r="EA128" s="39"/>
      <c r="EB128" s="37"/>
      <c r="EC128" s="37"/>
      <c r="ED128" s="16"/>
      <c r="EE128" s="1"/>
      <c r="EF128" s="55"/>
    </row>
    <row r="129" spans="1:136">
      <c r="A129" s="219" t="s">
        <v>879</v>
      </c>
      <c r="B129" s="219" t="s">
        <v>868</v>
      </c>
      <c r="C129" s="219" t="s">
        <v>865</v>
      </c>
      <c r="D129" s="13">
        <f>'Run Parameters'!$B$1 + ROW()-1</f>
        <v>770</v>
      </c>
      <c r="E129" s="15" t="s">
        <v>47</v>
      </c>
      <c r="F129" s="18" t="s">
        <v>766</v>
      </c>
      <c r="G129" s="13" t="str">
        <f t="shared" si="142"/>
        <v>Access Dtls-770</v>
      </c>
      <c r="H129" s="15" t="s">
        <v>275</v>
      </c>
      <c r="I129" s="13" t="str">
        <f>("MR. Test_120_EXCH3_"&amp;D129&amp;"")</f>
        <v>MR. Test_120_EXCH3_770</v>
      </c>
      <c r="J129" s="18"/>
      <c r="K129" s="19" t="s">
        <v>425</v>
      </c>
      <c r="L129" s="13" t="str">
        <f t="shared" si="143"/>
        <v>Cust. Ref-770</v>
      </c>
      <c r="M129" s="15" t="s">
        <v>48</v>
      </c>
      <c r="N129" s="15" t="s">
        <v>425</v>
      </c>
      <c r="O129" s="13"/>
      <c r="P129" s="13" t="str">
        <f t="shared" si="144"/>
        <v>SN-770</v>
      </c>
      <c r="Q129" s="13" t="str">
        <f t="shared" si="145"/>
        <v>SI-770</v>
      </c>
      <c r="R129" s="13" t="str">
        <f t="shared" si="146"/>
        <v>SE-770</v>
      </c>
      <c r="S129" s="54" t="str">
        <f t="shared" si="147"/>
        <v>Prev_RA-770</v>
      </c>
      <c r="T129" s="54" t="str">
        <f t="shared" si="148"/>
        <v>Prev_Comms-770</v>
      </c>
      <c r="U129" s="17" t="s">
        <v>75</v>
      </c>
      <c r="V129" s="15" t="s">
        <v>401</v>
      </c>
      <c r="W129" s="17" t="s">
        <v>75</v>
      </c>
      <c r="X129" s="15" t="s">
        <v>396</v>
      </c>
      <c r="Y129" s="13" t="str">
        <f t="shared" si="149"/>
        <v>Forward Add-770</v>
      </c>
      <c r="Z129" s="15" t="s">
        <v>401</v>
      </c>
      <c r="AA129" s="136" t="str">
        <f>'Run Parameters'!$B$2</f>
        <v>2018-08-13 08:00</v>
      </c>
      <c r="AB129" s="223" t="str">
        <f>'Run Parameters'!B$3</f>
        <v>2018-08-13 18:00</v>
      </c>
      <c r="AC129" s="26">
        <f>('Run Parameters'!$B$2) - 7</f>
        <v>43318.333333333336</v>
      </c>
      <c r="AD129" s="17" t="s">
        <v>75</v>
      </c>
      <c r="AE129" s="18" t="str">
        <f t="shared" si="150"/>
        <v>LAST_METER-770</v>
      </c>
      <c r="AF129" s="136" t="str">
        <f>'Run Parameters'!$B$2</f>
        <v>2018-08-13 08:00</v>
      </c>
      <c r="AG129" s="13" t="str">
        <f>'Run Parameters'!B$4</f>
        <v>AUTOTEST2</v>
      </c>
      <c r="AH129" s="54" t="str">
        <f t="shared" si="151"/>
        <v>Site_Contact_770</v>
      </c>
      <c r="AI129" s="136" t="str">
        <f>'Run Parameters'!B$2</f>
        <v>2018-08-13 08:00</v>
      </c>
      <c r="AJ129" s="223" t="str">
        <f>'Run Parameters'!B$3</f>
        <v>2018-08-13 18:00</v>
      </c>
      <c r="AK129" s="13" t="s">
        <v>396</v>
      </c>
      <c r="AL129" s="54" t="str">
        <f t="shared" si="152"/>
        <v>01159770</v>
      </c>
      <c r="AM129" s="13" t="str">
        <f t="shared" si="153"/>
        <v>0115770</v>
      </c>
      <c r="AN129" s="15"/>
      <c r="AO129" s="52"/>
      <c r="AP129" s="13">
        <v>1</v>
      </c>
      <c r="AQ129" s="53" t="s">
        <v>49</v>
      </c>
      <c r="AR129" s="15"/>
      <c r="AS129" s="13"/>
      <c r="AT129" s="7" t="s">
        <v>400</v>
      </c>
      <c r="AU129" s="7"/>
      <c r="AV129" s="13">
        <f t="shared" si="154"/>
        <v>770</v>
      </c>
      <c r="AW129" s="13" t="s">
        <v>767</v>
      </c>
      <c r="AX129" s="13" t="s">
        <v>420</v>
      </c>
      <c r="AY129" s="13" t="s">
        <v>421</v>
      </c>
      <c r="AZ129" s="15" t="s">
        <v>334</v>
      </c>
      <c r="BA129" s="14" t="s">
        <v>154</v>
      </c>
      <c r="BB129" s="21">
        <v>1</v>
      </c>
      <c r="BC129" s="20">
        <f t="shared" si="155"/>
        <v>770</v>
      </c>
      <c r="BD129" s="16" t="s">
        <v>768</v>
      </c>
      <c r="BE129" s="16" t="s">
        <v>391</v>
      </c>
      <c r="BF129" s="16" t="s">
        <v>390</v>
      </c>
      <c r="BG129" s="20" t="s">
        <v>766</v>
      </c>
      <c r="BH129" s="20" t="str">
        <f t="shared" si="156"/>
        <v>770_1</v>
      </c>
      <c r="BI129" s="21"/>
      <c r="BJ129" s="21" t="str">
        <f t="shared" si="157"/>
        <v>10000000770</v>
      </c>
      <c r="BK129" s="16" t="s">
        <v>51</v>
      </c>
      <c r="BL129" s="16" t="s">
        <v>54</v>
      </c>
      <c r="BM129" s="20" t="s">
        <v>769</v>
      </c>
      <c r="BN129" s="16" t="s">
        <v>51</v>
      </c>
      <c r="BO129" s="20" t="str">
        <f t="shared" si="158"/>
        <v>S05S770</v>
      </c>
      <c r="BP129" s="16" t="s">
        <v>770</v>
      </c>
      <c r="BQ129" s="16" t="s">
        <v>770</v>
      </c>
      <c r="BR129" s="20" t="s">
        <v>161</v>
      </c>
      <c r="BS129" s="16" t="s">
        <v>50</v>
      </c>
      <c r="BT129" s="16" t="s">
        <v>47</v>
      </c>
      <c r="BU129" s="16" t="s">
        <v>393</v>
      </c>
      <c r="BV129" s="16" t="s">
        <v>51</v>
      </c>
      <c r="BW129" s="16" t="s">
        <v>154</v>
      </c>
      <c r="BX129" s="16"/>
      <c r="BY129" s="16"/>
      <c r="BZ129" s="16" t="s">
        <v>157</v>
      </c>
      <c r="CA129" s="16" t="s">
        <v>269</v>
      </c>
      <c r="CB129" s="16" t="s">
        <v>412</v>
      </c>
      <c r="CC129" s="16" t="s">
        <v>771</v>
      </c>
      <c r="CD129" s="16" t="s">
        <v>392</v>
      </c>
      <c r="CE129" s="16" t="s">
        <v>396</v>
      </c>
      <c r="CF129" s="16" t="s">
        <v>398</v>
      </c>
      <c r="CG129" s="16" t="s">
        <v>267</v>
      </c>
      <c r="CH129" s="16" t="s">
        <v>159</v>
      </c>
      <c r="CI129" s="6">
        <v>1</v>
      </c>
      <c r="CJ129" s="6" t="str">
        <f t="shared" si="178"/>
        <v>GAS_ENQ_NO-770</v>
      </c>
      <c r="CK129" s="7" t="s">
        <v>165</v>
      </c>
      <c r="CL129" s="7" t="s">
        <v>391</v>
      </c>
      <c r="CM129" s="7" t="s">
        <v>390</v>
      </c>
      <c r="CN129" s="6" t="s">
        <v>278</v>
      </c>
      <c r="CO129" s="6" t="str">
        <f t="shared" si="179"/>
        <v>GAS_JOB_ID-770</v>
      </c>
      <c r="CP129" s="7"/>
      <c r="CQ129" s="6" t="str">
        <f t="shared" si="180"/>
        <v>10000770</v>
      </c>
      <c r="CR129" s="6" t="s">
        <v>154</v>
      </c>
      <c r="CS129" s="7" t="s">
        <v>51</v>
      </c>
      <c r="CT129" s="27" t="str">
        <f t="shared" si="181"/>
        <v>GMETER770</v>
      </c>
      <c r="CU129" s="6" t="s">
        <v>161</v>
      </c>
      <c r="CV129" s="7" t="s">
        <v>165</v>
      </c>
      <c r="CW129" s="7" t="s">
        <v>772</v>
      </c>
      <c r="CX129" s="7"/>
      <c r="CY129" s="7"/>
      <c r="CZ129" s="7" t="s">
        <v>394</v>
      </c>
      <c r="DA129" s="7" t="s">
        <v>395</v>
      </c>
      <c r="DB129" s="6" t="str">
        <f t="shared" si="163"/>
        <v>GAS_INST_ID-770</v>
      </c>
      <c r="DC129" s="7" t="s">
        <v>161</v>
      </c>
      <c r="DD129" s="7"/>
      <c r="DE129" s="7" t="s">
        <v>51</v>
      </c>
      <c r="DF129" s="7" t="s">
        <v>264</v>
      </c>
      <c r="DG129" s="7"/>
      <c r="DH129" s="7" t="s">
        <v>397</v>
      </c>
      <c r="DI129" s="7" t="s">
        <v>399</v>
      </c>
      <c r="DJ129" s="10" t="s">
        <v>267</v>
      </c>
      <c r="DK129" s="7" t="s">
        <v>140</v>
      </c>
      <c r="DL129" s="40"/>
      <c r="DM129" s="40"/>
      <c r="DN129" s="38" t="str">
        <f t="shared" si="164"/>
        <v>DS_Pass-770</v>
      </c>
      <c r="DO129" s="40"/>
      <c r="DP129" s="40"/>
      <c r="DQ129" s="40"/>
      <c r="DR129" s="41"/>
      <c r="DS129" s="41"/>
      <c r="DT129" s="40"/>
      <c r="DU129" s="40"/>
      <c r="DV129" s="40"/>
      <c r="DW129" s="41"/>
      <c r="DX129" s="40"/>
      <c r="DY129" s="40"/>
      <c r="DZ129" s="37" t="s">
        <v>770</v>
      </c>
      <c r="EA129" s="39"/>
      <c r="EB129" s="37"/>
      <c r="EC129" s="37"/>
      <c r="ED129" s="16"/>
      <c r="EE129" s="1"/>
      <c r="EF129" s="55"/>
    </row>
    <row r="130" spans="1:136">
      <c r="A130" s="219" t="s">
        <v>880</v>
      </c>
      <c r="B130" s="219" t="s">
        <v>892</v>
      </c>
      <c r="C130" s="219" t="s">
        <v>865</v>
      </c>
      <c r="D130" s="13">
        <f>'Run Parameters'!$B$1 + ROW()-1</f>
        <v>771</v>
      </c>
      <c r="E130" s="15" t="s">
        <v>47</v>
      </c>
      <c r="F130" s="18" t="s">
        <v>766</v>
      </c>
      <c r="G130" s="13" t="str">
        <f t="shared" si="142"/>
        <v>Access Dtls-771</v>
      </c>
      <c r="H130" s="15" t="s">
        <v>275</v>
      </c>
      <c r="I130" s="13" t="str">
        <f>("MR. Test_121_EXCH3_"&amp;D130&amp;"")</f>
        <v>MR. Test_121_EXCH3_771</v>
      </c>
      <c r="J130" s="18"/>
      <c r="K130" s="19" t="s">
        <v>425</v>
      </c>
      <c r="L130" s="13" t="str">
        <f t="shared" si="143"/>
        <v>Cust. Ref-771</v>
      </c>
      <c r="M130" s="15" t="s">
        <v>48</v>
      </c>
      <c r="N130" s="15" t="s">
        <v>425</v>
      </c>
      <c r="O130" s="13"/>
      <c r="P130" s="13" t="str">
        <f t="shared" si="144"/>
        <v>SN-771</v>
      </c>
      <c r="Q130" s="13" t="str">
        <f t="shared" si="145"/>
        <v>SI-771</v>
      </c>
      <c r="R130" s="13" t="str">
        <f t="shared" si="146"/>
        <v>SE-771</v>
      </c>
      <c r="S130" s="54" t="str">
        <f t="shared" si="147"/>
        <v>Prev_RA-771</v>
      </c>
      <c r="T130" s="54" t="str">
        <f t="shared" si="148"/>
        <v>Prev_Comms-771</v>
      </c>
      <c r="U130" s="17" t="s">
        <v>75</v>
      </c>
      <c r="V130" s="15" t="s">
        <v>401</v>
      </c>
      <c r="W130" s="17" t="s">
        <v>75</v>
      </c>
      <c r="X130" s="15" t="s">
        <v>396</v>
      </c>
      <c r="Y130" s="13" t="str">
        <f t="shared" si="149"/>
        <v>Forward Add-771</v>
      </c>
      <c r="Z130" s="15" t="s">
        <v>401</v>
      </c>
      <c r="AA130" s="136" t="str">
        <f>'Run Parameters'!$B$2</f>
        <v>2018-08-13 08:00</v>
      </c>
      <c r="AB130" s="223" t="str">
        <f>'Run Parameters'!B$3</f>
        <v>2018-08-13 18:00</v>
      </c>
      <c r="AC130" s="26">
        <f>('Run Parameters'!$B$2) - 7</f>
        <v>43318.333333333336</v>
      </c>
      <c r="AD130" s="17" t="s">
        <v>75</v>
      </c>
      <c r="AE130" s="18" t="str">
        <f t="shared" si="150"/>
        <v>LAST_METER-771</v>
      </c>
      <c r="AF130" s="136" t="str">
        <f>'Run Parameters'!$B$2</f>
        <v>2018-08-13 08:00</v>
      </c>
      <c r="AG130" s="13" t="str">
        <f>'Run Parameters'!B$4</f>
        <v>AUTOTEST2</v>
      </c>
      <c r="AH130" s="54" t="str">
        <f t="shared" si="151"/>
        <v>Site_Contact_771</v>
      </c>
      <c r="AI130" s="136" t="str">
        <f>'Run Parameters'!B$2</f>
        <v>2018-08-13 08:00</v>
      </c>
      <c r="AJ130" s="223" t="str">
        <f>'Run Parameters'!B$3</f>
        <v>2018-08-13 18:00</v>
      </c>
      <c r="AK130" s="13" t="s">
        <v>396</v>
      </c>
      <c r="AL130" s="54" t="str">
        <f t="shared" si="152"/>
        <v>01159771</v>
      </c>
      <c r="AM130" s="13" t="str">
        <f t="shared" si="153"/>
        <v>0115771</v>
      </c>
      <c r="AN130" s="15"/>
      <c r="AO130" s="52"/>
      <c r="AP130" s="13">
        <v>1</v>
      </c>
      <c r="AQ130" s="53" t="s">
        <v>49</v>
      </c>
      <c r="AR130" s="15"/>
      <c r="AS130" s="13"/>
      <c r="AT130" s="7" t="s">
        <v>400</v>
      </c>
      <c r="AU130" s="7"/>
      <c r="AV130" s="13">
        <f t="shared" si="154"/>
        <v>771</v>
      </c>
      <c r="AW130" s="13" t="s">
        <v>767</v>
      </c>
      <c r="AX130" s="13" t="s">
        <v>420</v>
      </c>
      <c r="AY130" s="13" t="s">
        <v>421</v>
      </c>
      <c r="AZ130" s="15" t="s">
        <v>334</v>
      </c>
      <c r="BA130" s="14" t="s">
        <v>154</v>
      </c>
      <c r="BB130" s="21">
        <v>1</v>
      </c>
      <c r="BC130" s="20">
        <f t="shared" si="155"/>
        <v>771</v>
      </c>
      <c r="BD130" s="16" t="s">
        <v>768</v>
      </c>
      <c r="BE130" s="16" t="s">
        <v>391</v>
      </c>
      <c r="BF130" s="16" t="s">
        <v>390</v>
      </c>
      <c r="BG130" s="20" t="s">
        <v>766</v>
      </c>
      <c r="BH130" s="20" t="str">
        <f t="shared" si="156"/>
        <v>771_1</v>
      </c>
      <c r="BI130" s="21"/>
      <c r="BJ130" s="21" t="str">
        <f t="shared" si="157"/>
        <v>10000000771</v>
      </c>
      <c r="BK130" s="16" t="s">
        <v>51</v>
      </c>
      <c r="BL130" s="16" t="s">
        <v>54</v>
      </c>
      <c r="BM130" s="20" t="s">
        <v>769</v>
      </c>
      <c r="BN130" s="16" t="s">
        <v>51</v>
      </c>
      <c r="BO130" s="20" t="str">
        <f t="shared" si="158"/>
        <v>S05S771</v>
      </c>
      <c r="BP130" s="16" t="s">
        <v>770</v>
      </c>
      <c r="BQ130" s="16" t="s">
        <v>770</v>
      </c>
      <c r="BR130" s="20" t="s">
        <v>161</v>
      </c>
      <c r="BS130" s="16" t="s">
        <v>50</v>
      </c>
      <c r="BT130" s="16" t="s">
        <v>47</v>
      </c>
      <c r="BU130" s="16" t="s">
        <v>393</v>
      </c>
      <c r="BV130" s="16" t="s">
        <v>51</v>
      </c>
      <c r="BW130" s="16" t="s">
        <v>154</v>
      </c>
      <c r="BX130" s="16"/>
      <c r="BY130" s="16"/>
      <c r="BZ130" s="16" t="s">
        <v>157</v>
      </c>
      <c r="CA130" s="16" t="s">
        <v>269</v>
      </c>
      <c r="CB130" s="16" t="s">
        <v>412</v>
      </c>
      <c r="CC130" s="16" t="s">
        <v>771</v>
      </c>
      <c r="CD130" s="16" t="s">
        <v>392</v>
      </c>
      <c r="CE130" s="16" t="s">
        <v>396</v>
      </c>
      <c r="CF130" s="16" t="s">
        <v>398</v>
      </c>
      <c r="CG130" s="16" t="s">
        <v>267</v>
      </c>
      <c r="CH130" s="16" t="s">
        <v>159</v>
      </c>
      <c r="CI130" s="6">
        <v>1</v>
      </c>
      <c r="CJ130" s="6" t="str">
        <f t="shared" si="178"/>
        <v>GAS_ENQ_NO-771</v>
      </c>
      <c r="CK130" s="7" t="s">
        <v>165</v>
      </c>
      <c r="CL130" s="7" t="s">
        <v>391</v>
      </c>
      <c r="CM130" s="7" t="s">
        <v>390</v>
      </c>
      <c r="CN130" s="6" t="s">
        <v>278</v>
      </c>
      <c r="CO130" s="6" t="str">
        <f t="shared" si="179"/>
        <v>GAS_JOB_ID-771</v>
      </c>
      <c r="CP130" s="7"/>
      <c r="CQ130" s="6" t="str">
        <f t="shared" si="180"/>
        <v>10000771</v>
      </c>
      <c r="CR130" s="6" t="s">
        <v>154</v>
      </c>
      <c r="CS130" s="7" t="s">
        <v>51</v>
      </c>
      <c r="CT130" s="27" t="str">
        <f t="shared" si="181"/>
        <v>GMETER771</v>
      </c>
      <c r="CU130" s="6" t="s">
        <v>161</v>
      </c>
      <c r="CV130" s="7" t="s">
        <v>165</v>
      </c>
      <c r="CW130" s="7" t="s">
        <v>772</v>
      </c>
      <c r="CX130" s="7"/>
      <c r="CY130" s="7"/>
      <c r="CZ130" s="7" t="s">
        <v>394</v>
      </c>
      <c r="DA130" s="7" t="s">
        <v>395</v>
      </c>
      <c r="DB130" s="6" t="str">
        <f t="shared" si="163"/>
        <v>GAS_INST_ID-771</v>
      </c>
      <c r="DC130" s="7" t="s">
        <v>161</v>
      </c>
      <c r="DD130" s="7"/>
      <c r="DE130" s="7" t="s">
        <v>51</v>
      </c>
      <c r="DF130" s="7" t="s">
        <v>264</v>
      </c>
      <c r="DG130" s="7"/>
      <c r="DH130" s="7" t="s">
        <v>397</v>
      </c>
      <c r="DI130" s="7" t="s">
        <v>399</v>
      </c>
      <c r="DJ130" s="10" t="s">
        <v>267</v>
      </c>
      <c r="DK130" s="7" t="s">
        <v>140</v>
      </c>
      <c r="DL130" s="40"/>
      <c r="DM130" s="40"/>
      <c r="DN130" s="38" t="str">
        <f t="shared" si="164"/>
        <v>DS_Pass-771</v>
      </c>
      <c r="DO130" s="40"/>
      <c r="DP130" s="40"/>
      <c r="DQ130" s="40"/>
      <c r="DR130" s="41"/>
      <c r="DS130" s="41"/>
      <c r="DT130" s="40"/>
      <c r="DU130" s="40"/>
      <c r="DV130" s="40"/>
      <c r="DW130" s="41"/>
      <c r="DX130" s="40"/>
      <c r="DY130" s="40"/>
      <c r="DZ130" s="37" t="s">
        <v>770</v>
      </c>
      <c r="EA130" s="39"/>
      <c r="EB130" s="37"/>
      <c r="EC130" s="37"/>
      <c r="ED130" s="16"/>
      <c r="EE130" s="1"/>
      <c r="EF130" s="55"/>
    </row>
    <row r="131" spans="1:136">
      <c r="A131" s="219" t="s">
        <v>1080</v>
      </c>
      <c r="B131" s="219" t="s">
        <v>892</v>
      </c>
      <c r="C131" s="219" t="s">
        <v>865</v>
      </c>
      <c r="D131" s="13">
        <f>'Run Parameters'!$B$1 + ROW()-1</f>
        <v>772</v>
      </c>
      <c r="E131" s="15" t="s">
        <v>47</v>
      </c>
      <c r="F131" s="18" t="s">
        <v>766</v>
      </c>
      <c r="G131" s="13" t="str">
        <f t="shared" si="142"/>
        <v>Access Dtls-772</v>
      </c>
      <c r="H131" s="15" t="s">
        <v>275</v>
      </c>
      <c r="I131" s="13" t="str">
        <f>("MR. Test_122_EXCH3_"&amp;D131&amp;"")</f>
        <v>MR. Test_122_EXCH3_772</v>
      </c>
      <c r="J131" s="18"/>
      <c r="K131" s="19" t="s">
        <v>425</v>
      </c>
      <c r="L131" s="13" t="str">
        <f t="shared" si="143"/>
        <v>Cust. Ref-772</v>
      </c>
      <c r="M131" s="15" t="s">
        <v>48</v>
      </c>
      <c r="N131" s="15" t="s">
        <v>425</v>
      </c>
      <c r="O131" s="13"/>
      <c r="P131" s="13" t="str">
        <f t="shared" si="144"/>
        <v>SN-772</v>
      </c>
      <c r="Q131" s="13" t="str">
        <f t="shared" si="145"/>
        <v>SI-772</v>
      </c>
      <c r="R131" s="13" t="str">
        <f t="shared" si="146"/>
        <v>SE-772</v>
      </c>
      <c r="S131" s="54" t="str">
        <f t="shared" si="147"/>
        <v>Prev_RA-772</v>
      </c>
      <c r="T131" s="54" t="str">
        <f t="shared" si="148"/>
        <v>Prev_Comms-772</v>
      </c>
      <c r="U131" s="17" t="s">
        <v>75</v>
      </c>
      <c r="V131" s="15" t="s">
        <v>401</v>
      </c>
      <c r="W131" s="17" t="s">
        <v>75</v>
      </c>
      <c r="X131" s="15" t="s">
        <v>1081</v>
      </c>
      <c r="Y131" s="13" t="str">
        <f t="shared" si="149"/>
        <v>Forward Add-772</v>
      </c>
      <c r="Z131" s="15" t="s">
        <v>401</v>
      </c>
      <c r="AA131" s="136" t="str">
        <f>'Run Parameters'!$B$2</f>
        <v>2018-08-13 08:00</v>
      </c>
      <c r="AB131" s="223" t="str">
        <f>'Run Parameters'!B$3</f>
        <v>2018-08-13 18:00</v>
      </c>
      <c r="AC131" s="26">
        <f>('Run Parameters'!$B$2) - 7</f>
        <v>43318.333333333336</v>
      </c>
      <c r="AD131" s="17" t="s">
        <v>75</v>
      </c>
      <c r="AE131" s="18" t="str">
        <f t="shared" si="150"/>
        <v>LAST_METER-772</v>
      </c>
      <c r="AF131" s="136" t="str">
        <f>'Run Parameters'!$B$2</f>
        <v>2018-08-13 08:00</v>
      </c>
      <c r="AG131" s="13" t="str">
        <f>'Run Parameters'!B$4</f>
        <v>AUTOTEST2</v>
      </c>
      <c r="AH131" s="54" t="str">
        <f t="shared" si="151"/>
        <v>Site_Contact_772</v>
      </c>
      <c r="AI131" s="136" t="str">
        <f>'Run Parameters'!B$2</f>
        <v>2018-08-13 08:00</v>
      </c>
      <c r="AJ131" s="223" t="str">
        <f>'Run Parameters'!B$3</f>
        <v>2018-08-13 18:00</v>
      </c>
      <c r="AK131" s="13" t="s">
        <v>1081</v>
      </c>
      <c r="AL131" s="54" t="str">
        <f t="shared" si="152"/>
        <v>01159772</v>
      </c>
      <c r="AM131" s="13" t="str">
        <f t="shared" si="153"/>
        <v>0115772</v>
      </c>
      <c r="AN131" s="15"/>
      <c r="AO131" s="52"/>
      <c r="AP131" s="13">
        <v>1</v>
      </c>
      <c r="AQ131" s="53" t="s">
        <v>49</v>
      </c>
      <c r="AR131" s="15"/>
      <c r="AS131" s="13"/>
      <c r="AT131" s="7" t="s">
        <v>400</v>
      </c>
      <c r="AU131" s="7"/>
      <c r="AV131" s="13">
        <f t="shared" si="154"/>
        <v>772</v>
      </c>
      <c r="AW131" s="13" t="s">
        <v>767</v>
      </c>
      <c r="AX131" s="13" t="s">
        <v>420</v>
      </c>
      <c r="AY131" s="13" t="s">
        <v>421</v>
      </c>
      <c r="AZ131" s="15" t="s">
        <v>334</v>
      </c>
      <c r="BA131" s="14" t="s">
        <v>154</v>
      </c>
      <c r="BB131" s="21">
        <v>1</v>
      </c>
      <c r="BC131" s="20">
        <f t="shared" si="155"/>
        <v>772</v>
      </c>
      <c r="BD131" s="16" t="s">
        <v>1100</v>
      </c>
      <c r="BE131" s="16" t="s">
        <v>391</v>
      </c>
      <c r="BF131" s="16" t="s">
        <v>390</v>
      </c>
      <c r="BG131" s="20" t="s">
        <v>766</v>
      </c>
      <c r="BH131" s="20" t="str">
        <f t="shared" si="156"/>
        <v>772_1</v>
      </c>
      <c r="BI131" s="21"/>
      <c r="BJ131" s="21" t="str">
        <f t="shared" si="157"/>
        <v>10000000772</v>
      </c>
      <c r="BK131" s="16" t="s">
        <v>51</v>
      </c>
      <c r="BL131" s="16" t="s">
        <v>54</v>
      </c>
      <c r="BM131" s="20" t="s">
        <v>769</v>
      </c>
      <c r="BN131" s="16" t="s">
        <v>51</v>
      </c>
      <c r="BO131" s="20" t="str">
        <f t="shared" si="158"/>
        <v>S05S772</v>
      </c>
      <c r="BP131" s="16" t="s">
        <v>770</v>
      </c>
      <c r="BQ131" s="16" t="s">
        <v>770</v>
      </c>
      <c r="BR131" s="20" t="s">
        <v>161</v>
      </c>
      <c r="BS131" s="16" t="s">
        <v>50</v>
      </c>
      <c r="BT131" s="16" t="s">
        <v>47</v>
      </c>
      <c r="BU131" s="16" t="s">
        <v>393</v>
      </c>
      <c r="BV131" s="16" t="s">
        <v>51</v>
      </c>
      <c r="BW131" s="16" t="s">
        <v>154</v>
      </c>
      <c r="BX131" s="16"/>
      <c r="BY131" s="16"/>
      <c r="BZ131" s="16" t="s">
        <v>157</v>
      </c>
      <c r="CA131" s="16" t="s">
        <v>269</v>
      </c>
      <c r="CB131" s="16" t="s">
        <v>412</v>
      </c>
      <c r="CC131" s="16" t="s">
        <v>771</v>
      </c>
      <c r="CD131" s="16" t="s">
        <v>392</v>
      </c>
      <c r="CE131" s="16" t="s">
        <v>392</v>
      </c>
      <c r="CF131" s="16" t="s">
        <v>398</v>
      </c>
      <c r="CG131" s="16" t="s">
        <v>267</v>
      </c>
      <c r="CH131" s="16" t="s">
        <v>159</v>
      </c>
      <c r="CI131" s="6">
        <v>1</v>
      </c>
      <c r="CJ131" s="6" t="str">
        <f t="shared" si="178"/>
        <v>GAS_ENQ_NO-772</v>
      </c>
      <c r="CK131" s="7" t="s">
        <v>165</v>
      </c>
      <c r="CL131" s="7" t="s">
        <v>391</v>
      </c>
      <c r="CM131" s="7" t="s">
        <v>390</v>
      </c>
      <c r="CN131" s="6" t="s">
        <v>278</v>
      </c>
      <c r="CO131" s="6" t="str">
        <f t="shared" si="179"/>
        <v>GAS_JOB_ID-772</v>
      </c>
      <c r="CP131" s="7"/>
      <c r="CQ131" s="6" t="str">
        <f t="shared" si="180"/>
        <v>10000772</v>
      </c>
      <c r="CR131" s="6" t="s">
        <v>154</v>
      </c>
      <c r="CS131" s="7" t="s">
        <v>51</v>
      </c>
      <c r="CT131" s="27" t="str">
        <f t="shared" si="181"/>
        <v>GMETER772</v>
      </c>
      <c r="CU131" s="6" t="s">
        <v>161</v>
      </c>
      <c r="CV131" s="7" t="s">
        <v>165</v>
      </c>
      <c r="CW131" s="7" t="s">
        <v>772</v>
      </c>
      <c r="CX131" s="7"/>
      <c r="CY131" s="7"/>
      <c r="CZ131" s="7" t="s">
        <v>394</v>
      </c>
      <c r="DA131" s="7" t="s">
        <v>395</v>
      </c>
      <c r="DB131" s="6" t="str">
        <f t="shared" si="163"/>
        <v>GAS_INST_ID-772</v>
      </c>
      <c r="DC131" s="7" t="s">
        <v>161</v>
      </c>
      <c r="DD131" s="7"/>
      <c r="DE131" s="7" t="s">
        <v>51</v>
      </c>
      <c r="DF131" s="7" t="s">
        <v>264</v>
      </c>
      <c r="DG131" s="7"/>
      <c r="DH131" s="7" t="s">
        <v>397</v>
      </c>
      <c r="DI131" s="7" t="s">
        <v>399</v>
      </c>
      <c r="DJ131" s="10" t="s">
        <v>267</v>
      </c>
      <c r="DK131" s="7" t="s">
        <v>140</v>
      </c>
      <c r="DL131" s="40"/>
      <c r="DM131" s="40"/>
      <c r="DN131" s="38" t="str">
        <f t="shared" si="164"/>
        <v>DS_Pass-772</v>
      </c>
      <c r="DO131" s="40"/>
      <c r="DP131" s="40"/>
      <c r="DQ131" s="40"/>
      <c r="DR131" s="41"/>
      <c r="DS131" s="41"/>
      <c r="DT131" s="40"/>
      <c r="DU131" s="40"/>
      <c r="DV131" s="40"/>
      <c r="DW131" s="41"/>
      <c r="DX131" s="40"/>
      <c r="DY131" s="40"/>
      <c r="DZ131" s="37" t="s">
        <v>770</v>
      </c>
      <c r="EA131" s="39"/>
      <c r="EB131" s="37"/>
      <c r="EC131" s="37"/>
      <c r="ED131" s="16"/>
      <c r="EE131" s="1"/>
      <c r="EF131" s="55"/>
    </row>
    <row r="132" spans="1:136">
      <c r="A132" s="219" t="s">
        <v>881</v>
      </c>
      <c r="B132" s="219" t="s">
        <v>892</v>
      </c>
      <c r="C132" s="219" t="s">
        <v>865</v>
      </c>
      <c r="D132" s="13">
        <f>'Run Parameters'!$B$1 + ROW()-1</f>
        <v>773</v>
      </c>
      <c r="E132" s="15" t="s">
        <v>47</v>
      </c>
      <c r="F132" s="18" t="s">
        <v>766</v>
      </c>
      <c r="G132" s="13" t="str">
        <f t="shared" si="142"/>
        <v>Access Dtls-773</v>
      </c>
      <c r="H132" s="15" t="s">
        <v>275</v>
      </c>
      <c r="I132" s="13" t="str">
        <f>("MR. Test_123_EXCH3_"&amp;D132&amp;"")</f>
        <v>MR. Test_123_EXCH3_773</v>
      </c>
      <c r="J132" s="18"/>
      <c r="K132" s="19" t="s">
        <v>425</v>
      </c>
      <c r="L132" s="13" t="str">
        <f t="shared" si="143"/>
        <v>Cust. Ref-773</v>
      </c>
      <c r="M132" s="15" t="s">
        <v>48</v>
      </c>
      <c r="N132" s="15" t="s">
        <v>425</v>
      </c>
      <c r="O132" s="13"/>
      <c r="P132" s="13" t="str">
        <f t="shared" si="144"/>
        <v>SN-773</v>
      </c>
      <c r="Q132" s="13" t="str">
        <f t="shared" si="145"/>
        <v>SI-773</v>
      </c>
      <c r="R132" s="13" t="str">
        <f t="shared" si="146"/>
        <v>SE-773</v>
      </c>
      <c r="S132" s="54" t="str">
        <f t="shared" si="147"/>
        <v>Prev_RA-773</v>
      </c>
      <c r="T132" s="54" t="str">
        <f t="shared" si="148"/>
        <v>Prev_Comms-773</v>
      </c>
      <c r="U132" s="17" t="s">
        <v>75</v>
      </c>
      <c r="V132" s="15" t="s">
        <v>401</v>
      </c>
      <c r="W132" s="17" t="s">
        <v>75</v>
      </c>
      <c r="X132" s="15" t="s">
        <v>396</v>
      </c>
      <c r="Y132" s="13" t="str">
        <f t="shared" si="149"/>
        <v>Forward Add-773</v>
      </c>
      <c r="Z132" s="15" t="s">
        <v>401</v>
      </c>
      <c r="AA132" s="136" t="str">
        <f>'Run Parameters'!$B$2</f>
        <v>2018-08-13 08:00</v>
      </c>
      <c r="AB132" s="223" t="str">
        <f>'Run Parameters'!B$3</f>
        <v>2018-08-13 18:00</v>
      </c>
      <c r="AC132" s="26">
        <f>('Run Parameters'!$B$2) - 7</f>
        <v>43318.333333333336</v>
      </c>
      <c r="AD132" s="17" t="s">
        <v>75</v>
      </c>
      <c r="AE132" s="18" t="str">
        <f t="shared" si="150"/>
        <v>LAST_METER-773</v>
      </c>
      <c r="AF132" s="136" t="str">
        <f>'Run Parameters'!$B$2</f>
        <v>2018-08-13 08:00</v>
      </c>
      <c r="AG132" s="13" t="str">
        <f>'Run Parameters'!B$4</f>
        <v>AUTOTEST2</v>
      </c>
      <c r="AH132" s="54" t="str">
        <f t="shared" si="151"/>
        <v>Site_Contact_773</v>
      </c>
      <c r="AI132" s="136" t="str">
        <f>'Run Parameters'!B$2</f>
        <v>2018-08-13 08:00</v>
      </c>
      <c r="AJ132" s="223" t="str">
        <f>'Run Parameters'!B$3</f>
        <v>2018-08-13 18:00</v>
      </c>
      <c r="AK132" s="13" t="s">
        <v>396</v>
      </c>
      <c r="AL132" s="54" t="str">
        <f t="shared" si="152"/>
        <v>01159773</v>
      </c>
      <c r="AM132" s="13" t="str">
        <f t="shared" si="153"/>
        <v>0115773</v>
      </c>
      <c r="AN132" s="15"/>
      <c r="AO132" s="52"/>
      <c r="AP132" s="13">
        <v>1</v>
      </c>
      <c r="AQ132" s="53" t="s">
        <v>49</v>
      </c>
      <c r="AR132" s="15"/>
      <c r="AS132" s="13"/>
      <c r="AT132" s="7" t="s">
        <v>400</v>
      </c>
      <c r="AU132" s="7"/>
      <c r="AV132" s="13">
        <f t="shared" si="154"/>
        <v>773</v>
      </c>
      <c r="AW132" s="13" t="s">
        <v>767</v>
      </c>
      <c r="AX132" s="13" t="s">
        <v>420</v>
      </c>
      <c r="AY132" s="13" t="s">
        <v>421</v>
      </c>
      <c r="AZ132" s="15" t="s">
        <v>334</v>
      </c>
      <c r="BA132" s="14" t="s">
        <v>154</v>
      </c>
      <c r="BB132" s="21">
        <v>1</v>
      </c>
      <c r="BC132" s="20">
        <f t="shared" si="155"/>
        <v>773</v>
      </c>
      <c r="BD132" s="16" t="s">
        <v>768</v>
      </c>
      <c r="BE132" s="16" t="s">
        <v>391</v>
      </c>
      <c r="BF132" s="16" t="s">
        <v>390</v>
      </c>
      <c r="BG132" s="20" t="s">
        <v>766</v>
      </c>
      <c r="BH132" s="20" t="str">
        <f t="shared" si="156"/>
        <v>773_1</v>
      </c>
      <c r="BI132" s="21"/>
      <c r="BJ132" s="21" t="str">
        <f t="shared" si="157"/>
        <v>10000000773</v>
      </c>
      <c r="BK132" s="16" t="s">
        <v>51</v>
      </c>
      <c r="BL132" s="16" t="s">
        <v>54</v>
      </c>
      <c r="BM132" s="20" t="s">
        <v>769</v>
      </c>
      <c r="BN132" s="16" t="s">
        <v>51</v>
      </c>
      <c r="BO132" s="20" t="str">
        <f t="shared" si="158"/>
        <v>S05S773</v>
      </c>
      <c r="BP132" s="16" t="s">
        <v>770</v>
      </c>
      <c r="BQ132" s="16" t="s">
        <v>770</v>
      </c>
      <c r="BR132" s="20" t="s">
        <v>161</v>
      </c>
      <c r="BS132" s="16" t="s">
        <v>50</v>
      </c>
      <c r="BT132" s="16" t="s">
        <v>47</v>
      </c>
      <c r="BU132" s="16" t="s">
        <v>393</v>
      </c>
      <c r="BV132" s="16" t="s">
        <v>51</v>
      </c>
      <c r="BW132" s="16" t="s">
        <v>154</v>
      </c>
      <c r="BX132" s="16"/>
      <c r="BY132" s="16"/>
      <c r="BZ132" s="16" t="s">
        <v>157</v>
      </c>
      <c r="CA132" s="16" t="s">
        <v>269</v>
      </c>
      <c r="CB132" s="16" t="s">
        <v>412</v>
      </c>
      <c r="CC132" s="16" t="s">
        <v>771</v>
      </c>
      <c r="CD132" s="16" t="s">
        <v>392</v>
      </c>
      <c r="CE132" s="16" t="s">
        <v>396</v>
      </c>
      <c r="CF132" s="16" t="s">
        <v>398</v>
      </c>
      <c r="CG132" s="16" t="s">
        <v>267</v>
      </c>
      <c r="CH132" s="16" t="s">
        <v>159</v>
      </c>
      <c r="CI132" s="6">
        <v>1</v>
      </c>
      <c r="CJ132" s="6" t="str">
        <f t="shared" si="178"/>
        <v>GAS_ENQ_NO-773</v>
      </c>
      <c r="CK132" s="7" t="s">
        <v>165</v>
      </c>
      <c r="CL132" s="7" t="s">
        <v>391</v>
      </c>
      <c r="CM132" s="7" t="s">
        <v>390</v>
      </c>
      <c r="CN132" s="6" t="s">
        <v>278</v>
      </c>
      <c r="CO132" s="6" t="str">
        <f t="shared" si="179"/>
        <v>GAS_JOB_ID-773</v>
      </c>
      <c r="CP132" s="7"/>
      <c r="CQ132" s="6" t="str">
        <f t="shared" si="180"/>
        <v>10000773</v>
      </c>
      <c r="CR132" s="6" t="s">
        <v>154</v>
      </c>
      <c r="CS132" s="7" t="s">
        <v>51</v>
      </c>
      <c r="CT132" s="27" t="str">
        <f t="shared" si="181"/>
        <v>GMETER773</v>
      </c>
      <c r="CU132" s="6" t="s">
        <v>161</v>
      </c>
      <c r="CV132" s="7" t="s">
        <v>165</v>
      </c>
      <c r="CW132" s="7" t="s">
        <v>772</v>
      </c>
      <c r="CX132" s="7"/>
      <c r="CY132" s="7"/>
      <c r="CZ132" s="7" t="s">
        <v>394</v>
      </c>
      <c r="DA132" s="7" t="s">
        <v>395</v>
      </c>
      <c r="DB132" s="6" t="str">
        <f t="shared" si="163"/>
        <v>GAS_INST_ID-773</v>
      </c>
      <c r="DC132" s="7" t="s">
        <v>161</v>
      </c>
      <c r="DD132" s="7"/>
      <c r="DE132" s="7" t="s">
        <v>51</v>
      </c>
      <c r="DF132" s="7" t="s">
        <v>264</v>
      </c>
      <c r="DG132" s="7"/>
      <c r="DH132" s="7" t="s">
        <v>397</v>
      </c>
      <c r="DI132" s="7" t="s">
        <v>399</v>
      </c>
      <c r="DJ132" s="10" t="s">
        <v>267</v>
      </c>
      <c r="DK132" s="7" t="s">
        <v>140</v>
      </c>
      <c r="DL132" s="40"/>
      <c r="DM132" s="40"/>
      <c r="DN132" s="38" t="str">
        <f t="shared" si="164"/>
        <v>DS_Pass-773</v>
      </c>
      <c r="DO132" s="40"/>
      <c r="DP132" s="40"/>
      <c r="DQ132" s="40"/>
      <c r="DR132" s="41"/>
      <c r="DS132" s="41"/>
      <c r="DT132" s="40"/>
      <c r="DU132" s="40"/>
      <c r="DV132" s="40"/>
      <c r="DW132" s="41"/>
      <c r="DX132" s="40"/>
      <c r="DY132" s="40"/>
      <c r="DZ132" s="37" t="s">
        <v>770</v>
      </c>
      <c r="EA132" s="39"/>
      <c r="EB132" s="37"/>
      <c r="EC132" s="37"/>
      <c r="ED132" s="16"/>
      <c r="EE132" s="1"/>
      <c r="EF132" s="55"/>
    </row>
    <row r="133" spans="1:136">
      <c r="A133" s="219" t="s">
        <v>882</v>
      </c>
      <c r="B133" s="219" t="s">
        <v>868</v>
      </c>
      <c r="C133" s="219" t="s">
        <v>865</v>
      </c>
      <c r="D133" s="13">
        <f>'Run Parameters'!$B$1 + ROW()-1</f>
        <v>774</v>
      </c>
      <c r="E133" s="15" t="s">
        <v>47</v>
      </c>
      <c r="F133" s="18" t="s">
        <v>766</v>
      </c>
      <c r="G133" s="13" t="str">
        <f t="shared" si="142"/>
        <v>Access Dtls-774</v>
      </c>
      <c r="H133" s="15" t="s">
        <v>275</v>
      </c>
      <c r="I133" s="13" t="str">
        <f>("MR. Test_124_EXCH3_"&amp;D133&amp;"")</f>
        <v>MR. Test_124_EXCH3_774</v>
      </c>
      <c r="J133" s="18"/>
      <c r="K133" s="19" t="s">
        <v>425</v>
      </c>
      <c r="L133" s="13" t="str">
        <f t="shared" si="143"/>
        <v>Cust. Ref-774</v>
      </c>
      <c r="M133" s="15" t="s">
        <v>48</v>
      </c>
      <c r="N133" s="15" t="s">
        <v>425</v>
      </c>
      <c r="O133" s="13"/>
      <c r="P133" s="13" t="str">
        <f t="shared" si="144"/>
        <v>SN-774</v>
      </c>
      <c r="Q133" s="13" t="str">
        <f t="shared" si="145"/>
        <v>SI-774</v>
      </c>
      <c r="R133" s="13" t="str">
        <f t="shared" si="146"/>
        <v>SE-774</v>
      </c>
      <c r="S133" s="54" t="str">
        <f t="shared" si="147"/>
        <v>Prev_RA-774</v>
      </c>
      <c r="T133" s="54" t="str">
        <f t="shared" si="148"/>
        <v>Prev_Comms-774</v>
      </c>
      <c r="U133" s="17" t="s">
        <v>75</v>
      </c>
      <c r="V133" s="15" t="s">
        <v>401</v>
      </c>
      <c r="W133" s="17" t="s">
        <v>75</v>
      </c>
      <c r="X133" s="15" t="s">
        <v>396</v>
      </c>
      <c r="Y133" s="13" t="str">
        <f t="shared" si="149"/>
        <v>Forward Add-774</v>
      </c>
      <c r="Z133" s="15" t="s">
        <v>401</v>
      </c>
      <c r="AA133" s="136" t="str">
        <f>'Run Parameters'!$B$2</f>
        <v>2018-08-13 08:00</v>
      </c>
      <c r="AB133" s="223" t="str">
        <f>'Run Parameters'!B$3</f>
        <v>2018-08-13 18:00</v>
      </c>
      <c r="AC133" s="26">
        <f>('Run Parameters'!$B$2) - 7</f>
        <v>43318.333333333336</v>
      </c>
      <c r="AD133" s="17" t="s">
        <v>75</v>
      </c>
      <c r="AE133" s="18" t="str">
        <f t="shared" si="150"/>
        <v>LAST_METER-774</v>
      </c>
      <c r="AF133" s="136" t="str">
        <f>'Run Parameters'!$B$2</f>
        <v>2018-08-13 08:00</v>
      </c>
      <c r="AG133" s="13" t="str">
        <f>'Run Parameters'!B$4</f>
        <v>AUTOTEST2</v>
      </c>
      <c r="AH133" s="54" t="str">
        <f t="shared" si="151"/>
        <v>Site_Contact_774</v>
      </c>
      <c r="AI133" s="136" t="str">
        <f>'Run Parameters'!B$2</f>
        <v>2018-08-13 08:00</v>
      </c>
      <c r="AJ133" s="223" t="str">
        <f>'Run Parameters'!B$3</f>
        <v>2018-08-13 18:00</v>
      </c>
      <c r="AK133" s="13" t="s">
        <v>396</v>
      </c>
      <c r="AL133" s="54" t="str">
        <f t="shared" si="152"/>
        <v>01159774</v>
      </c>
      <c r="AM133" s="13" t="str">
        <f t="shared" si="153"/>
        <v>0115774</v>
      </c>
      <c r="AN133" s="15"/>
      <c r="AO133" s="52"/>
      <c r="AP133" s="13">
        <v>1</v>
      </c>
      <c r="AQ133" s="53" t="s">
        <v>49</v>
      </c>
      <c r="AR133" s="15"/>
      <c r="AS133" s="13"/>
      <c r="AT133" s="7" t="s">
        <v>400</v>
      </c>
      <c r="AU133" s="7"/>
      <c r="AV133" s="13">
        <f t="shared" si="154"/>
        <v>774</v>
      </c>
      <c r="AW133" s="13" t="s">
        <v>767</v>
      </c>
      <c r="AX133" s="13" t="s">
        <v>420</v>
      </c>
      <c r="AY133" s="13" t="s">
        <v>421</v>
      </c>
      <c r="AZ133" s="15" t="s">
        <v>334</v>
      </c>
      <c r="BA133" s="14" t="s">
        <v>154</v>
      </c>
      <c r="BB133" s="21">
        <v>1</v>
      </c>
      <c r="BC133" s="20">
        <f t="shared" si="155"/>
        <v>774</v>
      </c>
      <c r="BD133" s="16" t="s">
        <v>768</v>
      </c>
      <c r="BE133" s="16" t="s">
        <v>391</v>
      </c>
      <c r="BF133" s="16" t="s">
        <v>390</v>
      </c>
      <c r="BG133" s="20" t="s">
        <v>766</v>
      </c>
      <c r="BH133" s="20" t="str">
        <f t="shared" si="156"/>
        <v>774_1</v>
      </c>
      <c r="BI133" s="21"/>
      <c r="BJ133" s="21" t="str">
        <f t="shared" si="157"/>
        <v>10000000774</v>
      </c>
      <c r="BK133" s="16" t="s">
        <v>51</v>
      </c>
      <c r="BL133" s="16" t="s">
        <v>54</v>
      </c>
      <c r="BM133" s="20" t="s">
        <v>769</v>
      </c>
      <c r="BN133" s="16" t="s">
        <v>51</v>
      </c>
      <c r="BO133" s="20" t="str">
        <f t="shared" si="158"/>
        <v>S05S774</v>
      </c>
      <c r="BP133" s="16" t="s">
        <v>770</v>
      </c>
      <c r="BQ133" s="16" t="s">
        <v>770</v>
      </c>
      <c r="BR133" s="20" t="s">
        <v>161</v>
      </c>
      <c r="BS133" s="16" t="s">
        <v>50</v>
      </c>
      <c r="BT133" s="16" t="s">
        <v>47</v>
      </c>
      <c r="BU133" s="16" t="s">
        <v>393</v>
      </c>
      <c r="BV133" s="16" t="s">
        <v>51</v>
      </c>
      <c r="BW133" s="16" t="s">
        <v>154</v>
      </c>
      <c r="BX133" s="16"/>
      <c r="BY133" s="16"/>
      <c r="BZ133" s="16" t="s">
        <v>157</v>
      </c>
      <c r="CA133" s="16" t="s">
        <v>269</v>
      </c>
      <c r="CB133" s="16" t="s">
        <v>412</v>
      </c>
      <c r="CC133" s="16" t="s">
        <v>771</v>
      </c>
      <c r="CD133" s="16" t="s">
        <v>392</v>
      </c>
      <c r="CE133" s="16" t="s">
        <v>396</v>
      </c>
      <c r="CF133" s="16" t="s">
        <v>398</v>
      </c>
      <c r="CG133" s="16" t="s">
        <v>267</v>
      </c>
      <c r="CH133" s="16" t="s">
        <v>159</v>
      </c>
      <c r="CI133" s="6">
        <v>1</v>
      </c>
      <c r="CJ133" s="6" t="str">
        <f t="shared" si="178"/>
        <v>GAS_ENQ_NO-774</v>
      </c>
      <c r="CK133" s="7" t="s">
        <v>165</v>
      </c>
      <c r="CL133" s="7" t="s">
        <v>391</v>
      </c>
      <c r="CM133" s="7" t="s">
        <v>390</v>
      </c>
      <c r="CN133" s="6" t="s">
        <v>278</v>
      </c>
      <c r="CO133" s="6" t="str">
        <f t="shared" si="179"/>
        <v>GAS_JOB_ID-774</v>
      </c>
      <c r="CP133" s="7"/>
      <c r="CQ133" s="6" t="str">
        <f t="shared" si="180"/>
        <v>10000774</v>
      </c>
      <c r="CR133" s="6" t="s">
        <v>154</v>
      </c>
      <c r="CS133" s="7" t="s">
        <v>51</v>
      </c>
      <c r="CT133" s="27" t="str">
        <f t="shared" si="181"/>
        <v>GMETER774</v>
      </c>
      <c r="CU133" s="6" t="s">
        <v>161</v>
      </c>
      <c r="CV133" s="7" t="s">
        <v>165</v>
      </c>
      <c r="CW133" s="7" t="s">
        <v>772</v>
      </c>
      <c r="CX133" s="7"/>
      <c r="CY133" s="7"/>
      <c r="CZ133" s="7" t="s">
        <v>394</v>
      </c>
      <c r="DA133" s="7" t="s">
        <v>395</v>
      </c>
      <c r="DB133" s="6" t="str">
        <f t="shared" si="163"/>
        <v>GAS_INST_ID-774</v>
      </c>
      <c r="DC133" s="7" t="s">
        <v>161</v>
      </c>
      <c r="DD133" s="7"/>
      <c r="DE133" s="7" t="s">
        <v>51</v>
      </c>
      <c r="DF133" s="7" t="s">
        <v>264</v>
      </c>
      <c r="DG133" s="7"/>
      <c r="DH133" s="7" t="s">
        <v>397</v>
      </c>
      <c r="DI133" s="7" t="s">
        <v>399</v>
      </c>
      <c r="DJ133" s="10" t="s">
        <v>267</v>
      </c>
      <c r="DK133" s="7" t="s">
        <v>140</v>
      </c>
      <c r="DL133" s="40"/>
      <c r="DM133" s="40"/>
      <c r="DN133" s="38" t="str">
        <f t="shared" si="164"/>
        <v>DS_Pass-774</v>
      </c>
      <c r="DO133" s="40"/>
      <c r="DP133" s="40"/>
      <c r="DQ133" s="40"/>
      <c r="DR133" s="41"/>
      <c r="DS133" s="41"/>
      <c r="DT133" s="40"/>
      <c r="DU133" s="40"/>
      <c r="DV133" s="40"/>
      <c r="DW133" s="41"/>
      <c r="DX133" s="40"/>
      <c r="DY133" s="40"/>
      <c r="DZ133" s="37" t="s">
        <v>770</v>
      </c>
      <c r="EA133" s="39"/>
      <c r="EB133" s="37"/>
      <c r="EC133" s="37"/>
      <c r="ED133" s="16"/>
      <c r="EE133" s="1"/>
      <c r="EF133" s="55"/>
    </row>
    <row r="134" spans="1:136">
      <c r="A134" s="219" t="s">
        <v>883</v>
      </c>
      <c r="B134" s="219" t="s">
        <v>892</v>
      </c>
      <c r="C134" s="219" t="s">
        <v>865</v>
      </c>
      <c r="D134" s="13">
        <f>'Run Parameters'!$B$1 + ROW()-1</f>
        <v>775</v>
      </c>
      <c r="E134" s="15" t="s">
        <v>47</v>
      </c>
      <c r="F134" s="18" t="s">
        <v>766</v>
      </c>
      <c r="G134" s="13" t="str">
        <f t="shared" si="142"/>
        <v>Access Dtls-775</v>
      </c>
      <c r="H134" s="15" t="s">
        <v>275</v>
      </c>
      <c r="I134" s="13" t="str">
        <f>("MR. Test_125_EXCH3_"&amp;D134&amp;"")</f>
        <v>MR. Test_125_EXCH3_775</v>
      </c>
      <c r="J134" s="18"/>
      <c r="K134" s="19" t="s">
        <v>425</v>
      </c>
      <c r="L134" s="13" t="str">
        <f t="shared" si="143"/>
        <v>Cust. Ref-775</v>
      </c>
      <c r="M134" s="15" t="s">
        <v>48</v>
      </c>
      <c r="N134" s="15" t="s">
        <v>425</v>
      </c>
      <c r="O134" s="13"/>
      <c r="P134" s="13" t="str">
        <f t="shared" si="144"/>
        <v>SN-775</v>
      </c>
      <c r="Q134" s="13" t="str">
        <f t="shared" si="145"/>
        <v>SI-775</v>
      </c>
      <c r="R134" s="13" t="str">
        <f t="shared" si="146"/>
        <v>SE-775</v>
      </c>
      <c r="S134" s="54" t="str">
        <f t="shared" si="147"/>
        <v>Prev_RA-775</v>
      </c>
      <c r="T134" s="54" t="str">
        <f t="shared" si="148"/>
        <v>Prev_Comms-775</v>
      </c>
      <c r="U134" s="17" t="s">
        <v>75</v>
      </c>
      <c r="V134" s="15" t="s">
        <v>401</v>
      </c>
      <c r="W134" s="17" t="s">
        <v>75</v>
      </c>
      <c r="X134" s="15" t="s">
        <v>396</v>
      </c>
      <c r="Y134" s="13" t="str">
        <f t="shared" si="149"/>
        <v>Forward Add-775</v>
      </c>
      <c r="Z134" s="15" t="s">
        <v>401</v>
      </c>
      <c r="AA134" s="136" t="str">
        <f>'Run Parameters'!$B$2</f>
        <v>2018-08-13 08:00</v>
      </c>
      <c r="AB134" s="223" t="str">
        <f>'Run Parameters'!B$3</f>
        <v>2018-08-13 18:00</v>
      </c>
      <c r="AC134" s="26">
        <f>('Run Parameters'!$B$2) - 7</f>
        <v>43318.333333333336</v>
      </c>
      <c r="AD134" s="17" t="s">
        <v>75</v>
      </c>
      <c r="AE134" s="18" t="str">
        <f t="shared" si="150"/>
        <v>LAST_METER-775</v>
      </c>
      <c r="AF134" s="136" t="str">
        <f>'Run Parameters'!$B$2</f>
        <v>2018-08-13 08:00</v>
      </c>
      <c r="AG134" s="13" t="str">
        <f>'Run Parameters'!B$4</f>
        <v>AUTOTEST2</v>
      </c>
      <c r="AH134" s="54" t="str">
        <f t="shared" si="151"/>
        <v>Site_Contact_775</v>
      </c>
      <c r="AI134" s="136" t="str">
        <f>'Run Parameters'!B$2</f>
        <v>2018-08-13 08:00</v>
      </c>
      <c r="AJ134" s="223" t="str">
        <f>'Run Parameters'!B$3</f>
        <v>2018-08-13 18:00</v>
      </c>
      <c r="AK134" s="13" t="s">
        <v>396</v>
      </c>
      <c r="AL134" s="54" t="str">
        <f t="shared" si="152"/>
        <v>01159775</v>
      </c>
      <c r="AM134" s="13" t="str">
        <f t="shared" si="153"/>
        <v>0115775</v>
      </c>
      <c r="AN134" s="15"/>
      <c r="AO134" s="52"/>
      <c r="AP134" s="13">
        <v>1</v>
      </c>
      <c r="AQ134" s="53" t="s">
        <v>49</v>
      </c>
      <c r="AR134" s="15"/>
      <c r="AS134" s="13"/>
      <c r="AT134" s="7" t="s">
        <v>400</v>
      </c>
      <c r="AU134" s="7"/>
      <c r="AV134" s="13">
        <f t="shared" si="154"/>
        <v>775</v>
      </c>
      <c r="AW134" s="13" t="s">
        <v>767</v>
      </c>
      <c r="AX134" s="13" t="s">
        <v>420</v>
      </c>
      <c r="AY134" s="13" t="s">
        <v>421</v>
      </c>
      <c r="AZ134" s="15" t="s">
        <v>334</v>
      </c>
      <c r="BA134" s="14" t="s">
        <v>154</v>
      </c>
      <c r="BB134" s="21">
        <v>1</v>
      </c>
      <c r="BC134" s="20">
        <f t="shared" si="155"/>
        <v>775</v>
      </c>
      <c r="BD134" s="16" t="s">
        <v>768</v>
      </c>
      <c r="BE134" s="16" t="s">
        <v>391</v>
      </c>
      <c r="BF134" s="16" t="s">
        <v>390</v>
      </c>
      <c r="BG134" s="20" t="s">
        <v>766</v>
      </c>
      <c r="BH134" s="20" t="str">
        <f t="shared" si="156"/>
        <v>775_1</v>
      </c>
      <c r="BI134" s="21"/>
      <c r="BJ134" s="21" t="str">
        <f t="shared" si="157"/>
        <v>10000000775</v>
      </c>
      <c r="BK134" s="16" t="s">
        <v>51</v>
      </c>
      <c r="BL134" s="16" t="s">
        <v>54</v>
      </c>
      <c r="BM134" s="20" t="s">
        <v>769</v>
      </c>
      <c r="BN134" s="16" t="s">
        <v>51</v>
      </c>
      <c r="BO134" s="20" t="str">
        <f t="shared" si="158"/>
        <v>S05S775</v>
      </c>
      <c r="BP134" s="16" t="s">
        <v>770</v>
      </c>
      <c r="BQ134" s="16" t="s">
        <v>770</v>
      </c>
      <c r="BR134" s="20" t="s">
        <v>161</v>
      </c>
      <c r="BS134" s="16" t="s">
        <v>50</v>
      </c>
      <c r="BT134" s="16" t="s">
        <v>47</v>
      </c>
      <c r="BU134" s="16" t="s">
        <v>393</v>
      </c>
      <c r="BV134" s="16" t="s">
        <v>51</v>
      </c>
      <c r="BW134" s="16" t="s">
        <v>154</v>
      </c>
      <c r="BX134" s="16"/>
      <c r="BY134" s="16"/>
      <c r="BZ134" s="16" t="s">
        <v>157</v>
      </c>
      <c r="CA134" s="16" t="s">
        <v>269</v>
      </c>
      <c r="CB134" s="16" t="s">
        <v>412</v>
      </c>
      <c r="CC134" s="16" t="s">
        <v>771</v>
      </c>
      <c r="CD134" s="16" t="s">
        <v>392</v>
      </c>
      <c r="CE134" s="16" t="s">
        <v>396</v>
      </c>
      <c r="CF134" s="16" t="s">
        <v>398</v>
      </c>
      <c r="CG134" s="16" t="s">
        <v>267</v>
      </c>
      <c r="CH134" s="16" t="s">
        <v>159</v>
      </c>
      <c r="CI134" s="6">
        <v>1</v>
      </c>
      <c r="CJ134" s="6" t="str">
        <f t="shared" si="178"/>
        <v>GAS_ENQ_NO-775</v>
      </c>
      <c r="CK134" s="7" t="s">
        <v>165</v>
      </c>
      <c r="CL134" s="7" t="s">
        <v>391</v>
      </c>
      <c r="CM134" s="7" t="s">
        <v>390</v>
      </c>
      <c r="CN134" s="6" t="s">
        <v>278</v>
      </c>
      <c r="CO134" s="6" t="str">
        <f t="shared" si="179"/>
        <v>GAS_JOB_ID-775</v>
      </c>
      <c r="CP134" s="7"/>
      <c r="CQ134" s="6" t="str">
        <f t="shared" si="180"/>
        <v>10000775</v>
      </c>
      <c r="CR134" s="6" t="s">
        <v>154</v>
      </c>
      <c r="CS134" s="7" t="s">
        <v>51</v>
      </c>
      <c r="CT134" s="27" t="str">
        <f t="shared" si="181"/>
        <v>GMETER775</v>
      </c>
      <c r="CU134" s="6" t="s">
        <v>161</v>
      </c>
      <c r="CV134" s="7" t="s">
        <v>165</v>
      </c>
      <c r="CW134" s="7" t="s">
        <v>772</v>
      </c>
      <c r="CX134" s="7"/>
      <c r="CY134" s="7"/>
      <c r="CZ134" s="7" t="s">
        <v>394</v>
      </c>
      <c r="DA134" s="7" t="s">
        <v>395</v>
      </c>
      <c r="DB134" s="6" t="str">
        <f t="shared" si="163"/>
        <v>GAS_INST_ID-775</v>
      </c>
      <c r="DC134" s="7" t="s">
        <v>161</v>
      </c>
      <c r="DD134" s="7"/>
      <c r="DE134" s="7" t="s">
        <v>51</v>
      </c>
      <c r="DF134" s="7" t="s">
        <v>264</v>
      </c>
      <c r="DG134" s="7"/>
      <c r="DH134" s="7" t="s">
        <v>397</v>
      </c>
      <c r="DI134" s="7" t="s">
        <v>399</v>
      </c>
      <c r="DJ134" s="10" t="s">
        <v>267</v>
      </c>
      <c r="DK134" s="7" t="s">
        <v>140</v>
      </c>
      <c r="DL134" s="40"/>
      <c r="DM134" s="40"/>
      <c r="DN134" s="38" t="str">
        <f t="shared" si="164"/>
        <v>DS_Pass-775</v>
      </c>
      <c r="DO134" s="40"/>
      <c r="DP134" s="40"/>
      <c r="DQ134" s="40"/>
      <c r="DR134" s="41"/>
      <c r="DS134" s="41"/>
      <c r="DT134" s="40"/>
      <c r="DU134" s="40"/>
      <c r="DV134" s="40"/>
      <c r="DW134" s="41"/>
      <c r="DX134" s="40"/>
      <c r="DY134" s="40"/>
      <c r="DZ134" s="37" t="s">
        <v>770</v>
      </c>
      <c r="EA134" s="39"/>
      <c r="EB134" s="37"/>
      <c r="EC134" s="37"/>
      <c r="ED134" s="16"/>
      <c r="EE134" s="1"/>
      <c r="EF134" s="55"/>
    </row>
    <row r="135" spans="1:136">
      <c r="A135" s="219" t="s">
        <v>884</v>
      </c>
      <c r="B135" s="219" t="s">
        <v>868</v>
      </c>
      <c r="C135" s="219" t="s">
        <v>865</v>
      </c>
      <c r="D135" s="13">
        <f>'Run Parameters'!$B$1 + ROW()-1</f>
        <v>776</v>
      </c>
      <c r="E135" s="15" t="s">
        <v>47</v>
      </c>
      <c r="F135" s="18" t="s">
        <v>766</v>
      </c>
      <c r="G135" s="13" t="str">
        <f t="shared" si="142"/>
        <v>Access Dtls-776</v>
      </c>
      <c r="H135" s="15" t="s">
        <v>275</v>
      </c>
      <c r="I135" s="13" t="str">
        <f>("MR. Test_126_EXCH3_"&amp;D135&amp;"")</f>
        <v>MR. Test_126_EXCH3_776</v>
      </c>
      <c r="J135" s="18"/>
      <c r="K135" s="19" t="s">
        <v>425</v>
      </c>
      <c r="L135" s="13" t="str">
        <f t="shared" si="143"/>
        <v>Cust. Ref-776</v>
      </c>
      <c r="M135" s="15" t="s">
        <v>48</v>
      </c>
      <c r="N135" s="15" t="s">
        <v>425</v>
      </c>
      <c r="O135" s="13"/>
      <c r="P135" s="13" t="str">
        <f t="shared" si="144"/>
        <v>SN-776</v>
      </c>
      <c r="Q135" s="13" t="str">
        <f t="shared" si="145"/>
        <v>SI-776</v>
      </c>
      <c r="R135" s="13" t="str">
        <f t="shared" si="146"/>
        <v>SE-776</v>
      </c>
      <c r="S135" s="54" t="str">
        <f t="shared" si="147"/>
        <v>Prev_RA-776</v>
      </c>
      <c r="T135" s="54" t="str">
        <f t="shared" si="148"/>
        <v>Prev_Comms-776</v>
      </c>
      <c r="U135" s="17" t="s">
        <v>75</v>
      </c>
      <c r="V135" s="15" t="s">
        <v>401</v>
      </c>
      <c r="W135" s="17" t="s">
        <v>75</v>
      </c>
      <c r="X135" s="15" t="s">
        <v>396</v>
      </c>
      <c r="Y135" s="13" t="str">
        <f t="shared" si="149"/>
        <v>Forward Add-776</v>
      </c>
      <c r="Z135" s="15" t="s">
        <v>401</v>
      </c>
      <c r="AA135" s="136" t="str">
        <f>'Run Parameters'!$B$2</f>
        <v>2018-08-13 08:00</v>
      </c>
      <c r="AB135" s="223" t="str">
        <f>'Run Parameters'!B$3</f>
        <v>2018-08-13 18:00</v>
      </c>
      <c r="AC135" s="26">
        <f>('Run Parameters'!$B$2) - 7</f>
        <v>43318.333333333336</v>
      </c>
      <c r="AD135" s="17" t="s">
        <v>75</v>
      </c>
      <c r="AE135" s="18" t="str">
        <f t="shared" si="150"/>
        <v>LAST_METER-776</v>
      </c>
      <c r="AF135" s="136" t="str">
        <f>'Run Parameters'!$B$2</f>
        <v>2018-08-13 08:00</v>
      </c>
      <c r="AG135" s="13" t="str">
        <f>'Run Parameters'!B$4</f>
        <v>AUTOTEST2</v>
      </c>
      <c r="AH135" s="54" t="str">
        <f t="shared" si="151"/>
        <v>Site_Contact_776</v>
      </c>
      <c r="AI135" s="136" t="str">
        <f>'Run Parameters'!B$2</f>
        <v>2018-08-13 08:00</v>
      </c>
      <c r="AJ135" s="223" t="str">
        <f>'Run Parameters'!B$3</f>
        <v>2018-08-13 18:00</v>
      </c>
      <c r="AK135" s="13" t="s">
        <v>396</v>
      </c>
      <c r="AL135" s="54" t="str">
        <f t="shared" si="152"/>
        <v>01159776</v>
      </c>
      <c r="AM135" s="13" t="str">
        <f t="shared" si="153"/>
        <v>0115776</v>
      </c>
      <c r="AN135" s="15"/>
      <c r="AO135" s="52"/>
      <c r="AP135" s="13">
        <v>1</v>
      </c>
      <c r="AQ135" s="53" t="s">
        <v>49</v>
      </c>
      <c r="AR135" s="15"/>
      <c r="AS135" s="13"/>
      <c r="AT135" s="7" t="s">
        <v>400</v>
      </c>
      <c r="AU135" s="7"/>
      <c r="AV135" s="13">
        <f t="shared" si="154"/>
        <v>776</v>
      </c>
      <c r="AW135" s="13" t="s">
        <v>767</v>
      </c>
      <c r="AX135" s="13" t="s">
        <v>420</v>
      </c>
      <c r="AY135" s="13" t="s">
        <v>421</v>
      </c>
      <c r="AZ135" s="15" t="s">
        <v>334</v>
      </c>
      <c r="BA135" s="14" t="s">
        <v>154</v>
      </c>
      <c r="BB135" s="21">
        <v>1</v>
      </c>
      <c r="BC135" s="20">
        <f t="shared" si="155"/>
        <v>776</v>
      </c>
      <c r="BD135" s="16" t="s">
        <v>768</v>
      </c>
      <c r="BE135" s="16" t="s">
        <v>391</v>
      </c>
      <c r="BF135" s="16" t="s">
        <v>390</v>
      </c>
      <c r="BG135" s="20" t="s">
        <v>766</v>
      </c>
      <c r="BH135" s="20" t="str">
        <f t="shared" si="156"/>
        <v>776_1</v>
      </c>
      <c r="BI135" s="21"/>
      <c r="BJ135" s="21" t="str">
        <f t="shared" si="157"/>
        <v>10000000776</v>
      </c>
      <c r="BK135" s="16" t="s">
        <v>51</v>
      </c>
      <c r="BL135" s="16" t="s">
        <v>54</v>
      </c>
      <c r="BM135" s="20" t="s">
        <v>769</v>
      </c>
      <c r="BN135" s="16" t="s">
        <v>51</v>
      </c>
      <c r="BO135" s="20" t="str">
        <f t="shared" si="158"/>
        <v>S05S776</v>
      </c>
      <c r="BP135" s="16" t="s">
        <v>770</v>
      </c>
      <c r="BQ135" s="16" t="s">
        <v>770</v>
      </c>
      <c r="BR135" s="20" t="s">
        <v>161</v>
      </c>
      <c r="BS135" s="16" t="s">
        <v>50</v>
      </c>
      <c r="BT135" s="16" t="s">
        <v>47</v>
      </c>
      <c r="BU135" s="16" t="s">
        <v>393</v>
      </c>
      <c r="BV135" s="16" t="s">
        <v>51</v>
      </c>
      <c r="BW135" s="16" t="s">
        <v>154</v>
      </c>
      <c r="BX135" s="16"/>
      <c r="BY135" s="16"/>
      <c r="BZ135" s="16" t="s">
        <v>157</v>
      </c>
      <c r="CA135" s="16" t="s">
        <v>269</v>
      </c>
      <c r="CB135" s="16" t="s">
        <v>412</v>
      </c>
      <c r="CC135" s="16" t="s">
        <v>771</v>
      </c>
      <c r="CD135" s="16" t="s">
        <v>392</v>
      </c>
      <c r="CE135" s="16" t="s">
        <v>396</v>
      </c>
      <c r="CF135" s="16" t="s">
        <v>398</v>
      </c>
      <c r="CG135" s="16" t="s">
        <v>267</v>
      </c>
      <c r="CH135" s="16" t="s">
        <v>159</v>
      </c>
      <c r="CI135" s="6">
        <v>1</v>
      </c>
      <c r="CJ135" s="6" t="str">
        <f t="shared" si="178"/>
        <v>GAS_ENQ_NO-776</v>
      </c>
      <c r="CK135" s="7" t="s">
        <v>165</v>
      </c>
      <c r="CL135" s="7" t="s">
        <v>391</v>
      </c>
      <c r="CM135" s="7" t="s">
        <v>390</v>
      </c>
      <c r="CN135" s="6" t="s">
        <v>278</v>
      </c>
      <c r="CO135" s="6" t="str">
        <f t="shared" si="179"/>
        <v>GAS_JOB_ID-776</v>
      </c>
      <c r="CP135" s="7"/>
      <c r="CQ135" s="6" t="str">
        <f t="shared" si="180"/>
        <v>10000776</v>
      </c>
      <c r="CR135" s="6" t="s">
        <v>154</v>
      </c>
      <c r="CS135" s="7" t="s">
        <v>51</v>
      </c>
      <c r="CT135" s="27" t="str">
        <f t="shared" si="181"/>
        <v>GMETER776</v>
      </c>
      <c r="CU135" s="6" t="s">
        <v>161</v>
      </c>
      <c r="CV135" s="7" t="s">
        <v>165</v>
      </c>
      <c r="CW135" s="7" t="s">
        <v>772</v>
      </c>
      <c r="CX135" s="7"/>
      <c r="CY135" s="7"/>
      <c r="CZ135" s="7" t="s">
        <v>394</v>
      </c>
      <c r="DA135" s="7" t="s">
        <v>395</v>
      </c>
      <c r="DB135" s="6" t="str">
        <f t="shared" si="163"/>
        <v>GAS_INST_ID-776</v>
      </c>
      <c r="DC135" s="7" t="s">
        <v>161</v>
      </c>
      <c r="DD135" s="7"/>
      <c r="DE135" s="7" t="s">
        <v>51</v>
      </c>
      <c r="DF135" s="7" t="s">
        <v>264</v>
      </c>
      <c r="DG135" s="7"/>
      <c r="DH135" s="7" t="s">
        <v>397</v>
      </c>
      <c r="DI135" s="7" t="s">
        <v>399</v>
      </c>
      <c r="DJ135" s="10" t="s">
        <v>267</v>
      </c>
      <c r="DK135" s="7" t="s">
        <v>140</v>
      </c>
      <c r="DL135" s="40"/>
      <c r="DM135" s="40"/>
      <c r="DN135" s="38" t="str">
        <f t="shared" si="164"/>
        <v>DS_Pass-776</v>
      </c>
      <c r="DO135" s="40"/>
      <c r="DP135" s="40"/>
      <c r="DQ135" s="40"/>
      <c r="DR135" s="41"/>
      <c r="DS135" s="41"/>
      <c r="DT135" s="40"/>
      <c r="DU135" s="40"/>
      <c r="DV135" s="40"/>
      <c r="DW135" s="41"/>
      <c r="DX135" s="40"/>
      <c r="DY135" s="40"/>
      <c r="DZ135" s="37" t="s">
        <v>770</v>
      </c>
      <c r="EA135" s="39"/>
      <c r="EB135" s="37"/>
      <c r="EC135" s="37"/>
      <c r="ED135" s="16"/>
      <c r="EE135" s="1"/>
      <c r="EF135" s="55"/>
    </row>
    <row r="136" spans="1:136">
      <c r="A136" s="219" t="s">
        <v>885</v>
      </c>
      <c r="B136" s="219" t="s">
        <v>892</v>
      </c>
      <c r="C136" s="219" t="s">
        <v>865</v>
      </c>
      <c r="D136" s="13">
        <f>'Run Parameters'!$B$1 + ROW()-1</f>
        <v>777</v>
      </c>
      <c r="E136" s="15" t="s">
        <v>47</v>
      </c>
      <c r="F136" s="18" t="s">
        <v>766</v>
      </c>
      <c r="G136" s="13" t="str">
        <f t="shared" si="142"/>
        <v>Access Dtls-777</v>
      </c>
      <c r="H136" s="15" t="s">
        <v>275</v>
      </c>
      <c r="I136" s="13" t="str">
        <f>("MR. Test_127_EXCH3_"&amp;D136&amp;"")</f>
        <v>MR. Test_127_EXCH3_777</v>
      </c>
      <c r="J136" s="18"/>
      <c r="K136" s="19" t="s">
        <v>425</v>
      </c>
      <c r="L136" s="13" t="str">
        <f t="shared" si="143"/>
        <v>Cust. Ref-777</v>
      </c>
      <c r="M136" s="15" t="s">
        <v>48</v>
      </c>
      <c r="N136" s="15" t="s">
        <v>425</v>
      </c>
      <c r="O136" s="13"/>
      <c r="P136" s="13" t="str">
        <f t="shared" si="144"/>
        <v>SN-777</v>
      </c>
      <c r="Q136" s="13" t="str">
        <f t="shared" si="145"/>
        <v>SI-777</v>
      </c>
      <c r="R136" s="13" t="str">
        <f t="shared" si="146"/>
        <v>SE-777</v>
      </c>
      <c r="S136" s="54" t="str">
        <f t="shared" si="147"/>
        <v>Prev_RA-777</v>
      </c>
      <c r="T136" s="54" t="str">
        <f t="shared" si="148"/>
        <v>Prev_Comms-777</v>
      </c>
      <c r="U136" s="17" t="s">
        <v>75</v>
      </c>
      <c r="V136" s="15" t="s">
        <v>401</v>
      </c>
      <c r="W136" s="17" t="s">
        <v>75</v>
      </c>
      <c r="X136" s="15" t="s">
        <v>396</v>
      </c>
      <c r="Y136" s="13" t="str">
        <f t="shared" si="149"/>
        <v>Forward Add-777</v>
      </c>
      <c r="Z136" s="15" t="s">
        <v>401</v>
      </c>
      <c r="AA136" s="136" t="str">
        <f>'Run Parameters'!$B$2</f>
        <v>2018-08-13 08:00</v>
      </c>
      <c r="AB136" s="223" t="str">
        <f>'Run Parameters'!B$3</f>
        <v>2018-08-13 18:00</v>
      </c>
      <c r="AC136" s="26">
        <f>('Run Parameters'!$B$2) - 7</f>
        <v>43318.333333333336</v>
      </c>
      <c r="AD136" s="17" t="s">
        <v>75</v>
      </c>
      <c r="AE136" s="18" t="str">
        <f t="shared" si="150"/>
        <v>LAST_METER-777</v>
      </c>
      <c r="AF136" s="136" t="str">
        <f>'Run Parameters'!$B$2</f>
        <v>2018-08-13 08:00</v>
      </c>
      <c r="AG136" s="13" t="str">
        <f>'Run Parameters'!B$4</f>
        <v>AUTOTEST2</v>
      </c>
      <c r="AH136" s="54" t="str">
        <f t="shared" si="151"/>
        <v>Site_Contact_777</v>
      </c>
      <c r="AI136" s="136" t="str">
        <f>'Run Parameters'!B$2</f>
        <v>2018-08-13 08:00</v>
      </c>
      <c r="AJ136" s="223" t="str">
        <f>'Run Parameters'!B$3</f>
        <v>2018-08-13 18:00</v>
      </c>
      <c r="AK136" s="13" t="s">
        <v>396</v>
      </c>
      <c r="AL136" s="54" t="str">
        <f t="shared" si="152"/>
        <v>01159777</v>
      </c>
      <c r="AM136" s="13" t="str">
        <f t="shared" si="153"/>
        <v>0115777</v>
      </c>
      <c r="AN136" s="15"/>
      <c r="AO136" s="52"/>
      <c r="AP136" s="13">
        <v>1</v>
      </c>
      <c r="AQ136" s="53" t="s">
        <v>49</v>
      </c>
      <c r="AR136" s="15"/>
      <c r="AS136" s="13"/>
      <c r="AT136" s="7" t="s">
        <v>400</v>
      </c>
      <c r="AU136" s="7"/>
      <c r="AV136" s="13">
        <f t="shared" si="154"/>
        <v>777</v>
      </c>
      <c r="AW136" s="13" t="s">
        <v>767</v>
      </c>
      <c r="AX136" s="13" t="s">
        <v>420</v>
      </c>
      <c r="AY136" s="13" t="s">
        <v>421</v>
      </c>
      <c r="AZ136" s="15" t="s">
        <v>334</v>
      </c>
      <c r="BA136" s="14" t="s">
        <v>154</v>
      </c>
      <c r="BB136" s="21">
        <v>1</v>
      </c>
      <c r="BC136" s="20">
        <f t="shared" si="155"/>
        <v>777</v>
      </c>
      <c r="BD136" s="16" t="s">
        <v>768</v>
      </c>
      <c r="BE136" s="16" t="s">
        <v>391</v>
      </c>
      <c r="BF136" s="16" t="s">
        <v>390</v>
      </c>
      <c r="BG136" s="20" t="s">
        <v>766</v>
      </c>
      <c r="BH136" s="20" t="str">
        <f t="shared" si="156"/>
        <v>777_1</v>
      </c>
      <c r="BI136" s="21"/>
      <c r="BJ136" s="21" t="str">
        <f t="shared" si="157"/>
        <v>10000000777</v>
      </c>
      <c r="BK136" s="16" t="s">
        <v>51</v>
      </c>
      <c r="BL136" s="16" t="s">
        <v>54</v>
      </c>
      <c r="BM136" s="20" t="s">
        <v>769</v>
      </c>
      <c r="BN136" s="16" t="s">
        <v>51</v>
      </c>
      <c r="BO136" s="20" t="str">
        <f t="shared" si="158"/>
        <v>S05S777</v>
      </c>
      <c r="BP136" s="16" t="s">
        <v>770</v>
      </c>
      <c r="BQ136" s="16" t="s">
        <v>770</v>
      </c>
      <c r="BR136" s="20" t="s">
        <v>161</v>
      </c>
      <c r="BS136" s="16" t="s">
        <v>50</v>
      </c>
      <c r="BT136" s="16" t="s">
        <v>47</v>
      </c>
      <c r="BU136" s="16" t="s">
        <v>393</v>
      </c>
      <c r="BV136" s="16" t="s">
        <v>51</v>
      </c>
      <c r="BW136" s="16" t="s">
        <v>154</v>
      </c>
      <c r="BX136" s="16"/>
      <c r="BY136" s="16"/>
      <c r="BZ136" s="16" t="s">
        <v>157</v>
      </c>
      <c r="CA136" s="16" t="s">
        <v>269</v>
      </c>
      <c r="CB136" s="16" t="s">
        <v>412</v>
      </c>
      <c r="CC136" s="16" t="s">
        <v>771</v>
      </c>
      <c r="CD136" s="16" t="s">
        <v>392</v>
      </c>
      <c r="CE136" s="16" t="s">
        <v>396</v>
      </c>
      <c r="CF136" s="16" t="s">
        <v>398</v>
      </c>
      <c r="CG136" s="16" t="s">
        <v>267</v>
      </c>
      <c r="CH136" s="16" t="s">
        <v>159</v>
      </c>
      <c r="CI136" s="6">
        <v>1</v>
      </c>
      <c r="CJ136" s="6" t="str">
        <f t="shared" si="178"/>
        <v>GAS_ENQ_NO-777</v>
      </c>
      <c r="CK136" s="7" t="s">
        <v>165</v>
      </c>
      <c r="CL136" s="7" t="s">
        <v>391</v>
      </c>
      <c r="CM136" s="7" t="s">
        <v>390</v>
      </c>
      <c r="CN136" s="6" t="s">
        <v>278</v>
      </c>
      <c r="CO136" s="6" t="str">
        <f t="shared" si="179"/>
        <v>GAS_JOB_ID-777</v>
      </c>
      <c r="CP136" s="7"/>
      <c r="CQ136" s="6" t="str">
        <f t="shared" si="180"/>
        <v>10000777</v>
      </c>
      <c r="CR136" s="6" t="s">
        <v>154</v>
      </c>
      <c r="CS136" s="7" t="s">
        <v>51</v>
      </c>
      <c r="CT136" s="27" t="str">
        <f t="shared" si="181"/>
        <v>GMETER777</v>
      </c>
      <c r="CU136" s="6" t="s">
        <v>161</v>
      </c>
      <c r="CV136" s="7" t="s">
        <v>165</v>
      </c>
      <c r="CW136" s="7" t="s">
        <v>772</v>
      </c>
      <c r="CX136" s="7"/>
      <c r="CY136" s="7"/>
      <c r="CZ136" s="7" t="s">
        <v>394</v>
      </c>
      <c r="DA136" s="7" t="s">
        <v>395</v>
      </c>
      <c r="DB136" s="6" t="str">
        <f t="shared" si="163"/>
        <v>GAS_INST_ID-777</v>
      </c>
      <c r="DC136" s="7" t="s">
        <v>161</v>
      </c>
      <c r="DD136" s="7"/>
      <c r="DE136" s="7" t="s">
        <v>51</v>
      </c>
      <c r="DF136" s="7" t="s">
        <v>264</v>
      </c>
      <c r="DG136" s="7"/>
      <c r="DH136" s="7" t="s">
        <v>397</v>
      </c>
      <c r="DI136" s="7" t="s">
        <v>399</v>
      </c>
      <c r="DJ136" s="10" t="s">
        <v>267</v>
      </c>
      <c r="DK136" s="7" t="s">
        <v>140</v>
      </c>
      <c r="DL136" s="40"/>
      <c r="DM136" s="40"/>
      <c r="DN136" s="38" t="str">
        <f t="shared" si="164"/>
        <v>DS_Pass-777</v>
      </c>
      <c r="DO136" s="40"/>
      <c r="DP136" s="40"/>
      <c r="DQ136" s="40"/>
      <c r="DR136" s="41"/>
      <c r="DS136" s="41"/>
      <c r="DT136" s="40"/>
      <c r="DU136" s="40"/>
      <c r="DV136" s="40"/>
      <c r="DW136" s="41"/>
      <c r="DX136" s="40"/>
      <c r="DY136" s="40"/>
      <c r="DZ136" s="37" t="s">
        <v>770</v>
      </c>
      <c r="EA136" s="39"/>
      <c r="EB136" s="37"/>
      <c r="EC136" s="37"/>
      <c r="ED136" s="16"/>
      <c r="EE136" s="1"/>
      <c r="EF136" s="55"/>
    </row>
    <row r="137" spans="1:136">
      <c r="A137" s="219" t="s">
        <v>886</v>
      </c>
      <c r="B137" s="219" t="s">
        <v>868</v>
      </c>
      <c r="C137" s="219" t="s">
        <v>865</v>
      </c>
      <c r="D137" s="13">
        <f>'Run Parameters'!$B$1 + ROW()-1</f>
        <v>778</v>
      </c>
      <c r="E137" s="15" t="s">
        <v>47</v>
      </c>
      <c r="F137" s="18" t="s">
        <v>766</v>
      </c>
      <c r="G137" s="13" t="str">
        <f t="shared" si="142"/>
        <v>Access Dtls-778</v>
      </c>
      <c r="H137" s="15" t="s">
        <v>275</v>
      </c>
      <c r="I137" s="13" t="str">
        <f>("MR. Test_128_EXCH3_"&amp;D137&amp;"")</f>
        <v>MR. Test_128_EXCH3_778</v>
      </c>
      <c r="J137" s="18"/>
      <c r="K137" s="19" t="s">
        <v>425</v>
      </c>
      <c r="L137" s="13" t="str">
        <f t="shared" si="143"/>
        <v>Cust. Ref-778</v>
      </c>
      <c r="M137" s="15" t="s">
        <v>48</v>
      </c>
      <c r="N137" s="15" t="s">
        <v>425</v>
      </c>
      <c r="O137" s="13"/>
      <c r="P137" s="13" t="str">
        <f t="shared" si="144"/>
        <v>SN-778</v>
      </c>
      <c r="Q137" s="13" t="str">
        <f t="shared" si="145"/>
        <v>SI-778</v>
      </c>
      <c r="R137" s="13" t="str">
        <f t="shared" si="146"/>
        <v>SE-778</v>
      </c>
      <c r="S137" s="54" t="str">
        <f t="shared" si="147"/>
        <v>Prev_RA-778</v>
      </c>
      <c r="T137" s="54" t="str">
        <f t="shared" si="148"/>
        <v>Prev_Comms-778</v>
      </c>
      <c r="U137" s="17" t="s">
        <v>75</v>
      </c>
      <c r="V137" s="15" t="s">
        <v>401</v>
      </c>
      <c r="W137" s="17" t="s">
        <v>75</v>
      </c>
      <c r="X137" s="15" t="s">
        <v>396</v>
      </c>
      <c r="Y137" s="13" t="str">
        <f t="shared" si="149"/>
        <v>Forward Add-778</v>
      </c>
      <c r="Z137" s="15" t="s">
        <v>401</v>
      </c>
      <c r="AA137" s="136" t="str">
        <f>'Run Parameters'!$B$2</f>
        <v>2018-08-13 08:00</v>
      </c>
      <c r="AB137" s="223" t="str">
        <f>'Run Parameters'!B$3</f>
        <v>2018-08-13 18:00</v>
      </c>
      <c r="AC137" s="26">
        <f>('Run Parameters'!$B$2) - 7</f>
        <v>43318.333333333336</v>
      </c>
      <c r="AD137" s="17" t="s">
        <v>75</v>
      </c>
      <c r="AE137" s="18" t="str">
        <f t="shared" si="150"/>
        <v>LAST_METER-778</v>
      </c>
      <c r="AF137" s="136" t="str">
        <f>'Run Parameters'!$B$2</f>
        <v>2018-08-13 08:00</v>
      </c>
      <c r="AG137" s="13" t="str">
        <f>'Run Parameters'!B$4</f>
        <v>AUTOTEST2</v>
      </c>
      <c r="AH137" s="54" t="str">
        <f t="shared" si="151"/>
        <v>Site_Contact_778</v>
      </c>
      <c r="AI137" s="136" t="str">
        <f>'Run Parameters'!B$2</f>
        <v>2018-08-13 08:00</v>
      </c>
      <c r="AJ137" s="223" t="str">
        <f>'Run Parameters'!B$3</f>
        <v>2018-08-13 18:00</v>
      </c>
      <c r="AK137" s="13" t="s">
        <v>396</v>
      </c>
      <c r="AL137" s="54" t="str">
        <f t="shared" si="152"/>
        <v>01159778</v>
      </c>
      <c r="AM137" s="13" t="str">
        <f t="shared" si="153"/>
        <v>0115778</v>
      </c>
      <c r="AN137" s="15"/>
      <c r="AO137" s="52"/>
      <c r="AP137" s="13">
        <v>1</v>
      </c>
      <c r="AQ137" s="53" t="s">
        <v>49</v>
      </c>
      <c r="AR137" s="15"/>
      <c r="AS137" s="13"/>
      <c r="AT137" s="7" t="s">
        <v>400</v>
      </c>
      <c r="AU137" s="7"/>
      <c r="AV137" s="13">
        <f t="shared" si="154"/>
        <v>778</v>
      </c>
      <c r="AW137" s="13" t="s">
        <v>767</v>
      </c>
      <c r="AX137" s="13" t="s">
        <v>420</v>
      </c>
      <c r="AY137" s="13" t="s">
        <v>421</v>
      </c>
      <c r="AZ137" s="15" t="s">
        <v>334</v>
      </c>
      <c r="BA137" s="14" t="s">
        <v>154</v>
      </c>
      <c r="BB137" s="21">
        <v>1</v>
      </c>
      <c r="BC137" s="20">
        <f t="shared" si="155"/>
        <v>778</v>
      </c>
      <c r="BD137" s="16" t="s">
        <v>768</v>
      </c>
      <c r="BE137" s="16" t="s">
        <v>391</v>
      </c>
      <c r="BF137" s="16" t="s">
        <v>390</v>
      </c>
      <c r="BG137" s="20" t="s">
        <v>766</v>
      </c>
      <c r="BH137" s="20" t="str">
        <f t="shared" si="156"/>
        <v>778_1</v>
      </c>
      <c r="BI137" s="21"/>
      <c r="BJ137" s="21" t="str">
        <f t="shared" si="157"/>
        <v>10000000778</v>
      </c>
      <c r="BK137" s="16" t="s">
        <v>51</v>
      </c>
      <c r="BL137" s="16" t="s">
        <v>54</v>
      </c>
      <c r="BM137" s="20" t="s">
        <v>769</v>
      </c>
      <c r="BN137" s="16" t="s">
        <v>51</v>
      </c>
      <c r="BO137" s="20" t="str">
        <f t="shared" si="158"/>
        <v>S05S778</v>
      </c>
      <c r="BP137" s="16" t="s">
        <v>770</v>
      </c>
      <c r="BQ137" s="16" t="s">
        <v>770</v>
      </c>
      <c r="BR137" s="20" t="s">
        <v>161</v>
      </c>
      <c r="BS137" s="16" t="s">
        <v>50</v>
      </c>
      <c r="BT137" s="16" t="s">
        <v>47</v>
      </c>
      <c r="BU137" s="16" t="s">
        <v>393</v>
      </c>
      <c r="BV137" s="16" t="s">
        <v>51</v>
      </c>
      <c r="BW137" s="16" t="s">
        <v>154</v>
      </c>
      <c r="BX137" s="16"/>
      <c r="BY137" s="16"/>
      <c r="BZ137" s="16" t="s">
        <v>157</v>
      </c>
      <c r="CA137" s="16" t="s">
        <v>269</v>
      </c>
      <c r="CB137" s="16" t="s">
        <v>412</v>
      </c>
      <c r="CC137" s="16" t="s">
        <v>771</v>
      </c>
      <c r="CD137" s="16" t="s">
        <v>392</v>
      </c>
      <c r="CE137" s="16" t="s">
        <v>396</v>
      </c>
      <c r="CF137" s="16" t="s">
        <v>398</v>
      </c>
      <c r="CG137" s="16" t="s">
        <v>267</v>
      </c>
      <c r="CH137" s="16" t="s">
        <v>159</v>
      </c>
      <c r="CI137" s="6">
        <v>1</v>
      </c>
      <c r="CJ137" s="6" t="str">
        <f t="shared" si="178"/>
        <v>GAS_ENQ_NO-778</v>
      </c>
      <c r="CK137" s="7" t="s">
        <v>165</v>
      </c>
      <c r="CL137" s="7" t="s">
        <v>391</v>
      </c>
      <c r="CM137" s="7" t="s">
        <v>390</v>
      </c>
      <c r="CN137" s="6" t="s">
        <v>278</v>
      </c>
      <c r="CO137" s="6" t="str">
        <f t="shared" si="179"/>
        <v>GAS_JOB_ID-778</v>
      </c>
      <c r="CP137" s="7"/>
      <c r="CQ137" s="6" t="str">
        <f t="shared" si="180"/>
        <v>10000778</v>
      </c>
      <c r="CR137" s="6" t="s">
        <v>154</v>
      </c>
      <c r="CS137" s="7" t="s">
        <v>51</v>
      </c>
      <c r="CT137" s="27" t="str">
        <f t="shared" si="181"/>
        <v>GMETER778</v>
      </c>
      <c r="CU137" s="6" t="s">
        <v>161</v>
      </c>
      <c r="CV137" s="7" t="s">
        <v>165</v>
      </c>
      <c r="CW137" s="7" t="s">
        <v>772</v>
      </c>
      <c r="CX137" s="7"/>
      <c r="CY137" s="7"/>
      <c r="CZ137" s="7" t="s">
        <v>394</v>
      </c>
      <c r="DA137" s="7" t="s">
        <v>395</v>
      </c>
      <c r="DB137" s="6" t="str">
        <f t="shared" si="163"/>
        <v>GAS_INST_ID-778</v>
      </c>
      <c r="DC137" s="7" t="s">
        <v>161</v>
      </c>
      <c r="DD137" s="7"/>
      <c r="DE137" s="7" t="s">
        <v>51</v>
      </c>
      <c r="DF137" s="7" t="s">
        <v>264</v>
      </c>
      <c r="DG137" s="7"/>
      <c r="DH137" s="7" t="s">
        <v>397</v>
      </c>
      <c r="DI137" s="7" t="s">
        <v>399</v>
      </c>
      <c r="DJ137" s="10" t="s">
        <v>267</v>
      </c>
      <c r="DK137" s="7" t="s">
        <v>140</v>
      </c>
      <c r="DL137" s="40"/>
      <c r="DM137" s="40"/>
      <c r="DN137" s="38" t="str">
        <f t="shared" si="164"/>
        <v>DS_Pass-778</v>
      </c>
      <c r="DO137" s="40"/>
      <c r="DP137" s="40"/>
      <c r="DQ137" s="40"/>
      <c r="DR137" s="41"/>
      <c r="DS137" s="41"/>
      <c r="DT137" s="40"/>
      <c r="DU137" s="40"/>
      <c r="DV137" s="40"/>
      <c r="DW137" s="41"/>
      <c r="DX137" s="40"/>
      <c r="DY137" s="40"/>
      <c r="DZ137" s="37" t="s">
        <v>770</v>
      </c>
      <c r="EA137" s="39"/>
      <c r="EB137" s="37"/>
      <c r="EC137" s="37"/>
      <c r="ED137" s="16"/>
      <c r="EE137" s="1"/>
      <c r="EF137" s="55"/>
    </row>
    <row r="138" spans="1:136">
      <c r="A138" s="219" t="s">
        <v>887</v>
      </c>
      <c r="B138" s="219" t="s">
        <v>892</v>
      </c>
      <c r="C138" s="219" t="s">
        <v>865</v>
      </c>
      <c r="D138" s="13">
        <f>'Run Parameters'!$B$1 + ROW()-1</f>
        <v>779</v>
      </c>
      <c r="E138" s="15" t="s">
        <v>47</v>
      </c>
      <c r="F138" s="18" t="s">
        <v>766</v>
      </c>
      <c r="G138" s="13" t="str">
        <f t="shared" si="142"/>
        <v>Access Dtls-779</v>
      </c>
      <c r="H138" s="15" t="s">
        <v>275</v>
      </c>
      <c r="I138" s="13" t="str">
        <f>("MR. Test_129_EXCH3_"&amp;D138&amp;"")</f>
        <v>MR. Test_129_EXCH3_779</v>
      </c>
      <c r="J138" s="18"/>
      <c r="K138" s="19" t="s">
        <v>425</v>
      </c>
      <c r="L138" s="13" t="str">
        <f t="shared" si="143"/>
        <v>Cust. Ref-779</v>
      </c>
      <c r="M138" s="15" t="s">
        <v>48</v>
      </c>
      <c r="N138" s="15" t="s">
        <v>425</v>
      </c>
      <c r="O138" s="13"/>
      <c r="P138" s="13" t="str">
        <f t="shared" si="144"/>
        <v>SN-779</v>
      </c>
      <c r="Q138" s="13" t="str">
        <f t="shared" si="145"/>
        <v>SI-779</v>
      </c>
      <c r="R138" s="13" t="str">
        <f t="shared" si="146"/>
        <v>SE-779</v>
      </c>
      <c r="S138" s="54" t="str">
        <f t="shared" si="147"/>
        <v>Prev_RA-779</v>
      </c>
      <c r="T138" s="54" t="str">
        <f t="shared" si="148"/>
        <v>Prev_Comms-779</v>
      </c>
      <c r="U138" s="17" t="s">
        <v>75</v>
      </c>
      <c r="V138" s="15" t="s">
        <v>401</v>
      </c>
      <c r="W138" s="17" t="s">
        <v>75</v>
      </c>
      <c r="X138" s="15" t="s">
        <v>396</v>
      </c>
      <c r="Y138" s="13" t="str">
        <f t="shared" si="149"/>
        <v>Forward Add-779</v>
      </c>
      <c r="Z138" s="15" t="s">
        <v>401</v>
      </c>
      <c r="AA138" s="136" t="str">
        <f>'Run Parameters'!$B$2</f>
        <v>2018-08-13 08:00</v>
      </c>
      <c r="AB138" s="223" t="str">
        <f>'Run Parameters'!B$3</f>
        <v>2018-08-13 18:00</v>
      </c>
      <c r="AC138" s="26">
        <f>('Run Parameters'!$B$2) - 7</f>
        <v>43318.333333333336</v>
      </c>
      <c r="AD138" s="17" t="s">
        <v>75</v>
      </c>
      <c r="AE138" s="18" t="str">
        <f t="shared" si="150"/>
        <v>LAST_METER-779</v>
      </c>
      <c r="AF138" s="136" t="str">
        <f>'Run Parameters'!$B$2</f>
        <v>2018-08-13 08:00</v>
      </c>
      <c r="AG138" s="13" t="str">
        <f>'Run Parameters'!B$4</f>
        <v>AUTOTEST2</v>
      </c>
      <c r="AH138" s="54" t="str">
        <f t="shared" si="151"/>
        <v>Site_Contact_779</v>
      </c>
      <c r="AI138" s="136" t="str">
        <f>'Run Parameters'!B$2</f>
        <v>2018-08-13 08:00</v>
      </c>
      <c r="AJ138" s="223" t="str">
        <f>'Run Parameters'!B$3</f>
        <v>2018-08-13 18:00</v>
      </c>
      <c r="AK138" s="13" t="s">
        <v>396</v>
      </c>
      <c r="AL138" s="54" t="str">
        <f t="shared" si="152"/>
        <v>01159779</v>
      </c>
      <c r="AM138" s="13" t="str">
        <f t="shared" si="153"/>
        <v>0115779</v>
      </c>
      <c r="AN138" s="15"/>
      <c r="AO138" s="52"/>
      <c r="AP138" s="13">
        <v>1</v>
      </c>
      <c r="AQ138" s="53" t="s">
        <v>49</v>
      </c>
      <c r="AR138" s="15"/>
      <c r="AS138" s="13"/>
      <c r="AT138" s="7" t="s">
        <v>400</v>
      </c>
      <c r="AU138" s="7"/>
      <c r="AV138" s="13">
        <f t="shared" si="154"/>
        <v>779</v>
      </c>
      <c r="AW138" s="13" t="s">
        <v>767</v>
      </c>
      <c r="AX138" s="13" t="s">
        <v>420</v>
      </c>
      <c r="AY138" s="13" t="s">
        <v>421</v>
      </c>
      <c r="AZ138" s="15" t="s">
        <v>334</v>
      </c>
      <c r="BA138" s="14" t="s">
        <v>154</v>
      </c>
      <c r="BB138" s="21">
        <v>1</v>
      </c>
      <c r="BC138" s="20">
        <f t="shared" si="155"/>
        <v>779</v>
      </c>
      <c r="BD138" s="16" t="s">
        <v>768</v>
      </c>
      <c r="BE138" s="16" t="s">
        <v>391</v>
      </c>
      <c r="BF138" s="16" t="s">
        <v>390</v>
      </c>
      <c r="BG138" s="20" t="s">
        <v>766</v>
      </c>
      <c r="BH138" s="20" t="str">
        <f t="shared" si="156"/>
        <v>779_1</v>
      </c>
      <c r="BI138" s="21"/>
      <c r="BJ138" s="21" t="str">
        <f t="shared" si="157"/>
        <v>10000000779</v>
      </c>
      <c r="BK138" s="16" t="s">
        <v>51</v>
      </c>
      <c r="BL138" s="16" t="s">
        <v>54</v>
      </c>
      <c r="BM138" s="20" t="s">
        <v>769</v>
      </c>
      <c r="BN138" s="16" t="s">
        <v>51</v>
      </c>
      <c r="BO138" s="20" t="str">
        <f t="shared" si="158"/>
        <v>S05S779</v>
      </c>
      <c r="BP138" s="16" t="s">
        <v>770</v>
      </c>
      <c r="BQ138" s="16" t="s">
        <v>770</v>
      </c>
      <c r="BR138" s="20" t="s">
        <v>161</v>
      </c>
      <c r="BS138" s="16" t="s">
        <v>50</v>
      </c>
      <c r="BT138" s="16" t="s">
        <v>47</v>
      </c>
      <c r="BU138" s="16" t="s">
        <v>393</v>
      </c>
      <c r="BV138" s="16" t="s">
        <v>51</v>
      </c>
      <c r="BW138" s="16" t="s">
        <v>154</v>
      </c>
      <c r="BX138" s="16"/>
      <c r="BY138" s="16"/>
      <c r="BZ138" s="16" t="s">
        <v>157</v>
      </c>
      <c r="CA138" s="16" t="s">
        <v>269</v>
      </c>
      <c r="CB138" s="16" t="s">
        <v>412</v>
      </c>
      <c r="CC138" s="16" t="s">
        <v>771</v>
      </c>
      <c r="CD138" s="16" t="s">
        <v>392</v>
      </c>
      <c r="CE138" s="16" t="s">
        <v>396</v>
      </c>
      <c r="CF138" s="16" t="s">
        <v>398</v>
      </c>
      <c r="CG138" s="16" t="s">
        <v>267</v>
      </c>
      <c r="CH138" s="16" t="s">
        <v>159</v>
      </c>
      <c r="CI138" s="6">
        <v>1</v>
      </c>
      <c r="CJ138" s="6" t="str">
        <f t="shared" si="178"/>
        <v>GAS_ENQ_NO-779</v>
      </c>
      <c r="CK138" s="7" t="s">
        <v>165</v>
      </c>
      <c r="CL138" s="7" t="s">
        <v>391</v>
      </c>
      <c r="CM138" s="7" t="s">
        <v>390</v>
      </c>
      <c r="CN138" s="6" t="s">
        <v>278</v>
      </c>
      <c r="CO138" s="6" t="str">
        <f t="shared" si="179"/>
        <v>GAS_JOB_ID-779</v>
      </c>
      <c r="CP138" s="7"/>
      <c r="CQ138" s="6" t="str">
        <f t="shared" si="180"/>
        <v>10000779</v>
      </c>
      <c r="CR138" s="6" t="s">
        <v>154</v>
      </c>
      <c r="CS138" s="7" t="s">
        <v>51</v>
      </c>
      <c r="CT138" s="27" t="str">
        <f t="shared" si="181"/>
        <v>GMETER779</v>
      </c>
      <c r="CU138" s="6" t="s">
        <v>161</v>
      </c>
      <c r="CV138" s="7" t="s">
        <v>165</v>
      </c>
      <c r="CW138" s="7" t="s">
        <v>772</v>
      </c>
      <c r="CX138" s="7"/>
      <c r="CY138" s="7"/>
      <c r="CZ138" s="7" t="s">
        <v>394</v>
      </c>
      <c r="DA138" s="7" t="s">
        <v>395</v>
      </c>
      <c r="DB138" s="6" t="str">
        <f t="shared" si="163"/>
        <v>GAS_INST_ID-779</v>
      </c>
      <c r="DC138" s="7" t="s">
        <v>161</v>
      </c>
      <c r="DD138" s="7"/>
      <c r="DE138" s="7" t="s">
        <v>51</v>
      </c>
      <c r="DF138" s="7" t="s">
        <v>264</v>
      </c>
      <c r="DG138" s="7"/>
      <c r="DH138" s="7" t="s">
        <v>397</v>
      </c>
      <c r="DI138" s="7" t="s">
        <v>399</v>
      </c>
      <c r="DJ138" s="10" t="s">
        <v>267</v>
      </c>
      <c r="DK138" s="7" t="s">
        <v>140</v>
      </c>
      <c r="DL138" s="40"/>
      <c r="DM138" s="40"/>
      <c r="DN138" s="38" t="str">
        <f t="shared" si="164"/>
        <v>DS_Pass-779</v>
      </c>
      <c r="DO138" s="40"/>
      <c r="DP138" s="40"/>
      <c r="DQ138" s="40"/>
      <c r="DR138" s="41"/>
      <c r="DS138" s="41"/>
      <c r="DT138" s="40"/>
      <c r="DU138" s="40"/>
      <c r="DV138" s="40"/>
      <c r="DW138" s="41"/>
      <c r="DX138" s="40"/>
      <c r="DY138" s="40"/>
      <c r="DZ138" s="37" t="s">
        <v>770</v>
      </c>
      <c r="EA138" s="39"/>
      <c r="EB138" s="37"/>
      <c r="EC138" s="37"/>
      <c r="ED138" s="16"/>
      <c r="EE138" s="1"/>
      <c r="EF138" s="55"/>
    </row>
    <row r="139" spans="1:136">
      <c r="A139" s="219" t="s">
        <v>888</v>
      </c>
      <c r="B139" s="219" t="s">
        <v>868</v>
      </c>
      <c r="C139" s="219" t="s">
        <v>865</v>
      </c>
      <c r="D139" s="13">
        <f>'Run Parameters'!$B$1 + ROW()-1</f>
        <v>780</v>
      </c>
      <c r="E139" s="15" t="s">
        <v>47</v>
      </c>
      <c r="F139" s="18" t="s">
        <v>766</v>
      </c>
      <c r="G139" s="13" t="str">
        <f t="shared" si="142"/>
        <v>Access Dtls-780</v>
      </c>
      <c r="H139" s="15" t="s">
        <v>275</v>
      </c>
      <c r="I139" s="13" t="str">
        <f>("MR. Test_130_EXCH3_"&amp;D139&amp;"")</f>
        <v>MR. Test_130_EXCH3_780</v>
      </c>
      <c r="J139" s="18"/>
      <c r="K139" s="19" t="s">
        <v>425</v>
      </c>
      <c r="L139" s="13" t="str">
        <f t="shared" si="143"/>
        <v>Cust. Ref-780</v>
      </c>
      <c r="M139" s="15" t="s">
        <v>48</v>
      </c>
      <c r="N139" s="15" t="s">
        <v>425</v>
      </c>
      <c r="O139" s="13"/>
      <c r="P139" s="13" t="str">
        <f t="shared" si="144"/>
        <v>SN-780</v>
      </c>
      <c r="Q139" s="13" t="str">
        <f t="shared" si="145"/>
        <v>SI-780</v>
      </c>
      <c r="R139" s="13" t="str">
        <f t="shared" si="146"/>
        <v>SE-780</v>
      </c>
      <c r="S139" s="54" t="str">
        <f t="shared" si="147"/>
        <v>Prev_RA-780</v>
      </c>
      <c r="T139" s="54" t="str">
        <f t="shared" si="148"/>
        <v>Prev_Comms-780</v>
      </c>
      <c r="U139" s="17" t="s">
        <v>75</v>
      </c>
      <c r="V139" s="15" t="s">
        <v>401</v>
      </c>
      <c r="W139" s="17" t="s">
        <v>75</v>
      </c>
      <c r="X139" s="15" t="s">
        <v>396</v>
      </c>
      <c r="Y139" s="13" t="str">
        <f t="shared" si="149"/>
        <v>Forward Add-780</v>
      </c>
      <c r="Z139" s="15" t="s">
        <v>401</v>
      </c>
      <c r="AA139" s="136" t="str">
        <f>'Run Parameters'!$B$2</f>
        <v>2018-08-13 08:00</v>
      </c>
      <c r="AB139" s="223" t="str">
        <f>'Run Parameters'!B$3</f>
        <v>2018-08-13 18:00</v>
      </c>
      <c r="AC139" s="26">
        <f>('Run Parameters'!$B$2) - 7</f>
        <v>43318.333333333336</v>
      </c>
      <c r="AD139" s="17" t="s">
        <v>75</v>
      </c>
      <c r="AE139" s="18" t="str">
        <f t="shared" si="150"/>
        <v>LAST_METER-780</v>
      </c>
      <c r="AF139" s="136" t="str">
        <f>'Run Parameters'!$B$2</f>
        <v>2018-08-13 08:00</v>
      </c>
      <c r="AG139" s="13" t="str">
        <f>'Run Parameters'!B$4</f>
        <v>AUTOTEST2</v>
      </c>
      <c r="AH139" s="54" t="str">
        <f t="shared" si="151"/>
        <v>Site_Contact_780</v>
      </c>
      <c r="AI139" s="136" t="str">
        <f>'Run Parameters'!B$2</f>
        <v>2018-08-13 08:00</v>
      </c>
      <c r="AJ139" s="223" t="str">
        <f>'Run Parameters'!B$3</f>
        <v>2018-08-13 18:00</v>
      </c>
      <c r="AK139" s="13" t="s">
        <v>396</v>
      </c>
      <c r="AL139" s="54" t="str">
        <f t="shared" si="152"/>
        <v>01159780</v>
      </c>
      <c r="AM139" s="13" t="str">
        <f t="shared" si="153"/>
        <v>0115780</v>
      </c>
      <c r="AN139" s="15"/>
      <c r="AO139" s="52"/>
      <c r="AP139" s="13">
        <v>1</v>
      </c>
      <c r="AQ139" s="53" t="s">
        <v>49</v>
      </c>
      <c r="AR139" s="15"/>
      <c r="AS139" s="13"/>
      <c r="AT139" s="7" t="s">
        <v>400</v>
      </c>
      <c r="AU139" s="7"/>
      <c r="AV139" s="13">
        <f t="shared" si="154"/>
        <v>780</v>
      </c>
      <c r="AW139" s="13" t="s">
        <v>767</v>
      </c>
      <c r="AX139" s="13" t="s">
        <v>420</v>
      </c>
      <c r="AY139" s="13" t="s">
        <v>421</v>
      </c>
      <c r="AZ139" s="15" t="s">
        <v>334</v>
      </c>
      <c r="BA139" s="14" t="s">
        <v>154</v>
      </c>
      <c r="BB139" s="21">
        <v>1</v>
      </c>
      <c r="BC139" s="20">
        <f t="shared" si="155"/>
        <v>780</v>
      </c>
      <c r="BD139" s="16" t="s">
        <v>768</v>
      </c>
      <c r="BE139" s="16" t="s">
        <v>391</v>
      </c>
      <c r="BF139" s="16" t="s">
        <v>390</v>
      </c>
      <c r="BG139" s="20" t="s">
        <v>766</v>
      </c>
      <c r="BH139" s="20" t="str">
        <f t="shared" si="156"/>
        <v>780_1</v>
      </c>
      <c r="BI139" s="21"/>
      <c r="BJ139" s="21" t="str">
        <f t="shared" si="157"/>
        <v>10000000780</v>
      </c>
      <c r="BK139" s="16" t="s">
        <v>51</v>
      </c>
      <c r="BL139" s="16" t="s">
        <v>54</v>
      </c>
      <c r="BM139" s="20" t="s">
        <v>769</v>
      </c>
      <c r="BN139" s="16" t="s">
        <v>51</v>
      </c>
      <c r="BO139" s="20" t="str">
        <f t="shared" si="158"/>
        <v>S05S780</v>
      </c>
      <c r="BP139" s="16" t="s">
        <v>770</v>
      </c>
      <c r="BQ139" s="16" t="s">
        <v>770</v>
      </c>
      <c r="BR139" s="20" t="s">
        <v>161</v>
      </c>
      <c r="BS139" s="16" t="s">
        <v>50</v>
      </c>
      <c r="BT139" s="16" t="s">
        <v>47</v>
      </c>
      <c r="BU139" s="16" t="s">
        <v>393</v>
      </c>
      <c r="BV139" s="16" t="s">
        <v>51</v>
      </c>
      <c r="BW139" s="16" t="s">
        <v>154</v>
      </c>
      <c r="BX139" s="16"/>
      <c r="BY139" s="16"/>
      <c r="BZ139" s="16" t="s">
        <v>157</v>
      </c>
      <c r="CA139" s="16" t="s">
        <v>269</v>
      </c>
      <c r="CB139" s="16" t="s">
        <v>412</v>
      </c>
      <c r="CC139" s="16" t="s">
        <v>771</v>
      </c>
      <c r="CD139" s="16" t="s">
        <v>392</v>
      </c>
      <c r="CE139" s="16" t="s">
        <v>396</v>
      </c>
      <c r="CF139" s="16" t="s">
        <v>398</v>
      </c>
      <c r="CG139" s="16" t="s">
        <v>267</v>
      </c>
      <c r="CH139" s="16" t="s">
        <v>159</v>
      </c>
      <c r="CI139" s="6">
        <v>1</v>
      </c>
      <c r="CJ139" s="6" t="str">
        <f t="shared" si="178"/>
        <v>GAS_ENQ_NO-780</v>
      </c>
      <c r="CK139" s="7" t="s">
        <v>165</v>
      </c>
      <c r="CL139" s="7" t="s">
        <v>391</v>
      </c>
      <c r="CM139" s="7" t="s">
        <v>390</v>
      </c>
      <c r="CN139" s="6" t="s">
        <v>278</v>
      </c>
      <c r="CO139" s="6" t="str">
        <f t="shared" si="179"/>
        <v>GAS_JOB_ID-780</v>
      </c>
      <c r="CP139" s="7"/>
      <c r="CQ139" s="6" t="str">
        <f t="shared" si="180"/>
        <v>10000780</v>
      </c>
      <c r="CR139" s="6" t="s">
        <v>154</v>
      </c>
      <c r="CS139" s="7" t="s">
        <v>51</v>
      </c>
      <c r="CT139" s="27" t="str">
        <f t="shared" si="181"/>
        <v>GMETER780</v>
      </c>
      <c r="CU139" s="6" t="s">
        <v>161</v>
      </c>
      <c r="CV139" s="7" t="s">
        <v>165</v>
      </c>
      <c r="CW139" s="7" t="s">
        <v>772</v>
      </c>
      <c r="CX139" s="7"/>
      <c r="CY139" s="7"/>
      <c r="CZ139" s="7" t="s">
        <v>394</v>
      </c>
      <c r="DA139" s="7" t="s">
        <v>395</v>
      </c>
      <c r="DB139" s="6" t="str">
        <f t="shared" si="163"/>
        <v>GAS_INST_ID-780</v>
      </c>
      <c r="DC139" s="7" t="s">
        <v>161</v>
      </c>
      <c r="DD139" s="7"/>
      <c r="DE139" s="7" t="s">
        <v>51</v>
      </c>
      <c r="DF139" s="7" t="s">
        <v>264</v>
      </c>
      <c r="DG139" s="7"/>
      <c r="DH139" s="7" t="s">
        <v>397</v>
      </c>
      <c r="DI139" s="7" t="s">
        <v>399</v>
      </c>
      <c r="DJ139" s="10" t="s">
        <v>267</v>
      </c>
      <c r="DK139" s="7" t="s">
        <v>140</v>
      </c>
      <c r="DL139" s="40"/>
      <c r="DM139" s="40"/>
      <c r="DN139" s="38" t="str">
        <f t="shared" si="164"/>
        <v>DS_Pass-780</v>
      </c>
      <c r="DO139" s="40"/>
      <c r="DP139" s="40"/>
      <c r="DQ139" s="40"/>
      <c r="DR139" s="41"/>
      <c r="DS139" s="41"/>
      <c r="DT139" s="40"/>
      <c r="DU139" s="40"/>
      <c r="DV139" s="40"/>
      <c r="DW139" s="41"/>
      <c r="DX139" s="40"/>
      <c r="DY139" s="40"/>
      <c r="DZ139" s="37" t="s">
        <v>770</v>
      </c>
      <c r="EA139" s="39"/>
      <c r="EB139" s="37"/>
      <c r="EC139" s="37"/>
      <c r="ED139" s="16"/>
      <c r="EE139" s="1"/>
      <c r="EF139" s="55"/>
    </row>
    <row r="140" spans="1:136">
      <c r="A140" s="219" t="s">
        <v>889</v>
      </c>
      <c r="B140" s="219" t="s">
        <v>892</v>
      </c>
      <c r="C140" s="219" t="s">
        <v>865</v>
      </c>
      <c r="D140" s="13">
        <f>'Run Parameters'!$B$1 + ROW()-1</f>
        <v>781</v>
      </c>
      <c r="E140" s="15" t="s">
        <v>47</v>
      </c>
      <c r="F140" s="18" t="s">
        <v>766</v>
      </c>
      <c r="G140" s="13" t="str">
        <f t="shared" si="142"/>
        <v>Access Dtls-781</v>
      </c>
      <c r="H140" s="15" t="s">
        <v>275</v>
      </c>
      <c r="I140" s="13" t="str">
        <f>("MR. Test_131_EXCH3_"&amp;D140&amp;"")</f>
        <v>MR. Test_131_EXCH3_781</v>
      </c>
      <c r="J140" s="18"/>
      <c r="K140" s="19" t="s">
        <v>425</v>
      </c>
      <c r="L140" s="13" t="str">
        <f t="shared" si="143"/>
        <v>Cust. Ref-781</v>
      </c>
      <c r="M140" s="15" t="s">
        <v>48</v>
      </c>
      <c r="N140" s="15" t="s">
        <v>425</v>
      </c>
      <c r="O140" s="13"/>
      <c r="P140" s="13" t="str">
        <f t="shared" si="144"/>
        <v>SN-781</v>
      </c>
      <c r="Q140" s="13" t="str">
        <f t="shared" si="145"/>
        <v>SI-781</v>
      </c>
      <c r="R140" s="13" t="str">
        <f t="shared" si="146"/>
        <v>SE-781</v>
      </c>
      <c r="S140" s="54" t="str">
        <f t="shared" si="147"/>
        <v>Prev_RA-781</v>
      </c>
      <c r="T140" s="54" t="str">
        <f t="shared" si="148"/>
        <v>Prev_Comms-781</v>
      </c>
      <c r="U140" s="17" t="s">
        <v>75</v>
      </c>
      <c r="V140" s="15" t="s">
        <v>401</v>
      </c>
      <c r="W140" s="17" t="s">
        <v>75</v>
      </c>
      <c r="X140" s="15" t="s">
        <v>396</v>
      </c>
      <c r="Y140" s="13" t="str">
        <f t="shared" si="149"/>
        <v>Forward Add-781</v>
      </c>
      <c r="Z140" s="15" t="s">
        <v>401</v>
      </c>
      <c r="AA140" s="136" t="str">
        <f>'Run Parameters'!$B$2</f>
        <v>2018-08-13 08:00</v>
      </c>
      <c r="AB140" s="223" t="str">
        <f>'Run Parameters'!B$3</f>
        <v>2018-08-13 18:00</v>
      </c>
      <c r="AC140" s="26">
        <f>('Run Parameters'!$B$2) - 7</f>
        <v>43318.333333333336</v>
      </c>
      <c r="AD140" s="17" t="s">
        <v>75</v>
      </c>
      <c r="AE140" s="18" t="str">
        <f t="shared" si="150"/>
        <v>LAST_METER-781</v>
      </c>
      <c r="AF140" s="136" t="str">
        <f>'Run Parameters'!$B$2</f>
        <v>2018-08-13 08:00</v>
      </c>
      <c r="AG140" s="13" t="str">
        <f>'Run Parameters'!B$4</f>
        <v>AUTOTEST2</v>
      </c>
      <c r="AH140" s="54" t="str">
        <f t="shared" si="151"/>
        <v>Site_Contact_781</v>
      </c>
      <c r="AI140" s="136" t="str">
        <f>'Run Parameters'!B$2</f>
        <v>2018-08-13 08:00</v>
      </c>
      <c r="AJ140" s="223" t="str">
        <f>'Run Parameters'!B$3</f>
        <v>2018-08-13 18:00</v>
      </c>
      <c r="AK140" s="13" t="s">
        <v>396</v>
      </c>
      <c r="AL140" s="54" t="str">
        <f t="shared" si="152"/>
        <v>01159781</v>
      </c>
      <c r="AM140" s="13" t="str">
        <f t="shared" si="153"/>
        <v>0115781</v>
      </c>
      <c r="AN140" s="15"/>
      <c r="AO140" s="52"/>
      <c r="AP140" s="13">
        <v>1</v>
      </c>
      <c r="AQ140" s="53" t="s">
        <v>49</v>
      </c>
      <c r="AR140" s="15"/>
      <c r="AS140" s="13"/>
      <c r="AT140" s="7" t="s">
        <v>400</v>
      </c>
      <c r="AU140" s="7"/>
      <c r="AV140" s="13">
        <f t="shared" si="154"/>
        <v>781</v>
      </c>
      <c r="AW140" s="13" t="s">
        <v>767</v>
      </c>
      <c r="AX140" s="13" t="s">
        <v>420</v>
      </c>
      <c r="AY140" s="13" t="s">
        <v>421</v>
      </c>
      <c r="AZ140" s="15" t="s">
        <v>334</v>
      </c>
      <c r="BA140" s="14" t="s">
        <v>154</v>
      </c>
      <c r="BB140" s="21">
        <v>1</v>
      </c>
      <c r="BC140" s="20">
        <f t="shared" si="155"/>
        <v>781</v>
      </c>
      <c r="BD140" s="16" t="s">
        <v>768</v>
      </c>
      <c r="BE140" s="16" t="s">
        <v>391</v>
      </c>
      <c r="BF140" s="16" t="s">
        <v>390</v>
      </c>
      <c r="BG140" s="20" t="s">
        <v>766</v>
      </c>
      <c r="BH140" s="20" t="str">
        <f t="shared" si="156"/>
        <v>781_1</v>
      </c>
      <c r="BI140" s="21"/>
      <c r="BJ140" s="21" t="str">
        <f t="shared" si="157"/>
        <v>10000000781</v>
      </c>
      <c r="BK140" s="16" t="s">
        <v>51</v>
      </c>
      <c r="BL140" s="16" t="s">
        <v>54</v>
      </c>
      <c r="BM140" s="20" t="s">
        <v>769</v>
      </c>
      <c r="BN140" s="16" t="s">
        <v>51</v>
      </c>
      <c r="BO140" s="20" t="str">
        <f t="shared" si="158"/>
        <v>S05S781</v>
      </c>
      <c r="BP140" s="16" t="s">
        <v>770</v>
      </c>
      <c r="BQ140" s="16" t="s">
        <v>770</v>
      </c>
      <c r="BR140" s="20" t="s">
        <v>161</v>
      </c>
      <c r="BS140" s="16" t="s">
        <v>50</v>
      </c>
      <c r="BT140" s="16" t="s">
        <v>47</v>
      </c>
      <c r="BU140" s="16" t="s">
        <v>393</v>
      </c>
      <c r="BV140" s="16" t="s">
        <v>51</v>
      </c>
      <c r="BW140" s="16" t="s">
        <v>154</v>
      </c>
      <c r="BX140" s="16"/>
      <c r="BY140" s="16"/>
      <c r="BZ140" s="16" t="s">
        <v>157</v>
      </c>
      <c r="CA140" s="16" t="s">
        <v>269</v>
      </c>
      <c r="CB140" s="16" t="s">
        <v>412</v>
      </c>
      <c r="CC140" s="16" t="s">
        <v>771</v>
      </c>
      <c r="CD140" s="16" t="s">
        <v>392</v>
      </c>
      <c r="CE140" s="16" t="s">
        <v>396</v>
      </c>
      <c r="CF140" s="16" t="s">
        <v>398</v>
      </c>
      <c r="CG140" s="16" t="s">
        <v>267</v>
      </c>
      <c r="CH140" s="16" t="s">
        <v>159</v>
      </c>
      <c r="CI140" s="6">
        <v>1</v>
      </c>
      <c r="CJ140" s="6" t="str">
        <f t="shared" si="178"/>
        <v>GAS_ENQ_NO-781</v>
      </c>
      <c r="CK140" s="7" t="s">
        <v>165</v>
      </c>
      <c r="CL140" s="7" t="s">
        <v>391</v>
      </c>
      <c r="CM140" s="7" t="s">
        <v>390</v>
      </c>
      <c r="CN140" s="6" t="s">
        <v>278</v>
      </c>
      <c r="CO140" s="6" t="str">
        <f t="shared" si="179"/>
        <v>GAS_JOB_ID-781</v>
      </c>
      <c r="CP140" s="7"/>
      <c r="CQ140" s="6" t="str">
        <f t="shared" si="180"/>
        <v>10000781</v>
      </c>
      <c r="CR140" s="6" t="s">
        <v>154</v>
      </c>
      <c r="CS140" s="7" t="s">
        <v>51</v>
      </c>
      <c r="CT140" s="27" t="str">
        <f t="shared" si="181"/>
        <v>GMETER781</v>
      </c>
      <c r="CU140" s="6" t="s">
        <v>161</v>
      </c>
      <c r="CV140" s="7" t="s">
        <v>165</v>
      </c>
      <c r="CW140" s="7" t="s">
        <v>772</v>
      </c>
      <c r="CX140" s="7"/>
      <c r="CY140" s="7"/>
      <c r="CZ140" s="7" t="s">
        <v>394</v>
      </c>
      <c r="DA140" s="7" t="s">
        <v>395</v>
      </c>
      <c r="DB140" s="6" t="str">
        <f t="shared" si="163"/>
        <v>GAS_INST_ID-781</v>
      </c>
      <c r="DC140" s="7" t="s">
        <v>161</v>
      </c>
      <c r="DD140" s="7"/>
      <c r="DE140" s="7" t="s">
        <v>51</v>
      </c>
      <c r="DF140" s="7" t="s">
        <v>264</v>
      </c>
      <c r="DG140" s="7"/>
      <c r="DH140" s="7" t="s">
        <v>397</v>
      </c>
      <c r="DI140" s="7" t="s">
        <v>399</v>
      </c>
      <c r="DJ140" s="10" t="s">
        <v>267</v>
      </c>
      <c r="DK140" s="7" t="s">
        <v>140</v>
      </c>
      <c r="DL140" s="40"/>
      <c r="DM140" s="40"/>
      <c r="DN140" s="38" t="str">
        <f t="shared" si="164"/>
        <v>DS_Pass-781</v>
      </c>
      <c r="DO140" s="40"/>
      <c r="DP140" s="40"/>
      <c r="DQ140" s="40"/>
      <c r="DR140" s="41"/>
      <c r="DS140" s="41"/>
      <c r="DT140" s="40"/>
      <c r="DU140" s="40"/>
      <c r="DV140" s="40"/>
      <c r="DW140" s="41"/>
      <c r="DX140" s="40"/>
      <c r="DY140" s="40"/>
      <c r="DZ140" s="37" t="s">
        <v>770</v>
      </c>
      <c r="EA140" s="39"/>
      <c r="EB140" s="37"/>
      <c r="EC140" s="37"/>
      <c r="ED140" s="16"/>
      <c r="EE140" s="1"/>
      <c r="EF140" s="55"/>
    </row>
    <row r="141" spans="1:136">
      <c r="A141" s="219" t="s">
        <v>890</v>
      </c>
      <c r="B141" s="219" t="s">
        <v>868</v>
      </c>
      <c r="C141" s="219" t="s">
        <v>865</v>
      </c>
      <c r="D141" s="13">
        <f>'Run Parameters'!$B$1 + ROW()-1</f>
        <v>782</v>
      </c>
      <c r="E141" s="15" t="s">
        <v>47</v>
      </c>
      <c r="F141" s="18" t="s">
        <v>766</v>
      </c>
      <c r="G141" s="13" t="str">
        <f t="shared" si="142"/>
        <v>Access Dtls-782</v>
      </c>
      <c r="H141" s="15" t="s">
        <v>275</v>
      </c>
      <c r="I141" s="13" t="str">
        <f>("MR. Test_132_EXCH3_"&amp;D141&amp;"")</f>
        <v>MR. Test_132_EXCH3_782</v>
      </c>
      <c r="J141" s="18"/>
      <c r="K141" s="19" t="s">
        <v>425</v>
      </c>
      <c r="L141" s="13" t="str">
        <f t="shared" si="143"/>
        <v>Cust. Ref-782</v>
      </c>
      <c r="M141" s="15" t="s">
        <v>48</v>
      </c>
      <c r="N141" s="15" t="s">
        <v>425</v>
      </c>
      <c r="O141" s="13"/>
      <c r="P141" s="13" t="str">
        <f t="shared" si="144"/>
        <v>SN-782</v>
      </c>
      <c r="Q141" s="13" t="str">
        <f t="shared" si="145"/>
        <v>SI-782</v>
      </c>
      <c r="R141" s="13" t="str">
        <f t="shared" si="146"/>
        <v>SE-782</v>
      </c>
      <c r="S141" s="54" t="str">
        <f t="shared" si="147"/>
        <v>Prev_RA-782</v>
      </c>
      <c r="T141" s="54" t="str">
        <f t="shared" si="148"/>
        <v>Prev_Comms-782</v>
      </c>
      <c r="U141" s="17" t="s">
        <v>75</v>
      </c>
      <c r="V141" s="15" t="s">
        <v>401</v>
      </c>
      <c r="W141" s="17" t="s">
        <v>75</v>
      </c>
      <c r="X141" s="15" t="s">
        <v>396</v>
      </c>
      <c r="Y141" s="13" t="str">
        <f t="shared" si="149"/>
        <v>Forward Add-782</v>
      </c>
      <c r="Z141" s="15" t="s">
        <v>401</v>
      </c>
      <c r="AA141" s="136" t="str">
        <f>'Run Parameters'!$B$2</f>
        <v>2018-08-13 08:00</v>
      </c>
      <c r="AB141" s="223" t="str">
        <f>'Run Parameters'!B$3</f>
        <v>2018-08-13 18:00</v>
      </c>
      <c r="AC141" s="26">
        <f>('Run Parameters'!$B$2) - 7</f>
        <v>43318.333333333336</v>
      </c>
      <c r="AD141" s="17" t="s">
        <v>75</v>
      </c>
      <c r="AE141" s="18" t="str">
        <f t="shared" si="150"/>
        <v>LAST_METER-782</v>
      </c>
      <c r="AF141" s="136" t="str">
        <f>'Run Parameters'!$B$2</f>
        <v>2018-08-13 08:00</v>
      </c>
      <c r="AG141" s="13" t="str">
        <f>'Run Parameters'!B$4</f>
        <v>AUTOTEST2</v>
      </c>
      <c r="AH141" s="54" t="str">
        <f t="shared" si="151"/>
        <v>Site_Contact_782</v>
      </c>
      <c r="AI141" s="136" t="str">
        <f>'Run Parameters'!B$2</f>
        <v>2018-08-13 08:00</v>
      </c>
      <c r="AJ141" s="223" t="str">
        <f>'Run Parameters'!B$3</f>
        <v>2018-08-13 18:00</v>
      </c>
      <c r="AK141" s="13" t="s">
        <v>396</v>
      </c>
      <c r="AL141" s="54" t="str">
        <f t="shared" si="152"/>
        <v>01159782</v>
      </c>
      <c r="AM141" s="13" t="str">
        <f t="shared" si="153"/>
        <v>0115782</v>
      </c>
      <c r="AN141" s="15"/>
      <c r="AO141" s="52"/>
      <c r="AP141" s="13">
        <v>1</v>
      </c>
      <c r="AQ141" s="53" t="s">
        <v>49</v>
      </c>
      <c r="AR141" s="15"/>
      <c r="AS141" s="13"/>
      <c r="AT141" s="7" t="s">
        <v>400</v>
      </c>
      <c r="AU141" s="7"/>
      <c r="AV141" s="13">
        <f t="shared" si="154"/>
        <v>782</v>
      </c>
      <c r="AW141" s="13" t="s">
        <v>767</v>
      </c>
      <c r="AX141" s="13" t="s">
        <v>420</v>
      </c>
      <c r="AY141" s="13" t="s">
        <v>421</v>
      </c>
      <c r="AZ141" s="15" t="s">
        <v>334</v>
      </c>
      <c r="BA141" s="14" t="s">
        <v>154</v>
      </c>
      <c r="BB141" s="21">
        <v>1</v>
      </c>
      <c r="BC141" s="20">
        <f t="shared" si="155"/>
        <v>782</v>
      </c>
      <c r="BD141" s="16" t="s">
        <v>768</v>
      </c>
      <c r="BE141" s="16" t="s">
        <v>391</v>
      </c>
      <c r="BF141" s="16" t="s">
        <v>390</v>
      </c>
      <c r="BG141" s="20" t="s">
        <v>766</v>
      </c>
      <c r="BH141" s="20" t="str">
        <f t="shared" si="156"/>
        <v>782_1</v>
      </c>
      <c r="BI141" s="21"/>
      <c r="BJ141" s="21" t="str">
        <f t="shared" si="157"/>
        <v>10000000782</v>
      </c>
      <c r="BK141" s="16" t="s">
        <v>51</v>
      </c>
      <c r="BL141" s="16" t="s">
        <v>54</v>
      </c>
      <c r="BM141" s="20" t="s">
        <v>769</v>
      </c>
      <c r="BN141" s="16" t="s">
        <v>51</v>
      </c>
      <c r="BO141" s="20" t="str">
        <f t="shared" si="158"/>
        <v>S05S782</v>
      </c>
      <c r="BP141" s="16" t="s">
        <v>770</v>
      </c>
      <c r="BQ141" s="16" t="s">
        <v>770</v>
      </c>
      <c r="BR141" s="20" t="s">
        <v>161</v>
      </c>
      <c r="BS141" s="16" t="s">
        <v>50</v>
      </c>
      <c r="BT141" s="16" t="s">
        <v>47</v>
      </c>
      <c r="BU141" s="16" t="s">
        <v>393</v>
      </c>
      <c r="BV141" s="16" t="s">
        <v>51</v>
      </c>
      <c r="BW141" s="16" t="s">
        <v>154</v>
      </c>
      <c r="BX141" s="16"/>
      <c r="BY141" s="16"/>
      <c r="BZ141" s="16" t="s">
        <v>157</v>
      </c>
      <c r="CA141" s="16" t="s">
        <v>269</v>
      </c>
      <c r="CB141" s="16" t="s">
        <v>412</v>
      </c>
      <c r="CC141" s="16" t="s">
        <v>771</v>
      </c>
      <c r="CD141" s="16" t="s">
        <v>392</v>
      </c>
      <c r="CE141" s="16" t="s">
        <v>396</v>
      </c>
      <c r="CF141" s="16" t="s">
        <v>398</v>
      </c>
      <c r="CG141" s="16" t="s">
        <v>267</v>
      </c>
      <c r="CH141" s="16" t="s">
        <v>159</v>
      </c>
      <c r="CI141" s="6">
        <v>1</v>
      </c>
      <c r="CJ141" s="6" t="str">
        <f t="shared" si="178"/>
        <v>GAS_ENQ_NO-782</v>
      </c>
      <c r="CK141" s="7" t="s">
        <v>165</v>
      </c>
      <c r="CL141" s="7" t="s">
        <v>391</v>
      </c>
      <c r="CM141" s="7" t="s">
        <v>390</v>
      </c>
      <c r="CN141" s="6" t="s">
        <v>278</v>
      </c>
      <c r="CO141" s="6" t="str">
        <f t="shared" si="179"/>
        <v>GAS_JOB_ID-782</v>
      </c>
      <c r="CP141" s="7"/>
      <c r="CQ141" s="6" t="str">
        <f t="shared" si="180"/>
        <v>10000782</v>
      </c>
      <c r="CR141" s="6" t="s">
        <v>154</v>
      </c>
      <c r="CS141" s="7" t="s">
        <v>51</v>
      </c>
      <c r="CT141" s="27" t="str">
        <f t="shared" si="181"/>
        <v>GMETER782</v>
      </c>
      <c r="CU141" s="6" t="s">
        <v>161</v>
      </c>
      <c r="CV141" s="7" t="s">
        <v>165</v>
      </c>
      <c r="CW141" s="7" t="s">
        <v>772</v>
      </c>
      <c r="CX141" s="7"/>
      <c r="CY141" s="7"/>
      <c r="CZ141" s="7" t="s">
        <v>394</v>
      </c>
      <c r="DA141" s="7" t="s">
        <v>395</v>
      </c>
      <c r="DB141" s="6" t="str">
        <f t="shared" si="163"/>
        <v>GAS_INST_ID-782</v>
      </c>
      <c r="DC141" s="7" t="s">
        <v>161</v>
      </c>
      <c r="DD141" s="7"/>
      <c r="DE141" s="7" t="s">
        <v>51</v>
      </c>
      <c r="DF141" s="7" t="s">
        <v>264</v>
      </c>
      <c r="DG141" s="7"/>
      <c r="DH141" s="7" t="s">
        <v>397</v>
      </c>
      <c r="DI141" s="7" t="s">
        <v>399</v>
      </c>
      <c r="DJ141" s="10" t="s">
        <v>267</v>
      </c>
      <c r="DK141" s="7" t="s">
        <v>140</v>
      </c>
      <c r="DL141" s="40"/>
      <c r="DM141" s="40"/>
      <c r="DN141" s="38" t="str">
        <f t="shared" si="164"/>
        <v>DS_Pass-782</v>
      </c>
      <c r="DO141" s="40"/>
      <c r="DP141" s="40"/>
      <c r="DQ141" s="40"/>
      <c r="DR141" s="41"/>
      <c r="DS141" s="41"/>
      <c r="DT141" s="40"/>
      <c r="DU141" s="40"/>
      <c r="DV141" s="40"/>
      <c r="DW141" s="41"/>
      <c r="DX141" s="40"/>
      <c r="DY141" s="40"/>
      <c r="DZ141" s="37" t="s">
        <v>770</v>
      </c>
      <c r="EA141" s="39"/>
      <c r="EB141" s="37"/>
      <c r="EC141" s="37"/>
      <c r="ED141" s="16"/>
      <c r="EE141" s="1"/>
      <c r="EF141" s="55"/>
    </row>
    <row r="142" spans="1:136">
      <c r="A142" s="219" t="s">
        <v>1078</v>
      </c>
      <c r="B142" s="219" t="s">
        <v>892</v>
      </c>
      <c r="C142" s="219" t="s">
        <v>865</v>
      </c>
      <c r="D142" s="13">
        <f>'Run Parameters'!$B$1 + ROW()-1</f>
        <v>783</v>
      </c>
      <c r="E142" s="15" t="s">
        <v>47</v>
      </c>
      <c r="F142" s="18" t="s">
        <v>766</v>
      </c>
      <c r="G142" s="13" t="str">
        <f t="shared" si="142"/>
        <v>Access Dtls-783</v>
      </c>
      <c r="H142" s="15" t="s">
        <v>275</v>
      </c>
      <c r="I142" s="13" t="str">
        <f>("MR. Test_133_EXCH3_"&amp;D142&amp;"")</f>
        <v>MR. Test_133_EXCH3_783</v>
      </c>
      <c r="J142" s="18"/>
      <c r="K142" s="19" t="s">
        <v>425</v>
      </c>
      <c r="L142" s="13" t="str">
        <f t="shared" si="143"/>
        <v>Cust. Ref-783</v>
      </c>
      <c r="M142" s="15" t="s">
        <v>48</v>
      </c>
      <c r="N142" s="15" t="s">
        <v>425</v>
      </c>
      <c r="O142" s="13"/>
      <c r="P142" s="13" t="str">
        <f t="shared" si="144"/>
        <v>SN-783</v>
      </c>
      <c r="Q142" s="13" t="str">
        <f t="shared" si="145"/>
        <v>SI-783</v>
      </c>
      <c r="R142" s="13" t="str">
        <f t="shared" si="146"/>
        <v>SE-783</v>
      </c>
      <c r="S142" s="54" t="str">
        <f t="shared" si="147"/>
        <v>Prev_RA-783</v>
      </c>
      <c r="T142" s="54" t="str">
        <f t="shared" si="148"/>
        <v>Prev_Comms-783</v>
      </c>
      <c r="U142" s="17" t="s">
        <v>75</v>
      </c>
      <c r="V142" s="15" t="s">
        <v>401</v>
      </c>
      <c r="W142" s="17" t="s">
        <v>75</v>
      </c>
      <c r="X142" s="15" t="s">
        <v>396</v>
      </c>
      <c r="Y142" s="13" t="str">
        <f t="shared" si="149"/>
        <v>Forward Add-783</v>
      </c>
      <c r="Z142" s="15" t="s">
        <v>401</v>
      </c>
      <c r="AA142" s="136" t="str">
        <f>'Run Parameters'!$B$2</f>
        <v>2018-08-13 08:00</v>
      </c>
      <c r="AB142" s="223" t="str">
        <f>'Run Parameters'!B$3</f>
        <v>2018-08-13 18:00</v>
      </c>
      <c r="AC142" s="26">
        <f>('Run Parameters'!$B$2) - 7</f>
        <v>43318.333333333336</v>
      </c>
      <c r="AD142" s="17" t="s">
        <v>75</v>
      </c>
      <c r="AE142" s="18" t="str">
        <f t="shared" si="150"/>
        <v>LAST_METER-783</v>
      </c>
      <c r="AF142" s="136" t="str">
        <f>'Run Parameters'!$B$2</f>
        <v>2018-08-13 08:00</v>
      </c>
      <c r="AG142" s="13" t="str">
        <f>'Run Parameters'!B$4</f>
        <v>AUTOTEST2</v>
      </c>
      <c r="AH142" s="54" t="str">
        <f t="shared" si="151"/>
        <v>Site_Contact_783</v>
      </c>
      <c r="AI142" s="136" t="str">
        <f>'Run Parameters'!B$2</f>
        <v>2018-08-13 08:00</v>
      </c>
      <c r="AJ142" s="223" t="str">
        <f>'Run Parameters'!B$3</f>
        <v>2018-08-13 18:00</v>
      </c>
      <c r="AK142" s="13" t="s">
        <v>396</v>
      </c>
      <c r="AL142" s="54" t="str">
        <f t="shared" si="152"/>
        <v>01159783</v>
      </c>
      <c r="AM142" s="13" t="str">
        <f t="shared" si="153"/>
        <v>0115783</v>
      </c>
      <c r="AN142" s="15"/>
      <c r="AO142" s="52"/>
      <c r="AP142" s="13">
        <v>1</v>
      </c>
      <c r="AQ142" s="53" t="s">
        <v>49</v>
      </c>
      <c r="AR142" s="15"/>
      <c r="AS142" s="13"/>
      <c r="AT142" s="7" t="s">
        <v>400</v>
      </c>
      <c r="AU142" s="7"/>
      <c r="AV142" s="13">
        <f t="shared" si="154"/>
        <v>783</v>
      </c>
      <c r="AW142" s="13" t="s">
        <v>767</v>
      </c>
      <c r="AX142" s="13" t="s">
        <v>420</v>
      </c>
      <c r="AY142" s="13" t="s">
        <v>421</v>
      </c>
      <c r="AZ142" s="15" t="s">
        <v>334</v>
      </c>
      <c r="BA142" s="14" t="s">
        <v>154</v>
      </c>
      <c r="BB142" s="21">
        <v>1</v>
      </c>
      <c r="BC142" s="20">
        <f t="shared" si="155"/>
        <v>783</v>
      </c>
      <c r="BD142" s="16" t="s">
        <v>768</v>
      </c>
      <c r="BE142" s="16" t="s">
        <v>391</v>
      </c>
      <c r="BF142" s="16" t="s">
        <v>390</v>
      </c>
      <c r="BG142" s="20" t="s">
        <v>766</v>
      </c>
      <c r="BH142" s="20" t="str">
        <f t="shared" si="156"/>
        <v>783_1</v>
      </c>
      <c r="BI142" s="21"/>
      <c r="BJ142" s="21" t="str">
        <f t="shared" si="157"/>
        <v>10000000783</v>
      </c>
      <c r="BK142" s="16" t="s">
        <v>51</v>
      </c>
      <c r="BL142" s="16" t="s">
        <v>54</v>
      </c>
      <c r="BM142" s="20" t="s">
        <v>769</v>
      </c>
      <c r="BN142" s="16" t="s">
        <v>51</v>
      </c>
      <c r="BO142" s="20" t="str">
        <f t="shared" si="158"/>
        <v>S05S783</v>
      </c>
      <c r="BP142" s="16" t="s">
        <v>770</v>
      </c>
      <c r="BQ142" s="16" t="s">
        <v>770</v>
      </c>
      <c r="BR142" s="20" t="s">
        <v>161</v>
      </c>
      <c r="BS142" s="16" t="s">
        <v>50</v>
      </c>
      <c r="BT142" s="16" t="s">
        <v>47</v>
      </c>
      <c r="BU142" s="16" t="s">
        <v>393</v>
      </c>
      <c r="BV142" s="16" t="s">
        <v>51</v>
      </c>
      <c r="BW142" s="16" t="s">
        <v>154</v>
      </c>
      <c r="BX142" s="16"/>
      <c r="BY142" s="16"/>
      <c r="BZ142" s="16" t="s">
        <v>157</v>
      </c>
      <c r="CA142" s="16" t="s">
        <v>269</v>
      </c>
      <c r="CB142" s="16" t="s">
        <v>412</v>
      </c>
      <c r="CC142" s="16" t="s">
        <v>771</v>
      </c>
      <c r="CD142" s="16" t="s">
        <v>392</v>
      </c>
      <c r="CE142" s="16" t="s">
        <v>396</v>
      </c>
      <c r="CF142" s="16" t="s">
        <v>398</v>
      </c>
      <c r="CG142" s="16" t="s">
        <v>267</v>
      </c>
      <c r="CH142" s="16" t="s">
        <v>159</v>
      </c>
      <c r="CI142" s="6">
        <v>1</v>
      </c>
      <c r="CJ142" s="6" t="str">
        <f t="shared" si="178"/>
        <v>GAS_ENQ_NO-783</v>
      </c>
      <c r="CK142" s="7" t="s">
        <v>165</v>
      </c>
      <c r="CL142" s="7" t="s">
        <v>391</v>
      </c>
      <c r="CM142" s="7" t="s">
        <v>390</v>
      </c>
      <c r="CN142" s="6" t="s">
        <v>278</v>
      </c>
      <c r="CO142" s="6" t="str">
        <f t="shared" si="179"/>
        <v>GAS_JOB_ID-783</v>
      </c>
      <c r="CP142" s="7"/>
      <c r="CQ142" s="6" t="str">
        <f t="shared" si="180"/>
        <v>10000783</v>
      </c>
      <c r="CR142" s="6" t="s">
        <v>154</v>
      </c>
      <c r="CS142" s="7" t="s">
        <v>51</v>
      </c>
      <c r="CT142" s="27" t="str">
        <f t="shared" si="181"/>
        <v>GMETER783</v>
      </c>
      <c r="CU142" s="6" t="s">
        <v>161</v>
      </c>
      <c r="CV142" s="7" t="s">
        <v>165</v>
      </c>
      <c r="CW142" s="7" t="s">
        <v>772</v>
      </c>
      <c r="CX142" s="7"/>
      <c r="CY142" s="7"/>
      <c r="CZ142" s="7" t="s">
        <v>394</v>
      </c>
      <c r="DA142" s="7" t="s">
        <v>395</v>
      </c>
      <c r="DB142" s="6" t="str">
        <f t="shared" si="163"/>
        <v>GAS_INST_ID-783</v>
      </c>
      <c r="DC142" s="7" t="s">
        <v>161</v>
      </c>
      <c r="DD142" s="7"/>
      <c r="DE142" s="7" t="s">
        <v>51</v>
      </c>
      <c r="DF142" s="7" t="s">
        <v>264</v>
      </c>
      <c r="DG142" s="7"/>
      <c r="DH142" s="7" t="s">
        <v>397</v>
      </c>
      <c r="DI142" s="7" t="s">
        <v>399</v>
      </c>
      <c r="DJ142" s="10" t="s">
        <v>267</v>
      </c>
      <c r="DK142" s="7" t="s">
        <v>140</v>
      </c>
      <c r="DL142" s="40"/>
      <c r="DM142" s="40"/>
      <c r="DN142" s="38" t="str">
        <f t="shared" si="164"/>
        <v>DS_Pass-783</v>
      </c>
      <c r="DO142" s="40"/>
      <c r="DP142" s="40"/>
      <c r="DQ142" s="40"/>
      <c r="DR142" s="41"/>
      <c r="DS142" s="41"/>
      <c r="DT142" s="40"/>
      <c r="DU142" s="40"/>
      <c r="DV142" s="40"/>
      <c r="DW142" s="41"/>
      <c r="DX142" s="40"/>
      <c r="DY142" s="40"/>
      <c r="DZ142" s="37" t="s">
        <v>770</v>
      </c>
      <c r="EA142" s="39"/>
      <c r="EB142" s="37"/>
      <c r="EC142" s="37"/>
      <c r="ED142" s="16"/>
      <c r="EE142" s="1"/>
      <c r="EF142" s="55"/>
    </row>
    <row r="143" spans="1:136">
      <c r="A143" s="219" t="s">
        <v>891</v>
      </c>
      <c r="B143" s="219" t="s">
        <v>868</v>
      </c>
      <c r="C143" s="219" t="s">
        <v>865</v>
      </c>
      <c r="D143" s="13">
        <f>'Run Parameters'!$B$1 + ROW()-1</f>
        <v>784</v>
      </c>
      <c r="E143" s="15" t="s">
        <v>47</v>
      </c>
      <c r="F143" s="18" t="s">
        <v>766</v>
      </c>
      <c r="G143" s="13" t="str">
        <f t="shared" si="142"/>
        <v>Access Dtls-784</v>
      </c>
      <c r="H143" s="15" t="s">
        <v>275</v>
      </c>
      <c r="I143" s="13" t="str">
        <f>("MR. Test_134_EXCH3_"&amp;D143&amp;"")</f>
        <v>MR. Test_134_EXCH3_784</v>
      </c>
      <c r="J143" s="18"/>
      <c r="K143" s="19" t="s">
        <v>425</v>
      </c>
      <c r="L143" s="13" t="str">
        <f t="shared" si="143"/>
        <v>Cust. Ref-784</v>
      </c>
      <c r="M143" s="15" t="s">
        <v>48</v>
      </c>
      <c r="N143" s="15" t="s">
        <v>425</v>
      </c>
      <c r="O143" s="13"/>
      <c r="P143" s="13" t="str">
        <f t="shared" si="144"/>
        <v>SN-784</v>
      </c>
      <c r="Q143" s="13" t="str">
        <f t="shared" si="145"/>
        <v>SI-784</v>
      </c>
      <c r="R143" s="13" t="str">
        <f t="shared" si="146"/>
        <v>SE-784</v>
      </c>
      <c r="S143" s="54" t="str">
        <f t="shared" si="147"/>
        <v>Prev_RA-784</v>
      </c>
      <c r="T143" s="54" t="str">
        <f t="shared" si="148"/>
        <v>Prev_Comms-784</v>
      </c>
      <c r="U143" s="17" t="s">
        <v>75</v>
      </c>
      <c r="V143" s="15" t="s">
        <v>401</v>
      </c>
      <c r="W143" s="17" t="s">
        <v>75</v>
      </c>
      <c r="X143" s="15" t="s">
        <v>396</v>
      </c>
      <c r="Y143" s="13" t="str">
        <f t="shared" si="149"/>
        <v>Forward Add-784</v>
      </c>
      <c r="Z143" s="15" t="s">
        <v>401</v>
      </c>
      <c r="AA143" s="136" t="str">
        <f>'Run Parameters'!$B$2</f>
        <v>2018-08-13 08:00</v>
      </c>
      <c r="AB143" s="223" t="str">
        <f>'Run Parameters'!B$3</f>
        <v>2018-08-13 18:00</v>
      </c>
      <c r="AC143" s="26">
        <f>('Run Parameters'!$B$2) - 7</f>
        <v>43318.333333333336</v>
      </c>
      <c r="AD143" s="17" t="s">
        <v>75</v>
      </c>
      <c r="AE143" s="18" t="str">
        <f t="shared" si="150"/>
        <v>LAST_METER-784</v>
      </c>
      <c r="AF143" s="136" t="str">
        <f>'Run Parameters'!$B$2</f>
        <v>2018-08-13 08:00</v>
      </c>
      <c r="AG143" s="13" t="str">
        <f>'Run Parameters'!B$4</f>
        <v>AUTOTEST2</v>
      </c>
      <c r="AH143" s="54" t="str">
        <f t="shared" si="151"/>
        <v>Site_Contact_784</v>
      </c>
      <c r="AI143" s="136" t="str">
        <f>'Run Parameters'!B$2</f>
        <v>2018-08-13 08:00</v>
      </c>
      <c r="AJ143" s="223" t="str">
        <f>'Run Parameters'!B$3</f>
        <v>2018-08-13 18:00</v>
      </c>
      <c r="AK143" s="13" t="s">
        <v>396</v>
      </c>
      <c r="AL143" s="54" t="str">
        <f t="shared" si="152"/>
        <v>01159784</v>
      </c>
      <c r="AM143" s="13" t="str">
        <f t="shared" si="153"/>
        <v>0115784</v>
      </c>
      <c r="AN143" s="15"/>
      <c r="AO143" s="52"/>
      <c r="AP143" s="13">
        <v>1</v>
      </c>
      <c r="AQ143" s="53" t="s">
        <v>49</v>
      </c>
      <c r="AR143" s="15"/>
      <c r="AS143" s="13"/>
      <c r="AT143" s="7" t="s">
        <v>400</v>
      </c>
      <c r="AU143" s="7"/>
      <c r="AV143" s="13">
        <f t="shared" si="154"/>
        <v>784</v>
      </c>
      <c r="AW143" s="13" t="s">
        <v>767</v>
      </c>
      <c r="AX143" s="13" t="s">
        <v>420</v>
      </c>
      <c r="AY143" s="13" t="s">
        <v>421</v>
      </c>
      <c r="AZ143" s="15" t="s">
        <v>334</v>
      </c>
      <c r="BA143" s="14" t="s">
        <v>154</v>
      </c>
      <c r="BB143" s="21">
        <v>1</v>
      </c>
      <c r="BC143" s="20">
        <f t="shared" si="155"/>
        <v>784</v>
      </c>
      <c r="BD143" s="16" t="s">
        <v>768</v>
      </c>
      <c r="BE143" s="16" t="s">
        <v>391</v>
      </c>
      <c r="BF143" s="16" t="s">
        <v>390</v>
      </c>
      <c r="BG143" s="20" t="s">
        <v>766</v>
      </c>
      <c r="BH143" s="20" t="str">
        <f t="shared" si="156"/>
        <v>784_1</v>
      </c>
      <c r="BI143" s="21"/>
      <c r="BJ143" s="21" t="str">
        <f t="shared" si="157"/>
        <v>10000000784</v>
      </c>
      <c r="BK143" s="16" t="s">
        <v>51</v>
      </c>
      <c r="BL143" s="16" t="s">
        <v>54</v>
      </c>
      <c r="BM143" s="20" t="s">
        <v>769</v>
      </c>
      <c r="BN143" s="16" t="s">
        <v>51</v>
      </c>
      <c r="BO143" s="20" t="str">
        <f t="shared" si="158"/>
        <v>S05S784</v>
      </c>
      <c r="BP143" s="16" t="s">
        <v>770</v>
      </c>
      <c r="BQ143" s="16" t="s">
        <v>770</v>
      </c>
      <c r="BR143" s="20" t="s">
        <v>161</v>
      </c>
      <c r="BS143" s="16" t="s">
        <v>50</v>
      </c>
      <c r="BT143" s="16" t="s">
        <v>47</v>
      </c>
      <c r="BU143" s="16" t="s">
        <v>393</v>
      </c>
      <c r="BV143" s="16" t="s">
        <v>51</v>
      </c>
      <c r="BW143" s="16" t="s">
        <v>154</v>
      </c>
      <c r="BX143" s="16"/>
      <c r="BY143" s="16"/>
      <c r="BZ143" s="16" t="s">
        <v>157</v>
      </c>
      <c r="CA143" s="16" t="s">
        <v>269</v>
      </c>
      <c r="CB143" s="16" t="s">
        <v>412</v>
      </c>
      <c r="CC143" s="16" t="s">
        <v>771</v>
      </c>
      <c r="CD143" s="16" t="s">
        <v>392</v>
      </c>
      <c r="CE143" s="16" t="s">
        <v>396</v>
      </c>
      <c r="CF143" s="16" t="s">
        <v>398</v>
      </c>
      <c r="CG143" s="16" t="s">
        <v>267</v>
      </c>
      <c r="CH143" s="16" t="s">
        <v>159</v>
      </c>
      <c r="CI143" s="6">
        <v>1</v>
      </c>
      <c r="CJ143" s="6" t="str">
        <f t="shared" si="178"/>
        <v>GAS_ENQ_NO-784</v>
      </c>
      <c r="CK143" s="7" t="s">
        <v>165</v>
      </c>
      <c r="CL143" s="7" t="s">
        <v>391</v>
      </c>
      <c r="CM143" s="7" t="s">
        <v>390</v>
      </c>
      <c r="CN143" s="6" t="s">
        <v>278</v>
      </c>
      <c r="CO143" s="6" t="str">
        <f t="shared" si="179"/>
        <v>GAS_JOB_ID-784</v>
      </c>
      <c r="CP143" s="7"/>
      <c r="CQ143" s="6" t="str">
        <f t="shared" si="180"/>
        <v>10000784</v>
      </c>
      <c r="CR143" s="6" t="s">
        <v>154</v>
      </c>
      <c r="CS143" s="7" t="s">
        <v>51</v>
      </c>
      <c r="CT143" s="27" t="str">
        <f t="shared" si="181"/>
        <v>GMETER784</v>
      </c>
      <c r="CU143" s="6" t="s">
        <v>161</v>
      </c>
      <c r="CV143" s="7" t="s">
        <v>165</v>
      </c>
      <c r="CW143" s="7" t="s">
        <v>772</v>
      </c>
      <c r="CX143" s="7"/>
      <c r="CY143" s="7"/>
      <c r="CZ143" s="7" t="s">
        <v>394</v>
      </c>
      <c r="DA143" s="7" t="s">
        <v>395</v>
      </c>
      <c r="DB143" s="6" t="str">
        <f t="shared" si="163"/>
        <v>GAS_INST_ID-784</v>
      </c>
      <c r="DC143" s="7" t="s">
        <v>161</v>
      </c>
      <c r="DD143" s="7"/>
      <c r="DE143" s="7" t="s">
        <v>51</v>
      </c>
      <c r="DF143" s="7" t="s">
        <v>264</v>
      </c>
      <c r="DG143" s="7"/>
      <c r="DH143" s="7" t="s">
        <v>397</v>
      </c>
      <c r="DI143" s="7" t="s">
        <v>399</v>
      </c>
      <c r="DJ143" s="10" t="s">
        <v>267</v>
      </c>
      <c r="DK143" s="7" t="s">
        <v>140</v>
      </c>
      <c r="DL143" s="40"/>
      <c r="DM143" s="40"/>
      <c r="DN143" s="38" t="str">
        <f t="shared" si="164"/>
        <v>DS_Pass-784</v>
      </c>
      <c r="DO143" s="40"/>
      <c r="DP143" s="40"/>
      <c r="DQ143" s="40"/>
      <c r="DR143" s="41"/>
      <c r="DS143" s="41"/>
      <c r="DT143" s="40"/>
      <c r="DU143" s="40"/>
      <c r="DV143" s="40"/>
      <c r="DW143" s="41"/>
      <c r="DX143" s="40"/>
      <c r="DY143" s="40"/>
      <c r="DZ143" s="37" t="s">
        <v>770</v>
      </c>
      <c r="EA143" s="39"/>
      <c r="EB143" s="37"/>
      <c r="EC143" s="37"/>
      <c r="ED143" s="16"/>
      <c r="EE143" s="1"/>
      <c r="EF143" s="55"/>
    </row>
    <row r="144" spans="1:136">
      <c r="A144" s="219" t="s">
        <v>1070</v>
      </c>
      <c r="B144" s="219" t="s">
        <v>892</v>
      </c>
      <c r="C144" s="219" t="s">
        <v>865</v>
      </c>
      <c r="D144" s="13">
        <f>'Run Parameters'!$B$1 + ROW()-1</f>
        <v>785</v>
      </c>
      <c r="E144" s="15" t="s">
        <v>47</v>
      </c>
      <c r="F144" s="18" t="s">
        <v>766</v>
      </c>
      <c r="G144" s="13" t="str">
        <f t="shared" si="142"/>
        <v>Access Dtls-785</v>
      </c>
      <c r="H144" s="15" t="s">
        <v>275</v>
      </c>
      <c r="I144" s="13" t="str">
        <f>("MR. Test_135_EXCH3_"&amp;D144&amp;"")</f>
        <v>MR. Test_135_EXCH3_785</v>
      </c>
      <c r="J144" s="18"/>
      <c r="K144" s="19" t="s">
        <v>425</v>
      </c>
      <c r="L144" s="13" t="str">
        <f t="shared" si="143"/>
        <v>Cust. Ref-785</v>
      </c>
      <c r="M144" s="15" t="s">
        <v>48</v>
      </c>
      <c r="N144" s="15" t="s">
        <v>425</v>
      </c>
      <c r="O144" s="13"/>
      <c r="P144" s="13" t="str">
        <f t="shared" si="144"/>
        <v>SN-785</v>
      </c>
      <c r="Q144" s="13" t="str">
        <f t="shared" si="145"/>
        <v>SI-785</v>
      </c>
      <c r="R144" s="13" t="str">
        <f t="shared" si="146"/>
        <v>SE-785</v>
      </c>
      <c r="S144" s="54" t="str">
        <f t="shared" si="147"/>
        <v>Prev_RA-785</v>
      </c>
      <c r="T144" s="54" t="str">
        <f t="shared" si="148"/>
        <v>Prev_Comms-785</v>
      </c>
      <c r="U144" s="17" t="s">
        <v>75</v>
      </c>
      <c r="V144" s="15" t="s">
        <v>401</v>
      </c>
      <c r="W144" s="17" t="s">
        <v>75</v>
      </c>
      <c r="X144" s="15" t="s">
        <v>396</v>
      </c>
      <c r="Y144" s="13" t="str">
        <f t="shared" si="149"/>
        <v>Forward Add-785</v>
      </c>
      <c r="Z144" s="15" t="s">
        <v>401</v>
      </c>
      <c r="AA144" s="136" t="str">
        <f>'Run Parameters'!$B$2</f>
        <v>2018-08-13 08:00</v>
      </c>
      <c r="AB144" s="223" t="str">
        <f>'Run Parameters'!B$3</f>
        <v>2018-08-13 18:00</v>
      </c>
      <c r="AC144" s="26">
        <f>('Run Parameters'!$B$2) - 7</f>
        <v>43318.333333333336</v>
      </c>
      <c r="AD144" s="17" t="s">
        <v>75</v>
      </c>
      <c r="AE144" s="18" t="str">
        <f t="shared" si="150"/>
        <v>LAST_METER-785</v>
      </c>
      <c r="AF144" s="136" t="str">
        <f>'Run Parameters'!$B$2</f>
        <v>2018-08-13 08:00</v>
      </c>
      <c r="AG144" s="13" t="str">
        <f>'Run Parameters'!B$4</f>
        <v>AUTOTEST2</v>
      </c>
      <c r="AH144" s="54" t="str">
        <f t="shared" si="151"/>
        <v>Site_Contact_785</v>
      </c>
      <c r="AI144" s="136" t="str">
        <f>'Run Parameters'!B$2</f>
        <v>2018-08-13 08:00</v>
      </c>
      <c r="AJ144" s="223" t="str">
        <f>'Run Parameters'!B$3</f>
        <v>2018-08-13 18:00</v>
      </c>
      <c r="AK144" s="13" t="s">
        <v>396</v>
      </c>
      <c r="AL144" s="54" t="str">
        <f t="shared" si="152"/>
        <v>01159785</v>
      </c>
      <c r="AM144" s="13" t="str">
        <f t="shared" si="153"/>
        <v>0115785</v>
      </c>
      <c r="AN144" s="15"/>
      <c r="AO144" s="52"/>
      <c r="AP144" s="13">
        <v>1</v>
      </c>
      <c r="AQ144" s="53" t="s">
        <v>49</v>
      </c>
      <c r="AR144" s="15"/>
      <c r="AS144" s="13"/>
      <c r="AT144" s="7" t="s">
        <v>400</v>
      </c>
      <c r="AU144" s="7"/>
      <c r="AV144" s="13">
        <f t="shared" si="154"/>
        <v>785</v>
      </c>
      <c r="AW144" s="13" t="s">
        <v>767</v>
      </c>
      <c r="AX144" s="13" t="s">
        <v>420</v>
      </c>
      <c r="AY144" s="13" t="s">
        <v>421</v>
      </c>
      <c r="AZ144" s="15" t="s">
        <v>334</v>
      </c>
      <c r="BA144" s="14" t="s">
        <v>154</v>
      </c>
      <c r="BB144" s="21">
        <v>1</v>
      </c>
      <c r="BC144" s="20">
        <f t="shared" si="155"/>
        <v>785</v>
      </c>
      <c r="BD144" s="16" t="s">
        <v>768</v>
      </c>
      <c r="BE144" s="16" t="s">
        <v>391</v>
      </c>
      <c r="BF144" s="16" t="s">
        <v>390</v>
      </c>
      <c r="BG144" s="20" t="s">
        <v>766</v>
      </c>
      <c r="BH144" s="20" t="str">
        <f t="shared" si="156"/>
        <v>785_1</v>
      </c>
      <c r="BI144" s="21"/>
      <c r="BJ144" s="21" t="str">
        <f t="shared" si="157"/>
        <v>10000000785</v>
      </c>
      <c r="BK144" s="16" t="s">
        <v>51</v>
      </c>
      <c r="BL144" s="16" t="s">
        <v>54</v>
      </c>
      <c r="BM144" s="20" t="s">
        <v>769</v>
      </c>
      <c r="BN144" s="16" t="s">
        <v>51</v>
      </c>
      <c r="BO144" s="20" t="str">
        <f t="shared" si="158"/>
        <v>S05S785</v>
      </c>
      <c r="BP144" s="16" t="s">
        <v>770</v>
      </c>
      <c r="BQ144" s="16" t="s">
        <v>770</v>
      </c>
      <c r="BR144" s="20" t="s">
        <v>161</v>
      </c>
      <c r="BS144" s="16" t="s">
        <v>50</v>
      </c>
      <c r="BT144" s="16" t="s">
        <v>47</v>
      </c>
      <c r="BU144" s="16" t="s">
        <v>393</v>
      </c>
      <c r="BV144" s="16" t="s">
        <v>51</v>
      </c>
      <c r="BW144" s="16" t="s">
        <v>154</v>
      </c>
      <c r="BX144" s="16"/>
      <c r="BY144" s="16"/>
      <c r="BZ144" s="16" t="s">
        <v>157</v>
      </c>
      <c r="CA144" s="16" t="s">
        <v>269</v>
      </c>
      <c r="CB144" s="16" t="s">
        <v>412</v>
      </c>
      <c r="CC144" s="16" t="s">
        <v>771</v>
      </c>
      <c r="CD144" s="16" t="s">
        <v>392</v>
      </c>
      <c r="CE144" s="16" t="s">
        <v>396</v>
      </c>
      <c r="CF144" s="16" t="s">
        <v>398</v>
      </c>
      <c r="CG144" s="16" t="s">
        <v>267</v>
      </c>
      <c r="CH144" s="16" t="s">
        <v>159</v>
      </c>
      <c r="CI144" s="6">
        <v>1</v>
      </c>
      <c r="CJ144" s="6" t="str">
        <f t="shared" si="178"/>
        <v>GAS_ENQ_NO-785</v>
      </c>
      <c r="CK144" s="7" t="s">
        <v>165</v>
      </c>
      <c r="CL144" s="7" t="s">
        <v>391</v>
      </c>
      <c r="CM144" s="7" t="s">
        <v>390</v>
      </c>
      <c r="CN144" s="6" t="s">
        <v>278</v>
      </c>
      <c r="CO144" s="6" t="str">
        <f t="shared" si="179"/>
        <v>GAS_JOB_ID-785</v>
      </c>
      <c r="CP144" s="7"/>
      <c r="CQ144" s="6" t="str">
        <f t="shared" si="180"/>
        <v>10000785</v>
      </c>
      <c r="CR144" s="6" t="s">
        <v>154</v>
      </c>
      <c r="CS144" s="7" t="s">
        <v>51</v>
      </c>
      <c r="CT144" s="27" t="str">
        <f t="shared" si="181"/>
        <v>GMETER785</v>
      </c>
      <c r="CU144" s="6" t="s">
        <v>161</v>
      </c>
      <c r="CV144" s="7" t="s">
        <v>165</v>
      </c>
      <c r="CW144" s="7" t="s">
        <v>772</v>
      </c>
      <c r="CX144" s="7"/>
      <c r="CY144" s="7"/>
      <c r="CZ144" s="7" t="s">
        <v>394</v>
      </c>
      <c r="DA144" s="7" t="s">
        <v>395</v>
      </c>
      <c r="DB144" s="6" t="str">
        <f t="shared" si="163"/>
        <v>GAS_INST_ID-785</v>
      </c>
      <c r="DC144" s="7" t="s">
        <v>161</v>
      </c>
      <c r="DD144" s="7"/>
      <c r="DE144" s="7" t="s">
        <v>51</v>
      </c>
      <c r="DF144" s="7" t="s">
        <v>264</v>
      </c>
      <c r="DG144" s="7"/>
      <c r="DH144" s="7" t="s">
        <v>397</v>
      </c>
      <c r="DI144" s="7" t="s">
        <v>399</v>
      </c>
      <c r="DJ144" s="10" t="s">
        <v>267</v>
      </c>
      <c r="DK144" s="7" t="s">
        <v>140</v>
      </c>
      <c r="DL144" s="40"/>
      <c r="DM144" s="40"/>
      <c r="DN144" s="38" t="str">
        <f t="shared" si="164"/>
        <v>DS_Pass-785</v>
      </c>
      <c r="DO144" s="40"/>
      <c r="DP144" s="40"/>
      <c r="DQ144" s="40"/>
      <c r="DR144" s="41"/>
      <c r="DS144" s="41"/>
      <c r="DT144" s="40"/>
      <c r="DU144" s="40"/>
      <c r="DV144" s="40"/>
      <c r="DW144" s="41"/>
      <c r="DX144" s="40"/>
      <c r="DY144" s="40"/>
      <c r="DZ144" s="37" t="s">
        <v>770</v>
      </c>
      <c r="EA144" s="39"/>
      <c r="EB144" s="37"/>
      <c r="EC144" s="37"/>
      <c r="ED144" s="16"/>
      <c r="EE144" s="1"/>
      <c r="EF144" s="55"/>
    </row>
    <row r="145" spans="1:136">
      <c r="A145" s="219" t="s">
        <v>1071</v>
      </c>
      <c r="B145" s="219" t="s">
        <v>868</v>
      </c>
      <c r="C145" s="219" t="s">
        <v>865</v>
      </c>
      <c r="D145" s="13">
        <f>'Run Parameters'!$B$1 + ROW()-1</f>
        <v>786</v>
      </c>
      <c r="E145" s="15" t="s">
        <v>47</v>
      </c>
      <c r="F145" s="18" t="s">
        <v>766</v>
      </c>
      <c r="G145" s="13" t="str">
        <f t="shared" si="142"/>
        <v>Access Dtls-786</v>
      </c>
      <c r="H145" s="15" t="s">
        <v>275</v>
      </c>
      <c r="I145" s="13" t="str">
        <f>("MR. Test_136_EXCH3_"&amp;D145&amp;"")</f>
        <v>MR. Test_136_EXCH3_786</v>
      </c>
      <c r="J145" s="18"/>
      <c r="K145" s="19" t="s">
        <v>425</v>
      </c>
      <c r="L145" s="13" t="str">
        <f t="shared" si="143"/>
        <v>Cust. Ref-786</v>
      </c>
      <c r="M145" s="15" t="s">
        <v>48</v>
      </c>
      <c r="N145" s="15" t="s">
        <v>425</v>
      </c>
      <c r="O145" s="13"/>
      <c r="P145" s="13" t="str">
        <f t="shared" si="144"/>
        <v>SN-786</v>
      </c>
      <c r="Q145" s="13" t="str">
        <f t="shared" si="145"/>
        <v>SI-786</v>
      </c>
      <c r="R145" s="13" t="str">
        <f t="shared" si="146"/>
        <v>SE-786</v>
      </c>
      <c r="S145" s="54" t="str">
        <f t="shared" si="147"/>
        <v>Prev_RA-786</v>
      </c>
      <c r="T145" s="54" t="str">
        <f t="shared" si="148"/>
        <v>Prev_Comms-786</v>
      </c>
      <c r="U145" s="17" t="s">
        <v>75</v>
      </c>
      <c r="V145" s="15" t="s">
        <v>401</v>
      </c>
      <c r="W145" s="17" t="s">
        <v>75</v>
      </c>
      <c r="X145" s="15" t="s">
        <v>396</v>
      </c>
      <c r="Y145" s="13" t="str">
        <f t="shared" si="149"/>
        <v>Forward Add-786</v>
      </c>
      <c r="Z145" s="15" t="s">
        <v>401</v>
      </c>
      <c r="AA145" s="136" t="str">
        <f>'Run Parameters'!$B$2</f>
        <v>2018-08-13 08:00</v>
      </c>
      <c r="AB145" s="223" t="str">
        <f>'Run Parameters'!B$3</f>
        <v>2018-08-13 18:00</v>
      </c>
      <c r="AC145" s="26">
        <f>('Run Parameters'!$B$2) - 7</f>
        <v>43318.333333333336</v>
      </c>
      <c r="AD145" s="17" t="s">
        <v>75</v>
      </c>
      <c r="AE145" s="18" t="str">
        <f t="shared" si="150"/>
        <v>LAST_METER-786</v>
      </c>
      <c r="AF145" s="136" t="str">
        <f>'Run Parameters'!$B$2</f>
        <v>2018-08-13 08:00</v>
      </c>
      <c r="AG145" s="13" t="str">
        <f>'Run Parameters'!B$4</f>
        <v>AUTOTEST2</v>
      </c>
      <c r="AH145" s="54" t="str">
        <f t="shared" si="151"/>
        <v>Site_Contact_786</v>
      </c>
      <c r="AI145" s="136" t="str">
        <f>'Run Parameters'!B$2</f>
        <v>2018-08-13 08:00</v>
      </c>
      <c r="AJ145" s="223" t="str">
        <f>'Run Parameters'!B$3</f>
        <v>2018-08-13 18:00</v>
      </c>
      <c r="AK145" s="13" t="s">
        <v>396</v>
      </c>
      <c r="AL145" s="54" t="str">
        <f t="shared" si="152"/>
        <v>01159786</v>
      </c>
      <c r="AM145" s="13" t="str">
        <f t="shared" si="153"/>
        <v>0115786</v>
      </c>
      <c r="AN145" s="15"/>
      <c r="AO145" s="52"/>
      <c r="AP145" s="13">
        <v>1</v>
      </c>
      <c r="AQ145" s="53" t="s">
        <v>49</v>
      </c>
      <c r="AR145" s="15"/>
      <c r="AS145" s="13"/>
      <c r="AT145" s="7" t="s">
        <v>400</v>
      </c>
      <c r="AU145" s="7"/>
      <c r="AV145" s="13">
        <f t="shared" si="154"/>
        <v>786</v>
      </c>
      <c r="AW145" s="13" t="s">
        <v>767</v>
      </c>
      <c r="AX145" s="13" t="s">
        <v>420</v>
      </c>
      <c r="AY145" s="13" t="s">
        <v>421</v>
      </c>
      <c r="AZ145" s="15" t="s">
        <v>334</v>
      </c>
      <c r="BA145" s="14" t="s">
        <v>154</v>
      </c>
      <c r="BB145" s="21">
        <v>1</v>
      </c>
      <c r="BC145" s="20">
        <f t="shared" si="155"/>
        <v>786</v>
      </c>
      <c r="BD145" s="16" t="s">
        <v>768</v>
      </c>
      <c r="BE145" s="16" t="s">
        <v>391</v>
      </c>
      <c r="BF145" s="16" t="s">
        <v>390</v>
      </c>
      <c r="BG145" s="20" t="s">
        <v>766</v>
      </c>
      <c r="BH145" s="20" t="str">
        <f t="shared" si="156"/>
        <v>786_1</v>
      </c>
      <c r="BI145" s="21"/>
      <c r="BJ145" s="21" t="str">
        <f t="shared" si="157"/>
        <v>10000000786</v>
      </c>
      <c r="BK145" s="16" t="s">
        <v>51</v>
      </c>
      <c r="BL145" s="16" t="s">
        <v>54</v>
      </c>
      <c r="BM145" s="20" t="s">
        <v>769</v>
      </c>
      <c r="BN145" s="16" t="s">
        <v>51</v>
      </c>
      <c r="BO145" s="20" t="str">
        <f t="shared" si="158"/>
        <v>S05S786</v>
      </c>
      <c r="BP145" s="16" t="s">
        <v>770</v>
      </c>
      <c r="BQ145" s="16" t="s">
        <v>770</v>
      </c>
      <c r="BR145" s="20" t="s">
        <v>161</v>
      </c>
      <c r="BS145" s="16" t="s">
        <v>50</v>
      </c>
      <c r="BT145" s="16" t="s">
        <v>47</v>
      </c>
      <c r="BU145" s="16" t="s">
        <v>393</v>
      </c>
      <c r="BV145" s="16" t="s">
        <v>51</v>
      </c>
      <c r="BW145" s="16" t="s">
        <v>154</v>
      </c>
      <c r="BX145" s="16"/>
      <c r="BY145" s="16"/>
      <c r="BZ145" s="16" t="s">
        <v>157</v>
      </c>
      <c r="CA145" s="16" t="s">
        <v>269</v>
      </c>
      <c r="CB145" s="16" t="s">
        <v>412</v>
      </c>
      <c r="CC145" s="16" t="s">
        <v>771</v>
      </c>
      <c r="CD145" s="16" t="s">
        <v>392</v>
      </c>
      <c r="CE145" s="16" t="s">
        <v>396</v>
      </c>
      <c r="CF145" s="16" t="s">
        <v>398</v>
      </c>
      <c r="CG145" s="16" t="s">
        <v>267</v>
      </c>
      <c r="CH145" s="16" t="s">
        <v>159</v>
      </c>
      <c r="CI145" s="6">
        <v>1</v>
      </c>
      <c r="CJ145" s="6" t="str">
        <f t="shared" si="178"/>
        <v>GAS_ENQ_NO-786</v>
      </c>
      <c r="CK145" s="7" t="s">
        <v>165</v>
      </c>
      <c r="CL145" s="7" t="s">
        <v>391</v>
      </c>
      <c r="CM145" s="7" t="s">
        <v>390</v>
      </c>
      <c r="CN145" s="6" t="s">
        <v>278</v>
      </c>
      <c r="CO145" s="6" t="str">
        <f t="shared" si="179"/>
        <v>GAS_JOB_ID-786</v>
      </c>
      <c r="CP145" s="7"/>
      <c r="CQ145" s="6" t="str">
        <f t="shared" si="180"/>
        <v>10000786</v>
      </c>
      <c r="CR145" s="6" t="s">
        <v>154</v>
      </c>
      <c r="CS145" s="7" t="s">
        <v>51</v>
      </c>
      <c r="CT145" s="27" t="str">
        <f t="shared" si="181"/>
        <v>GMETER786</v>
      </c>
      <c r="CU145" s="6" t="s">
        <v>161</v>
      </c>
      <c r="CV145" s="7" t="s">
        <v>165</v>
      </c>
      <c r="CW145" s="7" t="s">
        <v>772</v>
      </c>
      <c r="CX145" s="7"/>
      <c r="CY145" s="7"/>
      <c r="CZ145" s="7" t="s">
        <v>394</v>
      </c>
      <c r="DA145" s="7" t="s">
        <v>395</v>
      </c>
      <c r="DB145" s="6" t="str">
        <f t="shared" si="163"/>
        <v>GAS_INST_ID-786</v>
      </c>
      <c r="DC145" s="7" t="s">
        <v>161</v>
      </c>
      <c r="DD145" s="7"/>
      <c r="DE145" s="7" t="s">
        <v>51</v>
      </c>
      <c r="DF145" s="7" t="s">
        <v>264</v>
      </c>
      <c r="DG145" s="7"/>
      <c r="DH145" s="7" t="s">
        <v>397</v>
      </c>
      <c r="DI145" s="7" t="s">
        <v>399</v>
      </c>
      <c r="DJ145" s="10" t="s">
        <v>267</v>
      </c>
      <c r="DK145" s="7" t="s">
        <v>140</v>
      </c>
      <c r="DL145" s="40"/>
      <c r="DM145" s="40"/>
      <c r="DN145" s="38" t="str">
        <f t="shared" si="164"/>
        <v>DS_Pass-786</v>
      </c>
      <c r="DO145" s="40"/>
      <c r="DP145" s="40"/>
      <c r="DQ145" s="40"/>
      <c r="DR145" s="41"/>
      <c r="DS145" s="41"/>
      <c r="DT145" s="40"/>
      <c r="DU145" s="40"/>
      <c r="DV145" s="40"/>
      <c r="DW145" s="41"/>
      <c r="DX145" s="40"/>
      <c r="DY145" s="40"/>
      <c r="DZ145" s="37" t="s">
        <v>770</v>
      </c>
      <c r="EA145" s="39"/>
      <c r="EB145" s="37"/>
      <c r="EC145" s="37"/>
      <c r="ED145" s="16"/>
      <c r="EE145" s="1"/>
      <c r="EF145" s="55"/>
    </row>
    <row r="146" spans="1:136">
      <c r="A146" s="219" t="s">
        <v>1062</v>
      </c>
      <c r="B146" s="219" t="s">
        <v>892</v>
      </c>
      <c r="C146" s="219" t="s">
        <v>865</v>
      </c>
      <c r="D146" s="13">
        <f>'Run Parameters'!$B$1 + ROW()-1</f>
        <v>787</v>
      </c>
      <c r="E146" s="15" t="s">
        <v>47</v>
      </c>
      <c r="F146" s="18" t="s">
        <v>766</v>
      </c>
      <c r="G146" s="13" t="str">
        <f t="shared" si="142"/>
        <v>Access Dtls-787</v>
      </c>
      <c r="H146" s="15" t="s">
        <v>275</v>
      </c>
      <c r="I146" s="13" t="str">
        <f>("MR. Test_137_EXCH3_"&amp;D146&amp;"")</f>
        <v>MR. Test_137_EXCH3_787</v>
      </c>
      <c r="J146" s="18"/>
      <c r="K146" s="19" t="s">
        <v>425</v>
      </c>
      <c r="L146" s="13" t="str">
        <f t="shared" si="143"/>
        <v>Cust. Ref-787</v>
      </c>
      <c r="M146" s="15" t="s">
        <v>48</v>
      </c>
      <c r="N146" s="15" t="s">
        <v>425</v>
      </c>
      <c r="O146" s="13"/>
      <c r="P146" s="13" t="str">
        <f t="shared" si="144"/>
        <v>SN-787</v>
      </c>
      <c r="Q146" s="13" t="str">
        <f>("SI-" &amp; D146)</f>
        <v>SI-787</v>
      </c>
      <c r="R146" s="13" t="str">
        <f>("SE-" &amp; D146)</f>
        <v>SE-787</v>
      </c>
      <c r="S146" s="54" t="str">
        <f>("Prev_RA-" &amp; D146)</f>
        <v>Prev_RA-787</v>
      </c>
      <c r="T146" s="54" t="str">
        <f>("Prev_Comms-" &amp; D146)</f>
        <v>Prev_Comms-787</v>
      </c>
      <c r="U146" s="17" t="s">
        <v>75</v>
      </c>
      <c r="V146" s="15" t="s">
        <v>401</v>
      </c>
      <c r="W146" s="17" t="s">
        <v>75</v>
      </c>
      <c r="X146" s="15" t="s">
        <v>396</v>
      </c>
      <c r="Y146" s="13" t="str">
        <f>("Forward Add-" &amp; D146)</f>
        <v>Forward Add-787</v>
      </c>
      <c r="Z146" s="15" t="s">
        <v>401</v>
      </c>
      <c r="AA146" s="136" t="str">
        <f>'Run Parameters'!$B$2</f>
        <v>2018-08-13 08:00</v>
      </c>
      <c r="AB146" s="223" t="str">
        <f>'Run Parameters'!B$3</f>
        <v>2018-08-13 18:00</v>
      </c>
      <c r="AC146" s="26">
        <f>('Run Parameters'!$B$2) - 7</f>
        <v>43318.333333333336</v>
      </c>
      <c r="AD146" s="17" t="s">
        <v>75</v>
      </c>
      <c r="AE146" s="18" t="str">
        <f>("LAST_METER-" &amp; D146)</f>
        <v>LAST_METER-787</v>
      </c>
      <c r="AF146" s="136" t="str">
        <f>'Run Parameters'!$B$2</f>
        <v>2018-08-13 08:00</v>
      </c>
      <c r="AG146" s="13" t="str">
        <f>'Run Parameters'!B$4</f>
        <v>AUTOTEST2</v>
      </c>
      <c r="AH146" s="54" t="str">
        <f>("Site_Contact_" &amp; D146)</f>
        <v>Site_Contact_787</v>
      </c>
      <c r="AI146" s="136" t="str">
        <f>'Run Parameters'!B$2</f>
        <v>2018-08-13 08:00</v>
      </c>
      <c r="AJ146" s="223" t="str">
        <f>'Run Parameters'!B$3</f>
        <v>2018-08-13 18:00</v>
      </c>
      <c r="AK146" s="13" t="s">
        <v>396</v>
      </c>
      <c r="AL146" s="54" t="str">
        <f>"01159" &amp; D146</f>
        <v>01159787</v>
      </c>
      <c r="AM146" s="13" t="str">
        <f>("0115" &amp; D146)</f>
        <v>0115787</v>
      </c>
      <c r="AN146" s="15"/>
      <c r="AO146" s="52"/>
      <c r="AP146" s="13">
        <v>1</v>
      </c>
      <c r="AQ146" s="53" t="s">
        <v>49</v>
      </c>
      <c r="AR146" s="15"/>
      <c r="AS146" s="13"/>
      <c r="AT146" s="7" t="s">
        <v>400</v>
      </c>
      <c r="AU146" s="7"/>
      <c r="AV146" s="13">
        <f>D146</f>
        <v>787</v>
      </c>
      <c r="AW146" s="13" t="s">
        <v>1066</v>
      </c>
      <c r="AX146" s="13" t="s">
        <v>420</v>
      </c>
      <c r="AY146" s="13" t="s">
        <v>421</v>
      </c>
      <c r="AZ146" s="15" t="s">
        <v>334</v>
      </c>
      <c r="BA146" s="14" t="s">
        <v>154</v>
      </c>
      <c r="BB146" s="21">
        <v>1</v>
      </c>
      <c r="BC146" s="20">
        <f t="shared" si="155"/>
        <v>787</v>
      </c>
      <c r="BD146" s="16" t="s">
        <v>768</v>
      </c>
      <c r="BE146" s="16" t="s">
        <v>391</v>
      </c>
      <c r="BF146" s="16" t="s">
        <v>391</v>
      </c>
      <c r="BG146" s="20" t="s">
        <v>766</v>
      </c>
      <c r="BH146" s="20" t="str">
        <f>BC146&amp;"_"&amp;BB146</f>
        <v>787_1</v>
      </c>
      <c r="BI146" s="21"/>
      <c r="BJ146" s="21" t="str">
        <f>"10000000" &amp; D146</f>
        <v>10000000787</v>
      </c>
      <c r="BK146" s="16" t="s">
        <v>51</v>
      </c>
      <c r="BL146" s="16" t="s">
        <v>54</v>
      </c>
      <c r="BM146" s="20" t="s">
        <v>769</v>
      </c>
      <c r="BN146" s="16" t="s">
        <v>51</v>
      </c>
      <c r="BO146" s="20" t="str">
        <f>"S05S" &amp; D146</f>
        <v>S05S787</v>
      </c>
      <c r="BP146" s="16" t="s">
        <v>770</v>
      </c>
      <c r="BQ146" s="16" t="s">
        <v>770</v>
      </c>
      <c r="BR146" s="20" t="s">
        <v>161</v>
      </c>
      <c r="BS146" s="16" t="s">
        <v>50</v>
      </c>
      <c r="BT146" s="16" t="s">
        <v>47</v>
      </c>
      <c r="BU146" s="16" t="s">
        <v>393</v>
      </c>
      <c r="BV146" s="16" t="s">
        <v>51</v>
      </c>
      <c r="BW146" s="16" t="s">
        <v>154</v>
      </c>
      <c r="BX146" s="16"/>
      <c r="BY146" s="16"/>
      <c r="BZ146" s="16" t="s">
        <v>157</v>
      </c>
      <c r="CA146" s="16" t="s">
        <v>269</v>
      </c>
      <c r="CB146" s="16" t="s">
        <v>412</v>
      </c>
      <c r="CC146" s="16" t="s">
        <v>771</v>
      </c>
      <c r="CD146" s="16" t="s">
        <v>392</v>
      </c>
      <c r="CE146" s="16" t="s">
        <v>396</v>
      </c>
      <c r="CF146" s="16" t="s">
        <v>398</v>
      </c>
      <c r="CG146" s="16" t="s">
        <v>267</v>
      </c>
      <c r="CH146" s="16" t="s">
        <v>159</v>
      </c>
      <c r="CI146" s="6">
        <v>1</v>
      </c>
      <c r="CJ146" s="6" t="str">
        <f>("GAS_ENQ_NO-" &amp; D146)</f>
        <v>GAS_ENQ_NO-787</v>
      </c>
      <c r="CK146" s="7" t="s">
        <v>165</v>
      </c>
      <c r="CL146" s="7" t="s">
        <v>391</v>
      </c>
      <c r="CM146" s="7" t="s">
        <v>391</v>
      </c>
      <c r="CN146" s="6" t="s">
        <v>278</v>
      </c>
      <c r="CO146" s="6" t="str">
        <f>("GAS_JOB_ID-" &amp; D146)</f>
        <v>GAS_JOB_ID-787</v>
      </c>
      <c r="CP146" s="7"/>
      <c r="CQ146" s="6" t="str">
        <f>"10000" &amp; D146</f>
        <v>10000787</v>
      </c>
      <c r="CR146" s="6" t="s">
        <v>154</v>
      </c>
      <c r="CS146" s="7" t="s">
        <v>51</v>
      </c>
      <c r="CT146" s="27" t="str">
        <f>"GMETER" &amp; D146</f>
        <v>GMETER787</v>
      </c>
      <c r="CU146" s="6" t="s">
        <v>161</v>
      </c>
      <c r="CV146" s="7" t="s">
        <v>165</v>
      </c>
      <c r="CW146" s="7" t="s">
        <v>772</v>
      </c>
      <c r="CX146" s="7"/>
      <c r="CY146" s="7"/>
      <c r="CZ146" s="7" t="s">
        <v>394</v>
      </c>
      <c r="DA146" s="7" t="s">
        <v>395</v>
      </c>
      <c r="DB146" s="6" t="str">
        <f t="shared" si="163"/>
        <v>GAS_INST_ID-787</v>
      </c>
      <c r="DC146" s="7" t="s">
        <v>161</v>
      </c>
      <c r="DD146" s="7"/>
      <c r="DE146" s="7" t="s">
        <v>51</v>
      </c>
      <c r="DF146" s="7" t="s">
        <v>264</v>
      </c>
      <c r="DG146" s="7"/>
      <c r="DH146" s="7" t="s">
        <v>397</v>
      </c>
      <c r="DI146" s="7" t="s">
        <v>399</v>
      </c>
      <c r="DJ146" s="10" t="s">
        <v>267</v>
      </c>
      <c r="DK146" s="7" t="s">
        <v>140</v>
      </c>
      <c r="DL146" s="40"/>
      <c r="DM146" s="40"/>
      <c r="DN146" s="38" t="str">
        <f t="shared" si="164"/>
        <v>DS_Pass-787</v>
      </c>
      <c r="DO146" s="40"/>
      <c r="DP146" s="40"/>
      <c r="DQ146" s="40"/>
      <c r="DR146" s="41"/>
      <c r="DS146" s="41"/>
      <c r="DT146" s="40"/>
      <c r="DU146" s="40"/>
      <c r="DV146" s="40"/>
      <c r="DW146" s="41"/>
      <c r="DX146" s="40"/>
      <c r="DY146" s="40"/>
      <c r="DZ146" s="37" t="s">
        <v>770</v>
      </c>
      <c r="EA146" s="39"/>
      <c r="EB146" s="37"/>
      <c r="EC146" s="37"/>
      <c r="ED146" s="16"/>
      <c r="EE146" s="1"/>
      <c r="EF146" s="55"/>
    </row>
    <row r="147" spans="1:136">
      <c r="A147" s="219" t="s">
        <v>1064</v>
      </c>
      <c r="B147" s="219" t="s">
        <v>868</v>
      </c>
      <c r="C147" s="219" t="s">
        <v>865</v>
      </c>
      <c r="D147" s="13">
        <f>'Run Parameters'!$B$1 + ROW()-1</f>
        <v>788</v>
      </c>
      <c r="E147" s="15" t="s">
        <v>47</v>
      </c>
      <c r="F147" s="18" t="s">
        <v>766</v>
      </c>
      <c r="G147" s="13" t="str">
        <f t="shared" si="142"/>
        <v>Access Dtls-788</v>
      </c>
      <c r="H147" s="15" t="s">
        <v>275</v>
      </c>
      <c r="I147" s="13" t="str">
        <f>("MR. Test_138_EXCH3_"&amp;D147&amp;"")</f>
        <v>MR. Test_138_EXCH3_788</v>
      </c>
      <c r="J147" s="18"/>
      <c r="K147" s="19" t="s">
        <v>425</v>
      </c>
      <c r="L147" s="13" t="str">
        <f t="shared" si="143"/>
        <v>Cust. Ref-788</v>
      </c>
      <c r="M147" s="15" t="s">
        <v>48</v>
      </c>
      <c r="N147" s="15" t="s">
        <v>425</v>
      </c>
      <c r="O147" s="13"/>
      <c r="P147" s="13" t="str">
        <f t="shared" si="144"/>
        <v>SN-788</v>
      </c>
      <c r="Q147" s="13" t="str">
        <f>("SI-" &amp; D147)</f>
        <v>SI-788</v>
      </c>
      <c r="R147" s="13" t="str">
        <f>("SE-" &amp; D147)</f>
        <v>SE-788</v>
      </c>
      <c r="S147" s="54" t="str">
        <f>("Prev_RA-" &amp; D147)</f>
        <v>Prev_RA-788</v>
      </c>
      <c r="T147" s="54" t="str">
        <f>("Prev_Comms-" &amp; D147)</f>
        <v>Prev_Comms-788</v>
      </c>
      <c r="U147" s="17" t="s">
        <v>75</v>
      </c>
      <c r="V147" s="15" t="s">
        <v>401</v>
      </c>
      <c r="W147" s="17" t="s">
        <v>75</v>
      </c>
      <c r="X147" s="15" t="s">
        <v>396</v>
      </c>
      <c r="Y147" s="13" t="str">
        <f>("Forward Add-" &amp; D147)</f>
        <v>Forward Add-788</v>
      </c>
      <c r="Z147" s="15" t="s">
        <v>401</v>
      </c>
      <c r="AA147" s="136" t="str">
        <f>'Run Parameters'!$B$2</f>
        <v>2018-08-13 08:00</v>
      </c>
      <c r="AB147" s="223" t="str">
        <f>'Run Parameters'!B$3</f>
        <v>2018-08-13 18:00</v>
      </c>
      <c r="AC147" s="26">
        <f>('Run Parameters'!$B$2) - 7</f>
        <v>43318.333333333336</v>
      </c>
      <c r="AD147" s="17" t="s">
        <v>75</v>
      </c>
      <c r="AE147" s="18" t="str">
        <f>("LAST_METER-" &amp; D147)</f>
        <v>LAST_METER-788</v>
      </c>
      <c r="AF147" s="136" t="str">
        <f>'Run Parameters'!$B$2</f>
        <v>2018-08-13 08:00</v>
      </c>
      <c r="AG147" s="13" t="str">
        <f>'Run Parameters'!B$4</f>
        <v>AUTOTEST2</v>
      </c>
      <c r="AH147" s="54" t="str">
        <f>("Site_Contact_" &amp; D147)</f>
        <v>Site_Contact_788</v>
      </c>
      <c r="AI147" s="136" t="str">
        <f>'Run Parameters'!B$2</f>
        <v>2018-08-13 08:00</v>
      </c>
      <c r="AJ147" s="223" t="str">
        <f>'Run Parameters'!B$3</f>
        <v>2018-08-13 18:00</v>
      </c>
      <c r="AK147" s="13" t="s">
        <v>396</v>
      </c>
      <c r="AL147" s="54" t="str">
        <f>"01159" &amp; D147</f>
        <v>01159788</v>
      </c>
      <c r="AM147" s="13" t="str">
        <f>("0115" &amp; D147)</f>
        <v>0115788</v>
      </c>
      <c r="AN147" s="15"/>
      <c r="AO147" s="52"/>
      <c r="AP147" s="13">
        <v>1</v>
      </c>
      <c r="AQ147" s="53" t="s">
        <v>49</v>
      </c>
      <c r="AR147" s="15"/>
      <c r="AS147" s="13"/>
      <c r="AT147" s="7" t="s">
        <v>400</v>
      </c>
      <c r="AU147" s="7"/>
      <c r="AV147" s="13">
        <f>D147</f>
        <v>788</v>
      </c>
      <c r="AW147" s="13" t="s">
        <v>1066</v>
      </c>
      <c r="AX147" s="13" t="s">
        <v>420</v>
      </c>
      <c r="AY147" s="13" t="s">
        <v>421</v>
      </c>
      <c r="AZ147" s="15" t="s">
        <v>334</v>
      </c>
      <c r="BA147" s="14" t="s">
        <v>154</v>
      </c>
      <c r="BB147" s="21">
        <v>1</v>
      </c>
      <c r="BC147" s="20">
        <f t="shared" si="155"/>
        <v>788</v>
      </c>
      <c r="BD147" s="16" t="s">
        <v>768</v>
      </c>
      <c r="BE147" s="16" t="s">
        <v>391</v>
      </c>
      <c r="BF147" s="16" t="s">
        <v>391</v>
      </c>
      <c r="BG147" s="20" t="s">
        <v>766</v>
      </c>
      <c r="BH147" s="20" t="str">
        <f>BC147&amp;"_"&amp;BB147</f>
        <v>788_1</v>
      </c>
      <c r="BI147" s="21"/>
      <c r="BJ147" s="21" t="str">
        <f>"10000000" &amp; D147</f>
        <v>10000000788</v>
      </c>
      <c r="BK147" s="16" t="s">
        <v>51</v>
      </c>
      <c r="BL147" s="16" t="s">
        <v>54</v>
      </c>
      <c r="BM147" s="20" t="s">
        <v>769</v>
      </c>
      <c r="BN147" s="16" t="s">
        <v>51</v>
      </c>
      <c r="BO147" s="20" t="str">
        <f>"S05S" &amp; D147</f>
        <v>S05S788</v>
      </c>
      <c r="BP147" s="16" t="s">
        <v>770</v>
      </c>
      <c r="BQ147" s="16" t="s">
        <v>770</v>
      </c>
      <c r="BR147" s="20" t="s">
        <v>161</v>
      </c>
      <c r="BS147" s="16" t="s">
        <v>50</v>
      </c>
      <c r="BT147" s="16" t="s">
        <v>47</v>
      </c>
      <c r="BU147" s="16" t="s">
        <v>393</v>
      </c>
      <c r="BV147" s="16" t="s">
        <v>51</v>
      </c>
      <c r="BW147" s="16" t="s">
        <v>154</v>
      </c>
      <c r="BX147" s="16"/>
      <c r="BY147" s="16"/>
      <c r="BZ147" s="16" t="s">
        <v>157</v>
      </c>
      <c r="CA147" s="16" t="s">
        <v>269</v>
      </c>
      <c r="CB147" s="16" t="s">
        <v>412</v>
      </c>
      <c r="CC147" s="16" t="s">
        <v>771</v>
      </c>
      <c r="CD147" s="16" t="s">
        <v>392</v>
      </c>
      <c r="CE147" s="16" t="s">
        <v>396</v>
      </c>
      <c r="CF147" s="16" t="s">
        <v>398</v>
      </c>
      <c r="CG147" s="16" t="s">
        <v>267</v>
      </c>
      <c r="CH147" s="16" t="s">
        <v>159</v>
      </c>
      <c r="CI147" s="6">
        <v>1</v>
      </c>
      <c r="CJ147" s="6" t="str">
        <f>("GAS_ENQ_NO-" &amp; D147)</f>
        <v>GAS_ENQ_NO-788</v>
      </c>
      <c r="CK147" s="7" t="s">
        <v>165</v>
      </c>
      <c r="CL147" s="7" t="s">
        <v>391</v>
      </c>
      <c r="CM147" s="7" t="s">
        <v>391</v>
      </c>
      <c r="CN147" s="6" t="s">
        <v>278</v>
      </c>
      <c r="CO147" s="6" t="str">
        <f>("GAS_JOB_ID-" &amp; D147)</f>
        <v>GAS_JOB_ID-788</v>
      </c>
      <c r="CP147" s="7"/>
      <c r="CQ147" s="6" t="str">
        <f>"10000" &amp; D147</f>
        <v>10000788</v>
      </c>
      <c r="CR147" s="6" t="s">
        <v>154</v>
      </c>
      <c r="CS147" s="7" t="s">
        <v>51</v>
      </c>
      <c r="CT147" s="27" t="str">
        <f>"GMETER" &amp; D147</f>
        <v>GMETER788</v>
      </c>
      <c r="CU147" s="6" t="s">
        <v>161</v>
      </c>
      <c r="CV147" s="7" t="s">
        <v>165</v>
      </c>
      <c r="CW147" s="7" t="s">
        <v>772</v>
      </c>
      <c r="CX147" s="7"/>
      <c r="CY147" s="7"/>
      <c r="CZ147" s="7" t="s">
        <v>394</v>
      </c>
      <c r="DA147" s="7" t="s">
        <v>395</v>
      </c>
      <c r="DB147" s="6" t="str">
        <f t="shared" si="163"/>
        <v>GAS_INST_ID-788</v>
      </c>
      <c r="DC147" s="7" t="s">
        <v>161</v>
      </c>
      <c r="DD147" s="7"/>
      <c r="DE147" s="7" t="s">
        <v>51</v>
      </c>
      <c r="DF147" s="7" t="s">
        <v>264</v>
      </c>
      <c r="DG147" s="7"/>
      <c r="DH147" s="7" t="s">
        <v>397</v>
      </c>
      <c r="DI147" s="7" t="s">
        <v>399</v>
      </c>
      <c r="DJ147" s="10" t="s">
        <v>267</v>
      </c>
      <c r="DK147" s="7" t="s">
        <v>140</v>
      </c>
      <c r="DL147" s="40"/>
      <c r="DM147" s="40"/>
      <c r="DN147" s="38" t="str">
        <f t="shared" si="164"/>
        <v>DS_Pass-788</v>
      </c>
      <c r="DO147" s="40"/>
      <c r="DP147" s="40"/>
      <c r="DQ147" s="40"/>
      <c r="DR147" s="41"/>
      <c r="DS147" s="41"/>
      <c r="DT147" s="40"/>
      <c r="DU147" s="40"/>
      <c r="DV147" s="40"/>
      <c r="DW147" s="41"/>
      <c r="DX147" s="40"/>
      <c r="DY147" s="40"/>
      <c r="DZ147" s="37" t="s">
        <v>770</v>
      </c>
      <c r="EA147" s="39"/>
      <c r="EB147" s="37"/>
      <c r="EC147" s="37"/>
      <c r="ED147" s="16"/>
      <c r="EE147" s="1"/>
      <c r="EF147" s="55"/>
    </row>
    <row r="148" spans="1:136">
      <c r="A148" s="219" t="s">
        <v>1063</v>
      </c>
      <c r="B148" s="219" t="s">
        <v>892</v>
      </c>
      <c r="C148" s="219" t="s">
        <v>865</v>
      </c>
      <c r="D148" s="13">
        <f>'Run Parameters'!$B$1 + ROW()-1</f>
        <v>789</v>
      </c>
      <c r="E148" s="15" t="s">
        <v>47</v>
      </c>
      <c r="F148" s="18" t="s">
        <v>766</v>
      </c>
      <c r="G148" s="13" t="str">
        <f t="shared" si="142"/>
        <v>Access Dtls-789</v>
      </c>
      <c r="H148" s="15" t="s">
        <v>275</v>
      </c>
      <c r="I148" s="13" t="str">
        <f>("MR. Test_139_EXCH3_"&amp;D148&amp;"")</f>
        <v>MR. Test_139_EXCH3_789</v>
      </c>
      <c r="J148" s="18"/>
      <c r="K148" s="19" t="s">
        <v>425</v>
      </c>
      <c r="L148" s="13" t="str">
        <f t="shared" si="143"/>
        <v>Cust. Ref-789</v>
      </c>
      <c r="M148" s="15" t="s">
        <v>48</v>
      </c>
      <c r="N148" s="15" t="s">
        <v>425</v>
      </c>
      <c r="O148" s="13"/>
      <c r="P148" s="13" t="str">
        <f t="shared" si="144"/>
        <v>SN-789</v>
      </c>
      <c r="Q148" s="13" t="str">
        <f>("SI-" &amp; D148)</f>
        <v>SI-789</v>
      </c>
      <c r="R148" s="13" t="str">
        <f>("SE-" &amp; D148)</f>
        <v>SE-789</v>
      </c>
      <c r="S148" s="54" t="str">
        <f>("Prev_RA-" &amp; D148)</f>
        <v>Prev_RA-789</v>
      </c>
      <c r="T148" s="54" t="str">
        <f>("Prev_Comms-" &amp; D148)</f>
        <v>Prev_Comms-789</v>
      </c>
      <c r="U148" s="17" t="s">
        <v>75</v>
      </c>
      <c r="V148" s="15" t="s">
        <v>401</v>
      </c>
      <c r="W148" s="17" t="s">
        <v>75</v>
      </c>
      <c r="X148" s="15" t="s">
        <v>396</v>
      </c>
      <c r="Y148" s="13" t="str">
        <f>("Forward Add-" &amp; D148)</f>
        <v>Forward Add-789</v>
      </c>
      <c r="Z148" s="15" t="s">
        <v>401</v>
      </c>
      <c r="AA148" s="136" t="str">
        <f>'Run Parameters'!$B$2</f>
        <v>2018-08-13 08:00</v>
      </c>
      <c r="AB148" s="223" t="str">
        <f>'Run Parameters'!B$3</f>
        <v>2018-08-13 18:00</v>
      </c>
      <c r="AC148" s="26">
        <f>('Run Parameters'!$B$2) - 7</f>
        <v>43318.333333333336</v>
      </c>
      <c r="AD148" s="17" t="s">
        <v>75</v>
      </c>
      <c r="AE148" s="18" t="str">
        <f>("LAST_METER-" &amp; D148)</f>
        <v>LAST_METER-789</v>
      </c>
      <c r="AF148" s="136" t="str">
        <f>'Run Parameters'!$B$2</f>
        <v>2018-08-13 08:00</v>
      </c>
      <c r="AG148" s="13" t="str">
        <f>'Run Parameters'!B$4</f>
        <v>AUTOTEST2</v>
      </c>
      <c r="AH148" s="54" t="str">
        <f>("Site_Contact_" &amp; D148)</f>
        <v>Site_Contact_789</v>
      </c>
      <c r="AI148" s="136" t="str">
        <f>'Run Parameters'!B$2</f>
        <v>2018-08-13 08:00</v>
      </c>
      <c r="AJ148" s="223" t="str">
        <f>'Run Parameters'!B$3</f>
        <v>2018-08-13 18:00</v>
      </c>
      <c r="AK148" s="13" t="s">
        <v>396</v>
      </c>
      <c r="AL148" s="54" t="str">
        <f>"01159" &amp; D148</f>
        <v>01159789</v>
      </c>
      <c r="AM148" s="13" t="str">
        <f>("0115" &amp; D148)</f>
        <v>0115789</v>
      </c>
      <c r="AN148" s="15"/>
      <c r="AO148" s="52"/>
      <c r="AP148" s="13">
        <v>1</v>
      </c>
      <c r="AQ148" s="53" t="s">
        <v>49</v>
      </c>
      <c r="AR148" s="15"/>
      <c r="AS148" s="13"/>
      <c r="AT148" s="7" t="s">
        <v>400</v>
      </c>
      <c r="AU148" s="7"/>
      <c r="AV148" s="13">
        <f>D148</f>
        <v>789</v>
      </c>
      <c r="AW148" s="13" t="s">
        <v>1066</v>
      </c>
      <c r="AX148" s="13" t="s">
        <v>420</v>
      </c>
      <c r="AY148" s="13" t="s">
        <v>421</v>
      </c>
      <c r="AZ148" s="15" t="s">
        <v>334</v>
      </c>
      <c r="BA148" s="14" t="s">
        <v>154</v>
      </c>
      <c r="BB148" s="21">
        <v>1</v>
      </c>
      <c r="BC148" s="20">
        <f t="shared" si="155"/>
        <v>789</v>
      </c>
      <c r="BD148" s="16" t="s">
        <v>768</v>
      </c>
      <c r="BE148" s="16" t="s">
        <v>391</v>
      </c>
      <c r="BF148" s="16" t="s">
        <v>391</v>
      </c>
      <c r="BG148" s="20" t="s">
        <v>766</v>
      </c>
      <c r="BH148" s="20" t="str">
        <f>BC148&amp;"_"&amp;BB148</f>
        <v>789_1</v>
      </c>
      <c r="BI148" s="21"/>
      <c r="BJ148" s="21" t="str">
        <f>"10000000" &amp; D148</f>
        <v>10000000789</v>
      </c>
      <c r="BK148" s="16" t="s">
        <v>51</v>
      </c>
      <c r="BL148" s="16" t="s">
        <v>54</v>
      </c>
      <c r="BM148" s="20" t="s">
        <v>769</v>
      </c>
      <c r="BN148" s="16" t="s">
        <v>51</v>
      </c>
      <c r="BO148" s="20" t="str">
        <f>"S05S" &amp; D148</f>
        <v>S05S789</v>
      </c>
      <c r="BP148" s="16" t="s">
        <v>770</v>
      </c>
      <c r="BQ148" s="16" t="s">
        <v>770</v>
      </c>
      <c r="BR148" s="20" t="s">
        <v>161</v>
      </c>
      <c r="BS148" s="16" t="s">
        <v>50</v>
      </c>
      <c r="BT148" s="16" t="s">
        <v>47</v>
      </c>
      <c r="BU148" s="16" t="s">
        <v>393</v>
      </c>
      <c r="BV148" s="16" t="s">
        <v>51</v>
      </c>
      <c r="BW148" s="16" t="s">
        <v>154</v>
      </c>
      <c r="BX148" s="16"/>
      <c r="BY148" s="16"/>
      <c r="BZ148" s="16" t="s">
        <v>157</v>
      </c>
      <c r="CA148" s="16" t="s">
        <v>269</v>
      </c>
      <c r="CB148" s="16" t="s">
        <v>412</v>
      </c>
      <c r="CC148" s="16" t="s">
        <v>771</v>
      </c>
      <c r="CD148" s="16" t="s">
        <v>392</v>
      </c>
      <c r="CE148" s="16" t="s">
        <v>396</v>
      </c>
      <c r="CF148" s="16" t="s">
        <v>398</v>
      </c>
      <c r="CG148" s="16" t="s">
        <v>267</v>
      </c>
      <c r="CH148" s="16" t="s">
        <v>159</v>
      </c>
      <c r="CI148" s="6">
        <v>1</v>
      </c>
      <c r="CJ148" s="6" t="str">
        <f>("GAS_ENQ_NO-" &amp; D148)</f>
        <v>GAS_ENQ_NO-789</v>
      </c>
      <c r="CK148" s="7" t="s">
        <v>165</v>
      </c>
      <c r="CL148" s="7" t="s">
        <v>391</v>
      </c>
      <c r="CM148" s="7" t="s">
        <v>391</v>
      </c>
      <c r="CN148" s="6" t="s">
        <v>278</v>
      </c>
      <c r="CO148" s="6" t="str">
        <f>("GAS_JOB_ID-" &amp; D148)</f>
        <v>GAS_JOB_ID-789</v>
      </c>
      <c r="CP148" s="7"/>
      <c r="CQ148" s="6" t="str">
        <f>"10000" &amp; D148</f>
        <v>10000789</v>
      </c>
      <c r="CR148" s="6" t="s">
        <v>154</v>
      </c>
      <c r="CS148" s="7" t="s">
        <v>51</v>
      </c>
      <c r="CT148" s="27" t="str">
        <f>"GMETER" &amp; D148</f>
        <v>GMETER789</v>
      </c>
      <c r="CU148" s="6" t="s">
        <v>161</v>
      </c>
      <c r="CV148" s="7" t="s">
        <v>165</v>
      </c>
      <c r="CW148" s="7" t="s">
        <v>772</v>
      </c>
      <c r="CX148" s="7"/>
      <c r="CY148" s="7"/>
      <c r="CZ148" s="7" t="s">
        <v>394</v>
      </c>
      <c r="DA148" s="7" t="s">
        <v>395</v>
      </c>
      <c r="DB148" s="6" t="str">
        <f t="shared" si="163"/>
        <v>GAS_INST_ID-789</v>
      </c>
      <c r="DC148" s="7" t="s">
        <v>161</v>
      </c>
      <c r="DD148" s="7"/>
      <c r="DE148" s="7" t="s">
        <v>51</v>
      </c>
      <c r="DF148" s="7" t="s">
        <v>264</v>
      </c>
      <c r="DG148" s="7"/>
      <c r="DH148" s="7" t="s">
        <v>397</v>
      </c>
      <c r="DI148" s="7" t="s">
        <v>399</v>
      </c>
      <c r="DJ148" s="10" t="s">
        <v>267</v>
      </c>
      <c r="DK148" s="7" t="s">
        <v>140</v>
      </c>
      <c r="DL148" s="40"/>
      <c r="DM148" s="40"/>
      <c r="DN148" s="38" t="str">
        <f t="shared" si="164"/>
        <v>DS_Pass-789</v>
      </c>
      <c r="DO148" s="40"/>
      <c r="DP148" s="40"/>
      <c r="DQ148" s="40"/>
      <c r="DR148" s="41"/>
      <c r="DS148" s="41"/>
      <c r="DT148" s="40"/>
      <c r="DU148" s="40"/>
      <c r="DV148" s="40"/>
      <c r="DW148" s="41"/>
      <c r="DX148" s="40"/>
      <c r="DY148" s="40"/>
      <c r="DZ148" s="37" t="s">
        <v>770</v>
      </c>
      <c r="EA148" s="39"/>
      <c r="EB148" s="37"/>
      <c r="EC148" s="37"/>
      <c r="ED148" s="16"/>
      <c r="EE148" s="1"/>
      <c r="EF148" s="55"/>
    </row>
    <row r="149" spans="1:136">
      <c r="A149" s="219" t="s">
        <v>1065</v>
      </c>
      <c r="B149" s="219" t="s">
        <v>868</v>
      </c>
      <c r="C149" s="219" t="s">
        <v>865</v>
      </c>
      <c r="D149" s="13">
        <f>'Run Parameters'!$B$1 + ROW()-1</f>
        <v>790</v>
      </c>
      <c r="E149" s="15" t="s">
        <v>47</v>
      </c>
      <c r="F149" s="18" t="s">
        <v>766</v>
      </c>
      <c r="G149" s="13" t="str">
        <f t="shared" si="142"/>
        <v>Access Dtls-790</v>
      </c>
      <c r="H149" s="15" t="s">
        <v>275</v>
      </c>
      <c r="I149" s="13" t="str">
        <f>("MR. Test_140_EXCH3_"&amp;D149&amp;"")</f>
        <v>MR. Test_140_EXCH3_790</v>
      </c>
      <c r="J149" s="18"/>
      <c r="K149" s="19" t="s">
        <v>425</v>
      </c>
      <c r="L149" s="13" t="str">
        <f t="shared" si="143"/>
        <v>Cust. Ref-790</v>
      </c>
      <c r="M149" s="15" t="s">
        <v>48</v>
      </c>
      <c r="N149" s="15" t="s">
        <v>425</v>
      </c>
      <c r="O149" s="13"/>
      <c r="P149" s="13" t="str">
        <f t="shared" si="144"/>
        <v>SN-790</v>
      </c>
      <c r="Q149" s="13" t="str">
        <f>("SI-" &amp; D149)</f>
        <v>SI-790</v>
      </c>
      <c r="R149" s="13" t="str">
        <f>("SE-" &amp; D149)</f>
        <v>SE-790</v>
      </c>
      <c r="S149" s="54" t="str">
        <f>("Prev_RA-" &amp; D149)</f>
        <v>Prev_RA-790</v>
      </c>
      <c r="T149" s="54" t="str">
        <f>("Prev_Comms-" &amp; D149)</f>
        <v>Prev_Comms-790</v>
      </c>
      <c r="U149" s="17" t="s">
        <v>75</v>
      </c>
      <c r="V149" s="15" t="s">
        <v>401</v>
      </c>
      <c r="W149" s="17" t="s">
        <v>75</v>
      </c>
      <c r="X149" s="15" t="s">
        <v>396</v>
      </c>
      <c r="Y149" s="13" t="str">
        <f>("Forward Add-" &amp; D149)</f>
        <v>Forward Add-790</v>
      </c>
      <c r="Z149" s="15" t="s">
        <v>401</v>
      </c>
      <c r="AA149" s="136" t="str">
        <f>'Run Parameters'!$B$2</f>
        <v>2018-08-13 08:00</v>
      </c>
      <c r="AB149" s="223" t="str">
        <f>'Run Parameters'!B$3</f>
        <v>2018-08-13 18:00</v>
      </c>
      <c r="AC149" s="26">
        <f>('Run Parameters'!$B$2) - 7</f>
        <v>43318.333333333336</v>
      </c>
      <c r="AD149" s="17" t="s">
        <v>75</v>
      </c>
      <c r="AE149" s="18" t="str">
        <f>("LAST_METER-" &amp; D149)</f>
        <v>LAST_METER-790</v>
      </c>
      <c r="AF149" s="136" t="str">
        <f>'Run Parameters'!$B$2</f>
        <v>2018-08-13 08:00</v>
      </c>
      <c r="AG149" s="13" t="str">
        <f>'Run Parameters'!B$4</f>
        <v>AUTOTEST2</v>
      </c>
      <c r="AH149" s="54" t="str">
        <f>("Site_Contact_" &amp; D149)</f>
        <v>Site_Contact_790</v>
      </c>
      <c r="AI149" s="136" t="str">
        <f>'Run Parameters'!B$2</f>
        <v>2018-08-13 08:00</v>
      </c>
      <c r="AJ149" s="223" t="str">
        <f>'Run Parameters'!B$3</f>
        <v>2018-08-13 18:00</v>
      </c>
      <c r="AK149" s="13" t="s">
        <v>396</v>
      </c>
      <c r="AL149" s="54" t="str">
        <f>"01159" &amp; D149</f>
        <v>01159790</v>
      </c>
      <c r="AM149" s="13" t="str">
        <f>("0115" &amp; D149)</f>
        <v>0115790</v>
      </c>
      <c r="AN149" s="15"/>
      <c r="AO149" s="52"/>
      <c r="AP149" s="13">
        <v>1</v>
      </c>
      <c r="AQ149" s="53" t="s">
        <v>49</v>
      </c>
      <c r="AR149" s="15"/>
      <c r="AS149" s="13"/>
      <c r="AT149" s="7" t="s">
        <v>400</v>
      </c>
      <c r="AU149" s="7"/>
      <c r="AV149" s="13">
        <f>D149</f>
        <v>790</v>
      </c>
      <c r="AW149" s="13" t="s">
        <v>1066</v>
      </c>
      <c r="AX149" s="13" t="s">
        <v>420</v>
      </c>
      <c r="AY149" s="13" t="s">
        <v>421</v>
      </c>
      <c r="AZ149" s="15" t="s">
        <v>334</v>
      </c>
      <c r="BA149" s="14" t="s">
        <v>154</v>
      </c>
      <c r="BB149" s="21">
        <v>1</v>
      </c>
      <c r="BC149" s="20">
        <f t="shared" si="155"/>
        <v>790</v>
      </c>
      <c r="BD149" s="16" t="s">
        <v>768</v>
      </c>
      <c r="BE149" s="16" t="s">
        <v>391</v>
      </c>
      <c r="BF149" s="16" t="s">
        <v>391</v>
      </c>
      <c r="BG149" s="20" t="s">
        <v>766</v>
      </c>
      <c r="BH149" s="20" t="str">
        <f>BC149&amp;"_"&amp;BB149</f>
        <v>790_1</v>
      </c>
      <c r="BI149" s="21"/>
      <c r="BJ149" s="21" t="str">
        <f>"10000000" &amp; D149</f>
        <v>10000000790</v>
      </c>
      <c r="BK149" s="16" t="s">
        <v>51</v>
      </c>
      <c r="BL149" s="16" t="s">
        <v>54</v>
      </c>
      <c r="BM149" s="20" t="s">
        <v>769</v>
      </c>
      <c r="BN149" s="16" t="s">
        <v>51</v>
      </c>
      <c r="BO149" s="20" t="str">
        <f>"S05S" &amp; D149</f>
        <v>S05S790</v>
      </c>
      <c r="BP149" s="16" t="s">
        <v>770</v>
      </c>
      <c r="BQ149" s="16" t="s">
        <v>770</v>
      </c>
      <c r="BR149" s="20" t="s">
        <v>161</v>
      </c>
      <c r="BS149" s="16" t="s">
        <v>50</v>
      </c>
      <c r="BT149" s="16" t="s">
        <v>47</v>
      </c>
      <c r="BU149" s="16" t="s">
        <v>393</v>
      </c>
      <c r="BV149" s="16" t="s">
        <v>51</v>
      </c>
      <c r="BW149" s="16" t="s">
        <v>154</v>
      </c>
      <c r="BX149" s="16"/>
      <c r="BY149" s="16"/>
      <c r="BZ149" s="16" t="s">
        <v>157</v>
      </c>
      <c r="CA149" s="16" t="s">
        <v>269</v>
      </c>
      <c r="CB149" s="16" t="s">
        <v>412</v>
      </c>
      <c r="CC149" s="16" t="s">
        <v>771</v>
      </c>
      <c r="CD149" s="16" t="s">
        <v>392</v>
      </c>
      <c r="CE149" s="16" t="s">
        <v>396</v>
      </c>
      <c r="CF149" s="16" t="s">
        <v>398</v>
      </c>
      <c r="CG149" s="16" t="s">
        <v>267</v>
      </c>
      <c r="CH149" s="16" t="s">
        <v>159</v>
      </c>
      <c r="CI149" s="6">
        <v>1</v>
      </c>
      <c r="CJ149" s="6" t="str">
        <f>("GAS_ENQ_NO-" &amp; D149)</f>
        <v>GAS_ENQ_NO-790</v>
      </c>
      <c r="CK149" s="7" t="s">
        <v>165</v>
      </c>
      <c r="CL149" s="7" t="s">
        <v>391</v>
      </c>
      <c r="CM149" s="7" t="s">
        <v>391</v>
      </c>
      <c r="CN149" s="6" t="s">
        <v>278</v>
      </c>
      <c r="CO149" s="6" t="str">
        <f>("GAS_JOB_ID-" &amp; D149)</f>
        <v>GAS_JOB_ID-790</v>
      </c>
      <c r="CP149" s="7"/>
      <c r="CQ149" s="6" t="str">
        <f>"10000" &amp; D149</f>
        <v>10000790</v>
      </c>
      <c r="CR149" s="6" t="s">
        <v>154</v>
      </c>
      <c r="CS149" s="7" t="s">
        <v>51</v>
      </c>
      <c r="CT149" s="27" t="str">
        <f>"GMETER" &amp; D149</f>
        <v>GMETER790</v>
      </c>
      <c r="CU149" s="6" t="s">
        <v>161</v>
      </c>
      <c r="CV149" s="7" t="s">
        <v>165</v>
      </c>
      <c r="CW149" s="7" t="s">
        <v>772</v>
      </c>
      <c r="CX149" s="7"/>
      <c r="CY149" s="7"/>
      <c r="CZ149" s="7" t="s">
        <v>394</v>
      </c>
      <c r="DA149" s="7" t="s">
        <v>395</v>
      </c>
      <c r="DB149" s="6" t="str">
        <f t="shared" si="163"/>
        <v>GAS_INST_ID-790</v>
      </c>
      <c r="DC149" s="7" t="s">
        <v>161</v>
      </c>
      <c r="DD149" s="7"/>
      <c r="DE149" s="7" t="s">
        <v>51</v>
      </c>
      <c r="DF149" s="7" t="s">
        <v>264</v>
      </c>
      <c r="DG149" s="7"/>
      <c r="DH149" s="7" t="s">
        <v>397</v>
      </c>
      <c r="DI149" s="7" t="s">
        <v>399</v>
      </c>
      <c r="DJ149" s="10" t="s">
        <v>267</v>
      </c>
      <c r="DK149" s="7" t="s">
        <v>140</v>
      </c>
      <c r="DL149" s="40"/>
      <c r="DM149" s="40"/>
      <c r="DN149" s="38" t="str">
        <f t="shared" si="164"/>
        <v>DS_Pass-790</v>
      </c>
      <c r="DO149" s="40"/>
      <c r="DP149" s="40"/>
      <c r="DQ149" s="40"/>
      <c r="DR149" s="41"/>
      <c r="DS149" s="41"/>
      <c r="DT149" s="40"/>
      <c r="DU149" s="40"/>
      <c r="DV149" s="40"/>
      <c r="DW149" s="41"/>
      <c r="DX149" s="40"/>
      <c r="DY149" s="40"/>
      <c r="DZ149" s="37" t="s">
        <v>770</v>
      </c>
      <c r="EA149" s="39"/>
      <c r="EB149" s="37"/>
      <c r="EC149" s="37"/>
      <c r="ED149" s="16"/>
      <c r="EE149" s="1"/>
      <c r="EF149" s="55"/>
    </row>
    <row r="150" spans="1:136">
      <c r="A150" s="219" t="s">
        <v>920</v>
      </c>
      <c r="B150" s="219" t="s">
        <v>892</v>
      </c>
      <c r="C150" s="219" t="s">
        <v>865</v>
      </c>
      <c r="D150" s="13">
        <f>'Run Parameters'!$B$1 + ROW()-1</f>
        <v>791</v>
      </c>
      <c r="E150" s="15" t="s">
        <v>47</v>
      </c>
      <c r="F150" s="18" t="s">
        <v>816</v>
      </c>
      <c r="G150" s="13" t="str">
        <f t="shared" si="142"/>
        <v>Access Dtls-791</v>
      </c>
      <c r="H150" s="15" t="s">
        <v>275</v>
      </c>
      <c r="I150" s="13" t="str">
        <f>("MR. Test_141_FLTY17_"&amp;D150&amp;"")</f>
        <v>MR. Test_141_FLTY17_791</v>
      </c>
      <c r="J150" s="18"/>
      <c r="K150" s="19" t="s">
        <v>425</v>
      </c>
      <c r="L150" s="13" t="str">
        <f t="shared" si="143"/>
        <v>Cust. Ref-791</v>
      </c>
      <c r="M150" s="15" t="s">
        <v>48</v>
      </c>
      <c r="N150" s="15" t="s">
        <v>425</v>
      </c>
      <c r="O150" s="13"/>
      <c r="P150" s="13" t="str">
        <f t="shared" si="144"/>
        <v>SN-791</v>
      </c>
      <c r="Q150" s="13" t="str">
        <f t="shared" si="145"/>
        <v>SI-791</v>
      </c>
      <c r="R150" s="13" t="str">
        <f t="shared" si="146"/>
        <v>SE-791</v>
      </c>
      <c r="S150" s="54" t="str">
        <f t="shared" si="147"/>
        <v>Prev_RA-791</v>
      </c>
      <c r="T150" s="54" t="str">
        <f t="shared" si="148"/>
        <v>Prev_Comms-791</v>
      </c>
      <c r="U150" s="17" t="s">
        <v>75</v>
      </c>
      <c r="V150" s="15" t="s">
        <v>401</v>
      </c>
      <c r="W150" s="17" t="s">
        <v>75</v>
      </c>
      <c r="X150" s="15" t="s">
        <v>396</v>
      </c>
      <c r="Y150" s="13" t="str">
        <f t="shared" si="149"/>
        <v>Forward Add-791</v>
      </c>
      <c r="Z150" s="15" t="s">
        <v>401</v>
      </c>
      <c r="AA150" s="136" t="str">
        <f>'Run Parameters'!$B$2</f>
        <v>2018-08-13 08:00</v>
      </c>
      <c r="AB150" s="223" t="str">
        <f>'Run Parameters'!B$3</f>
        <v>2018-08-13 18:00</v>
      </c>
      <c r="AC150" s="26">
        <f>('Run Parameters'!$B$2) - 7</f>
        <v>43318.333333333336</v>
      </c>
      <c r="AD150" s="17" t="s">
        <v>75</v>
      </c>
      <c r="AE150" s="18" t="str">
        <f t="shared" si="150"/>
        <v>LAST_METER-791</v>
      </c>
      <c r="AF150" s="136" t="str">
        <f>'Run Parameters'!$B$2</f>
        <v>2018-08-13 08:00</v>
      </c>
      <c r="AG150" s="13" t="str">
        <f>'Run Parameters'!B$4</f>
        <v>AUTOTEST2</v>
      </c>
      <c r="AH150" s="54" t="str">
        <f t="shared" si="151"/>
        <v>Site_Contact_791</v>
      </c>
      <c r="AI150" s="136" t="str">
        <f>'Run Parameters'!B$2</f>
        <v>2018-08-13 08:00</v>
      </c>
      <c r="AJ150" s="223" t="str">
        <f>'Run Parameters'!B$3</f>
        <v>2018-08-13 18:00</v>
      </c>
      <c r="AK150" s="13" t="s">
        <v>396</v>
      </c>
      <c r="AL150" s="54" t="str">
        <f t="shared" si="152"/>
        <v>01159791</v>
      </c>
      <c r="AM150" s="13" t="str">
        <f t="shared" si="153"/>
        <v>0115791</v>
      </c>
      <c r="AN150" s="15"/>
      <c r="AO150" s="52"/>
      <c r="AP150" s="13">
        <v>1</v>
      </c>
      <c r="AQ150" s="53" t="s">
        <v>49</v>
      </c>
      <c r="AR150" s="15"/>
      <c r="AS150" s="13"/>
      <c r="AT150" s="7" t="s">
        <v>774</v>
      </c>
      <c r="AU150" s="7"/>
      <c r="AV150" s="13">
        <f t="shared" si="154"/>
        <v>791</v>
      </c>
      <c r="AW150" s="13" t="s">
        <v>775</v>
      </c>
      <c r="AX150" s="13" t="s">
        <v>420</v>
      </c>
      <c r="AY150" s="13" t="s">
        <v>421</v>
      </c>
      <c r="AZ150" s="15" t="s">
        <v>334</v>
      </c>
      <c r="BA150" s="14" t="s">
        <v>154</v>
      </c>
      <c r="BB150" s="21">
        <v>1</v>
      </c>
      <c r="BC150" s="20">
        <f t="shared" si="155"/>
        <v>791</v>
      </c>
      <c r="BD150" s="16" t="s">
        <v>776</v>
      </c>
      <c r="BE150" s="16" t="s">
        <v>391</v>
      </c>
      <c r="BF150" s="16" t="s">
        <v>391</v>
      </c>
      <c r="BG150" s="20" t="s">
        <v>773</v>
      </c>
      <c r="BH150" s="20" t="str">
        <f t="shared" si="156"/>
        <v>791_1</v>
      </c>
      <c r="BI150" s="21"/>
      <c r="BJ150" s="21" t="str">
        <f t="shared" si="157"/>
        <v>10000000791</v>
      </c>
      <c r="BK150" s="16" t="s">
        <v>51</v>
      </c>
      <c r="BL150" s="16" t="s">
        <v>54</v>
      </c>
      <c r="BM150" s="20" t="s">
        <v>769</v>
      </c>
      <c r="BN150" s="16" t="s">
        <v>51</v>
      </c>
      <c r="BO150" s="20" t="str">
        <f t="shared" si="158"/>
        <v>S05S791</v>
      </c>
      <c r="BP150" s="16" t="s">
        <v>777</v>
      </c>
      <c r="BQ150" s="16" t="s">
        <v>777</v>
      </c>
      <c r="BR150" s="20" t="s">
        <v>161</v>
      </c>
      <c r="BS150" s="16" t="s">
        <v>50</v>
      </c>
      <c r="BT150" s="16" t="s">
        <v>47</v>
      </c>
      <c r="BU150" s="16" t="s">
        <v>393</v>
      </c>
      <c r="BV150" s="16" t="s">
        <v>51</v>
      </c>
      <c r="BW150" s="16" t="s">
        <v>154</v>
      </c>
      <c r="BX150" s="16"/>
      <c r="BY150" s="16"/>
      <c r="BZ150" s="16" t="s">
        <v>157</v>
      </c>
      <c r="CA150" s="16" t="s">
        <v>269</v>
      </c>
      <c r="CB150" s="16" t="s">
        <v>412</v>
      </c>
      <c r="CC150" s="16" t="s">
        <v>771</v>
      </c>
      <c r="CD150" s="16" t="s">
        <v>392</v>
      </c>
      <c r="CE150" s="16" t="s">
        <v>396</v>
      </c>
      <c r="CF150" s="16" t="s">
        <v>398</v>
      </c>
      <c r="CG150" s="16" t="s">
        <v>778</v>
      </c>
      <c r="CH150" s="16" t="s">
        <v>159</v>
      </c>
      <c r="CI150" s="6">
        <v>1</v>
      </c>
      <c r="CJ150" s="6" t="str">
        <f t="shared" si="178"/>
        <v>GAS_ENQ_NO-791</v>
      </c>
      <c r="CK150" s="7" t="s">
        <v>779</v>
      </c>
      <c r="CL150" s="7" t="s">
        <v>391</v>
      </c>
      <c r="CM150" s="7" t="s">
        <v>391</v>
      </c>
      <c r="CN150" s="6" t="s">
        <v>780</v>
      </c>
      <c r="CO150" s="6" t="str">
        <f t="shared" si="179"/>
        <v>GAS_JOB_ID-791</v>
      </c>
      <c r="CP150" s="7"/>
      <c r="CQ150" s="6" t="str">
        <f t="shared" si="180"/>
        <v>10000791</v>
      </c>
      <c r="CR150" s="6" t="s">
        <v>154</v>
      </c>
      <c r="CS150" s="7" t="s">
        <v>51</v>
      </c>
      <c r="CT150" s="27" t="str">
        <f t="shared" si="181"/>
        <v>GMETER791</v>
      </c>
      <c r="CU150" s="6" t="s">
        <v>161</v>
      </c>
      <c r="CV150" s="7" t="s">
        <v>165</v>
      </c>
      <c r="CW150" s="7" t="s">
        <v>772</v>
      </c>
      <c r="CX150" s="7"/>
      <c r="CY150" s="7"/>
      <c r="CZ150" s="7" t="s">
        <v>394</v>
      </c>
      <c r="DA150" s="7" t="s">
        <v>395</v>
      </c>
      <c r="DB150" s="6" t="str">
        <f t="shared" si="163"/>
        <v>GAS_INST_ID-791</v>
      </c>
      <c r="DC150" s="7" t="s">
        <v>161</v>
      </c>
      <c r="DD150" s="7"/>
      <c r="DE150" s="7" t="s">
        <v>51</v>
      </c>
      <c r="DF150" s="7" t="s">
        <v>264</v>
      </c>
      <c r="DG150" s="7"/>
      <c r="DH150" s="7" t="s">
        <v>397</v>
      </c>
      <c r="DI150" s="7" t="s">
        <v>399</v>
      </c>
      <c r="DJ150" s="10" t="s">
        <v>778</v>
      </c>
      <c r="DK150" s="7" t="s">
        <v>140</v>
      </c>
      <c r="DL150" s="40"/>
      <c r="DM150" s="40"/>
      <c r="DN150" s="38" t="str">
        <f t="shared" si="164"/>
        <v>DS_Pass-791</v>
      </c>
      <c r="DO150" s="40"/>
      <c r="DP150" s="40"/>
      <c r="DQ150" s="40"/>
      <c r="DR150" s="41"/>
      <c r="DS150" s="41"/>
      <c r="DT150" s="40"/>
      <c r="DU150" s="40"/>
      <c r="DV150" s="40"/>
      <c r="DW150" s="41"/>
      <c r="DX150" s="40"/>
      <c r="DY150" s="40"/>
      <c r="DZ150" s="37" t="s">
        <v>777</v>
      </c>
      <c r="EA150" s="39"/>
      <c r="EB150" s="37"/>
      <c r="EC150" s="37"/>
      <c r="ED150" s="16"/>
      <c r="EE150" s="1"/>
      <c r="EF150" s="55"/>
    </row>
    <row r="151" spans="1:136">
      <c r="A151" s="219" t="s">
        <v>921</v>
      </c>
      <c r="B151" s="219" t="s">
        <v>868</v>
      </c>
      <c r="C151" s="219" t="s">
        <v>865</v>
      </c>
      <c r="D151" s="13">
        <f>'Run Parameters'!$B$1 + ROW()-1</f>
        <v>792</v>
      </c>
      <c r="E151" s="15" t="s">
        <v>47</v>
      </c>
      <c r="F151" s="18" t="s">
        <v>816</v>
      </c>
      <c r="G151" s="13" t="str">
        <f t="shared" ref="G151:G173" si="182">("Access Dtls-" &amp; D151)</f>
        <v>Access Dtls-792</v>
      </c>
      <c r="H151" s="15" t="s">
        <v>275</v>
      </c>
      <c r="I151" s="13" t="str">
        <f>("MR. Test_142_FLTY17_"&amp;D151&amp;"")</f>
        <v>MR. Test_142_FLTY17_792</v>
      </c>
      <c r="J151" s="18"/>
      <c r="K151" s="19" t="s">
        <v>425</v>
      </c>
      <c r="L151" s="13" t="str">
        <f t="shared" ref="L151:L173" si="183">("Cust. Ref-" &amp; D151)</f>
        <v>Cust. Ref-792</v>
      </c>
      <c r="M151" s="15" t="s">
        <v>48</v>
      </c>
      <c r="N151" s="15" t="s">
        <v>425</v>
      </c>
      <c r="O151" s="13"/>
      <c r="P151" s="13" t="str">
        <f t="shared" ref="P151:P173" si="184">("SN-" &amp; D151)</f>
        <v>SN-792</v>
      </c>
      <c r="Q151" s="13" t="str">
        <f t="shared" ref="Q151:Q173" si="185">("SI-" &amp; D151)</f>
        <v>SI-792</v>
      </c>
      <c r="R151" s="13" t="str">
        <f t="shared" ref="R151:R173" si="186">("SE-" &amp; D151)</f>
        <v>SE-792</v>
      </c>
      <c r="S151" s="54" t="str">
        <f t="shared" ref="S151:S173" si="187">("Prev_RA-" &amp; D151)</f>
        <v>Prev_RA-792</v>
      </c>
      <c r="T151" s="54" t="str">
        <f t="shared" ref="T151:T173" si="188">("Prev_Comms-" &amp; D151)</f>
        <v>Prev_Comms-792</v>
      </c>
      <c r="U151" s="17" t="s">
        <v>75</v>
      </c>
      <c r="V151" s="15" t="s">
        <v>401</v>
      </c>
      <c r="W151" s="17" t="s">
        <v>75</v>
      </c>
      <c r="X151" s="15" t="s">
        <v>396</v>
      </c>
      <c r="Y151" s="13" t="str">
        <f t="shared" ref="Y151:Y173" si="189">("Forward Add-" &amp; D151)</f>
        <v>Forward Add-792</v>
      </c>
      <c r="Z151" s="15" t="s">
        <v>401</v>
      </c>
      <c r="AA151" s="136" t="str">
        <f>'Run Parameters'!$B$2</f>
        <v>2018-08-13 08:00</v>
      </c>
      <c r="AB151" s="223" t="str">
        <f>'Run Parameters'!B$3</f>
        <v>2018-08-13 18:00</v>
      </c>
      <c r="AC151" s="26">
        <f>('Run Parameters'!$B$2) - 7</f>
        <v>43318.333333333336</v>
      </c>
      <c r="AD151" s="17" t="s">
        <v>75</v>
      </c>
      <c r="AE151" s="18" t="str">
        <f t="shared" ref="AE151:AE173" si="190">("LAST_METER-" &amp; D151)</f>
        <v>LAST_METER-792</v>
      </c>
      <c r="AF151" s="136" t="str">
        <f>'Run Parameters'!$B$2</f>
        <v>2018-08-13 08:00</v>
      </c>
      <c r="AG151" s="13" t="str">
        <f>'Run Parameters'!B$4</f>
        <v>AUTOTEST2</v>
      </c>
      <c r="AH151" s="54" t="str">
        <f t="shared" ref="AH151:AH173" si="191">("Site_Contact_" &amp; D151)</f>
        <v>Site_Contact_792</v>
      </c>
      <c r="AI151" s="136" t="str">
        <f>'Run Parameters'!B$2</f>
        <v>2018-08-13 08:00</v>
      </c>
      <c r="AJ151" s="223" t="str">
        <f>'Run Parameters'!B$3</f>
        <v>2018-08-13 18:00</v>
      </c>
      <c r="AK151" s="13" t="s">
        <v>396</v>
      </c>
      <c r="AL151" s="54" t="str">
        <f t="shared" ref="AL151:AL173" si="192">"01159" &amp; D151</f>
        <v>01159792</v>
      </c>
      <c r="AM151" s="13" t="str">
        <f t="shared" ref="AM151:AM173" si="193">("0115" &amp; D151)</f>
        <v>0115792</v>
      </c>
      <c r="AN151" s="15"/>
      <c r="AO151" s="52"/>
      <c r="AP151" s="13">
        <v>1</v>
      </c>
      <c r="AQ151" s="53" t="s">
        <v>49</v>
      </c>
      <c r="AR151" s="15"/>
      <c r="AS151" s="13"/>
      <c r="AT151" s="7" t="s">
        <v>774</v>
      </c>
      <c r="AU151" s="7"/>
      <c r="AV151" s="13">
        <f t="shared" ref="AV151:AV173" si="194">D151</f>
        <v>792</v>
      </c>
      <c r="AW151" s="13" t="s">
        <v>775</v>
      </c>
      <c r="AX151" s="13" t="s">
        <v>420</v>
      </c>
      <c r="AY151" s="13" t="s">
        <v>421</v>
      </c>
      <c r="AZ151" s="15" t="s">
        <v>334</v>
      </c>
      <c r="BA151" s="14" t="s">
        <v>154</v>
      </c>
      <c r="BB151" s="21">
        <v>1</v>
      </c>
      <c r="BC151" s="20">
        <f t="shared" ref="BC151:BC173" si="195">D151</f>
        <v>792</v>
      </c>
      <c r="BD151" s="16" t="s">
        <v>776</v>
      </c>
      <c r="BE151" s="16" t="s">
        <v>391</v>
      </c>
      <c r="BF151" s="16" t="s">
        <v>391</v>
      </c>
      <c r="BG151" s="20" t="s">
        <v>773</v>
      </c>
      <c r="BH151" s="20" t="str">
        <f t="shared" ref="BH151:BH173" si="196">BC151&amp;"_"&amp;BB151</f>
        <v>792_1</v>
      </c>
      <c r="BI151" s="21"/>
      <c r="BJ151" s="21" t="str">
        <f t="shared" ref="BJ151:BJ173" si="197">"10000000" &amp; D151</f>
        <v>10000000792</v>
      </c>
      <c r="BK151" s="16" t="s">
        <v>51</v>
      </c>
      <c r="BL151" s="16" t="s">
        <v>54</v>
      </c>
      <c r="BM151" s="20" t="s">
        <v>769</v>
      </c>
      <c r="BN151" s="16" t="s">
        <v>51</v>
      </c>
      <c r="BO151" s="20" t="str">
        <f t="shared" ref="BO151:BO173" si="198">"S05S" &amp; D151</f>
        <v>S05S792</v>
      </c>
      <c r="BP151" s="16" t="s">
        <v>777</v>
      </c>
      <c r="BQ151" s="16" t="s">
        <v>777</v>
      </c>
      <c r="BR151" s="20" t="s">
        <v>161</v>
      </c>
      <c r="BS151" s="16" t="s">
        <v>50</v>
      </c>
      <c r="BT151" s="16" t="s">
        <v>47</v>
      </c>
      <c r="BU151" s="16" t="s">
        <v>393</v>
      </c>
      <c r="BV151" s="16" t="s">
        <v>51</v>
      </c>
      <c r="BW151" s="16" t="s">
        <v>154</v>
      </c>
      <c r="BX151" s="16"/>
      <c r="BY151" s="16"/>
      <c r="BZ151" s="16" t="s">
        <v>157</v>
      </c>
      <c r="CA151" s="16" t="s">
        <v>269</v>
      </c>
      <c r="CB151" s="16" t="s">
        <v>412</v>
      </c>
      <c r="CC151" s="16" t="s">
        <v>771</v>
      </c>
      <c r="CD151" s="16" t="s">
        <v>392</v>
      </c>
      <c r="CE151" s="16" t="s">
        <v>396</v>
      </c>
      <c r="CF151" s="16" t="s">
        <v>398</v>
      </c>
      <c r="CG151" s="16" t="s">
        <v>778</v>
      </c>
      <c r="CH151" s="16" t="s">
        <v>159</v>
      </c>
      <c r="CI151" s="6">
        <v>1</v>
      </c>
      <c r="CJ151" s="6" t="str">
        <f t="shared" ref="CJ151:CJ173" si="199">("GAS_ENQ_NO-" &amp; D151)</f>
        <v>GAS_ENQ_NO-792</v>
      </c>
      <c r="CK151" s="7" t="s">
        <v>779</v>
      </c>
      <c r="CL151" s="7" t="s">
        <v>391</v>
      </c>
      <c r="CM151" s="7" t="s">
        <v>391</v>
      </c>
      <c r="CN151" s="6" t="s">
        <v>780</v>
      </c>
      <c r="CO151" s="6" t="str">
        <f t="shared" ref="CO151:CO173" si="200">("GAS_JOB_ID-" &amp; D151)</f>
        <v>GAS_JOB_ID-792</v>
      </c>
      <c r="CP151" s="7"/>
      <c r="CQ151" s="6" t="str">
        <f t="shared" ref="CQ151:CQ173" si="201">"10000" &amp; D151</f>
        <v>10000792</v>
      </c>
      <c r="CR151" s="6" t="s">
        <v>154</v>
      </c>
      <c r="CS151" s="7" t="s">
        <v>51</v>
      </c>
      <c r="CT151" s="27" t="str">
        <f t="shared" ref="CT151:CT173" si="202">"GMETER" &amp; D151</f>
        <v>GMETER792</v>
      </c>
      <c r="CU151" s="6" t="s">
        <v>161</v>
      </c>
      <c r="CV151" s="7" t="s">
        <v>165</v>
      </c>
      <c r="CW151" s="7" t="s">
        <v>772</v>
      </c>
      <c r="CX151" s="7"/>
      <c r="CY151" s="7"/>
      <c r="CZ151" s="7" t="s">
        <v>394</v>
      </c>
      <c r="DA151" s="7" t="s">
        <v>395</v>
      </c>
      <c r="DB151" s="6" t="str">
        <f t="shared" si="163"/>
        <v>GAS_INST_ID-792</v>
      </c>
      <c r="DC151" s="7" t="s">
        <v>161</v>
      </c>
      <c r="DD151" s="7"/>
      <c r="DE151" s="7" t="s">
        <v>51</v>
      </c>
      <c r="DF151" s="7" t="s">
        <v>264</v>
      </c>
      <c r="DG151" s="7"/>
      <c r="DH151" s="7" t="s">
        <v>397</v>
      </c>
      <c r="DI151" s="7" t="s">
        <v>399</v>
      </c>
      <c r="DJ151" s="10" t="s">
        <v>778</v>
      </c>
      <c r="DK151" s="7" t="s">
        <v>140</v>
      </c>
      <c r="DL151" s="40"/>
      <c r="DM151" s="40"/>
      <c r="DN151" s="38" t="str">
        <f t="shared" si="164"/>
        <v>DS_Pass-792</v>
      </c>
      <c r="DO151" s="40"/>
      <c r="DP151" s="40"/>
      <c r="DQ151" s="40"/>
      <c r="DR151" s="41"/>
      <c r="DS151" s="41"/>
      <c r="DT151" s="40"/>
      <c r="DU151" s="40"/>
      <c r="DV151" s="40"/>
      <c r="DW151" s="41"/>
      <c r="DX151" s="40"/>
      <c r="DY151" s="40"/>
      <c r="DZ151" s="37" t="s">
        <v>777</v>
      </c>
      <c r="EA151" s="39"/>
      <c r="EB151" s="37"/>
      <c r="EC151" s="37"/>
      <c r="ED151" s="16"/>
      <c r="EE151" s="1"/>
      <c r="EF151" s="55"/>
    </row>
    <row r="152" spans="1:136">
      <c r="A152" s="219" t="s">
        <v>922</v>
      </c>
      <c r="B152" s="219" t="s">
        <v>892</v>
      </c>
      <c r="C152" s="219" t="s">
        <v>865</v>
      </c>
      <c r="D152" s="13">
        <f>'Run Parameters'!$B$1 + ROW()-1</f>
        <v>793</v>
      </c>
      <c r="E152" s="15" t="s">
        <v>47</v>
      </c>
      <c r="F152" s="18" t="s">
        <v>816</v>
      </c>
      <c r="G152" s="13" t="str">
        <f t="shared" si="182"/>
        <v>Access Dtls-793</v>
      </c>
      <c r="H152" s="15" t="s">
        <v>275</v>
      </c>
      <c r="I152" s="13" t="str">
        <f>("MR. Test_143_FLTY17_"&amp;D152&amp;"")</f>
        <v>MR. Test_143_FLTY17_793</v>
      </c>
      <c r="J152" s="18"/>
      <c r="K152" s="19" t="s">
        <v>425</v>
      </c>
      <c r="L152" s="13" t="str">
        <f t="shared" si="183"/>
        <v>Cust. Ref-793</v>
      </c>
      <c r="M152" s="15" t="s">
        <v>48</v>
      </c>
      <c r="N152" s="15" t="s">
        <v>425</v>
      </c>
      <c r="O152" s="13"/>
      <c r="P152" s="13" t="str">
        <f t="shared" si="184"/>
        <v>SN-793</v>
      </c>
      <c r="Q152" s="13" t="str">
        <f t="shared" si="185"/>
        <v>SI-793</v>
      </c>
      <c r="R152" s="13" t="str">
        <f t="shared" si="186"/>
        <v>SE-793</v>
      </c>
      <c r="S152" s="54" t="str">
        <f t="shared" si="187"/>
        <v>Prev_RA-793</v>
      </c>
      <c r="T152" s="54" t="str">
        <f t="shared" si="188"/>
        <v>Prev_Comms-793</v>
      </c>
      <c r="U152" s="17" t="s">
        <v>75</v>
      </c>
      <c r="V152" s="15" t="s">
        <v>401</v>
      </c>
      <c r="W152" s="17" t="s">
        <v>75</v>
      </c>
      <c r="X152" s="15" t="s">
        <v>396</v>
      </c>
      <c r="Y152" s="13" t="str">
        <f t="shared" si="189"/>
        <v>Forward Add-793</v>
      </c>
      <c r="Z152" s="15" t="s">
        <v>401</v>
      </c>
      <c r="AA152" s="136" t="str">
        <f>'Run Parameters'!$B$2</f>
        <v>2018-08-13 08:00</v>
      </c>
      <c r="AB152" s="223" t="str">
        <f>'Run Parameters'!B$3</f>
        <v>2018-08-13 18:00</v>
      </c>
      <c r="AC152" s="26">
        <f>('Run Parameters'!$B$2) - 7</f>
        <v>43318.333333333336</v>
      </c>
      <c r="AD152" s="17" t="s">
        <v>75</v>
      </c>
      <c r="AE152" s="18" t="str">
        <f t="shared" si="190"/>
        <v>LAST_METER-793</v>
      </c>
      <c r="AF152" s="136" t="str">
        <f>'Run Parameters'!$B$2</f>
        <v>2018-08-13 08:00</v>
      </c>
      <c r="AG152" s="13" t="str">
        <f>'Run Parameters'!B$4</f>
        <v>AUTOTEST2</v>
      </c>
      <c r="AH152" s="54" t="str">
        <f t="shared" si="191"/>
        <v>Site_Contact_793</v>
      </c>
      <c r="AI152" s="136" t="str">
        <f>'Run Parameters'!B$2</f>
        <v>2018-08-13 08:00</v>
      </c>
      <c r="AJ152" s="223" t="str">
        <f>'Run Parameters'!B$3</f>
        <v>2018-08-13 18:00</v>
      </c>
      <c r="AK152" s="13" t="s">
        <v>396</v>
      </c>
      <c r="AL152" s="54" t="str">
        <f t="shared" si="192"/>
        <v>01159793</v>
      </c>
      <c r="AM152" s="13" t="str">
        <f t="shared" si="193"/>
        <v>0115793</v>
      </c>
      <c r="AN152" s="15"/>
      <c r="AO152" s="52"/>
      <c r="AP152" s="13">
        <v>1</v>
      </c>
      <c r="AQ152" s="53" t="s">
        <v>49</v>
      </c>
      <c r="AR152" s="15"/>
      <c r="AS152" s="13"/>
      <c r="AT152" s="7" t="s">
        <v>774</v>
      </c>
      <c r="AU152" s="7"/>
      <c r="AV152" s="13">
        <f t="shared" si="194"/>
        <v>793</v>
      </c>
      <c r="AW152" s="13" t="s">
        <v>775</v>
      </c>
      <c r="AX152" s="13" t="s">
        <v>420</v>
      </c>
      <c r="AY152" s="13" t="s">
        <v>421</v>
      </c>
      <c r="AZ152" s="15" t="s">
        <v>334</v>
      </c>
      <c r="BA152" s="14" t="s">
        <v>154</v>
      </c>
      <c r="BB152" s="21">
        <v>1</v>
      </c>
      <c r="BC152" s="20">
        <f t="shared" si="195"/>
        <v>793</v>
      </c>
      <c r="BD152" s="16" t="s">
        <v>776</v>
      </c>
      <c r="BE152" s="16" t="s">
        <v>391</v>
      </c>
      <c r="BF152" s="16" t="s">
        <v>391</v>
      </c>
      <c r="BG152" s="20" t="s">
        <v>773</v>
      </c>
      <c r="BH152" s="20" t="str">
        <f t="shared" si="196"/>
        <v>793_1</v>
      </c>
      <c r="BI152" s="21"/>
      <c r="BJ152" s="21" t="str">
        <f t="shared" si="197"/>
        <v>10000000793</v>
      </c>
      <c r="BK152" s="16" t="s">
        <v>51</v>
      </c>
      <c r="BL152" s="16" t="s">
        <v>54</v>
      </c>
      <c r="BM152" s="20" t="s">
        <v>769</v>
      </c>
      <c r="BN152" s="16" t="s">
        <v>51</v>
      </c>
      <c r="BO152" s="20" t="str">
        <f t="shared" si="198"/>
        <v>S05S793</v>
      </c>
      <c r="BP152" s="16" t="s">
        <v>777</v>
      </c>
      <c r="BQ152" s="16" t="s">
        <v>777</v>
      </c>
      <c r="BR152" s="20" t="s">
        <v>161</v>
      </c>
      <c r="BS152" s="16" t="s">
        <v>50</v>
      </c>
      <c r="BT152" s="16" t="s">
        <v>47</v>
      </c>
      <c r="BU152" s="16" t="s">
        <v>393</v>
      </c>
      <c r="BV152" s="16" t="s">
        <v>51</v>
      </c>
      <c r="BW152" s="16" t="s">
        <v>154</v>
      </c>
      <c r="BX152" s="16"/>
      <c r="BY152" s="16"/>
      <c r="BZ152" s="16" t="s">
        <v>157</v>
      </c>
      <c r="CA152" s="16" t="s">
        <v>269</v>
      </c>
      <c r="CB152" s="16" t="s">
        <v>412</v>
      </c>
      <c r="CC152" s="16" t="s">
        <v>771</v>
      </c>
      <c r="CD152" s="16" t="s">
        <v>392</v>
      </c>
      <c r="CE152" s="16" t="s">
        <v>396</v>
      </c>
      <c r="CF152" s="16" t="s">
        <v>398</v>
      </c>
      <c r="CG152" s="16" t="s">
        <v>778</v>
      </c>
      <c r="CH152" s="16" t="s">
        <v>159</v>
      </c>
      <c r="CI152" s="6">
        <v>1</v>
      </c>
      <c r="CJ152" s="6" t="str">
        <f t="shared" si="199"/>
        <v>GAS_ENQ_NO-793</v>
      </c>
      <c r="CK152" s="7" t="s">
        <v>779</v>
      </c>
      <c r="CL152" s="7" t="s">
        <v>391</v>
      </c>
      <c r="CM152" s="7" t="s">
        <v>391</v>
      </c>
      <c r="CN152" s="6" t="s">
        <v>780</v>
      </c>
      <c r="CO152" s="6" t="str">
        <f t="shared" si="200"/>
        <v>GAS_JOB_ID-793</v>
      </c>
      <c r="CP152" s="7"/>
      <c r="CQ152" s="6" t="str">
        <f t="shared" si="201"/>
        <v>10000793</v>
      </c>
      <c r="CR152" s="6" t="s">
        <v>154</v>
      </c>
      <c r="CS152" s="7" t="s">
        <v>51</v>
      </c>
      <c r="CT152" s="27" t="str">
        <f t="shared" si="202"/>
        <v>GMETER793</v>
      </c>
      <c r="CU152" s="6" t="s">
        <v>161</v>
      </c>
      <c r="CV152" s="7" t="s">
        <v>165</v>
      </c>
      <c r="CW152" s="7" t="s">
        <v>772</v>
      </c>
      <c r="CX152" s="7"/>
      <c r="CY152" s="7"/>
      <c r="CZ152" s="7" t="s">
        <v>394</v>
      </c>
      <c r="DA152" s="7" t="s">
        <v>395</v>
      </c>
      <c r="DB152" s="6" t="str">
        <f t="shared" si="163"/>
        <v>GAS_INST_ID-793</v>
      </c>
      <c r="DC152" s="7" t="s">
        <v>161</v>
      </c>
      <c r="DD152" s="7"/>
      <c r="DE152" s="7" t="s">
        <v>51</v>
      </c>
      <c r="DF152" s="7" t="s">
        <v>264</v>
      </c>
      <c r="DG152" s="7"/>
      <c r="DH152" s="7" t="s">
        <v>397</v>
      </c>
      <c r="DI152" s="7" t="s">
        <v>399</v>
      </c>
      <c r="DJ152" s="10" t="s">
        <v>778</v>
      </c>
      <c r="DK152" s="7" t="s">
        <v>140</v>
      </c>
      <c r="DL152" s="40"/>
      <c r="DM152" s="40"/>
      <c r="DN152" s="38" t="str">
        <f t="shared" si="164"/>
        <v>DS_Pass-793</v>
      </c>
      <c r="DO152" s="40"/>
      <c r="DP152" s="40"/>
      <c r="DQ152" s="40"/>
      <c r="DR152" s="41"/>
      <c r="DS152" s="41"/>
      <c r="DT152" s="40"/>
      <c r="DU152" s="40"/>
      <c r="DV152" s="40"/>
      <c r="DW152" s="41"/>
      <c r="DX152" s="40"/>
      <c r="DY152" s="40"/>
      <c r="DZ152" s="37" t="s">
        <v>777</v>
      </c>
      <c r="EA152" s="39"/>
      <c r="EB152" s="37"/>
      <c r="EC152" s="37"/>
      <c r="ED152" s="16"/>
      <c r="EE152" s="1"/>
      <c r="EF152" s="55"/>
    </row>
    <row r="153" spans="1:136">
      <c r="A153" s="219" t="s">
        <v>923</v>
      </c>
      <c r="B153" s="219" t="s">
        <v>868</v>
      </c>
      <c r="C153" s="219" t="s">
        <v>865</v>
      </c>
      <c r="D153" s="13">
        <f>'Run Parameters'!$B$1 + ROW()-1</f>
        <v>794</v>
      </c>
      <c r="E153" s="15" t="s">
        <v>47</v>
      </c>
      <c r="F153" s="18" t="s">
        <v>816</v>
      </c>
      <c r="G153" s="13" t="str">
        <f t="shared" si="182"/>
        <v>Access Dtls-794</v>
      </c>
      <c r="H153" s="15" t="s">
        <v>275</v>
      </c>
      <c r="I153" s="13" t="str">
        <f>("MR. Test_144_FLTY17_"&amp;D153&amp;"")</f>
        <v>MR. Test_144_FLTY17_794</v>
      </c>
      <c r="J153" s="18"/>
      <c r="K153" s="19" t="s">
        <v>425</v>
      </c>
      <c r="L153" s="13" t="str">
        <f t="shared" si="183"/>
        <v>Cust. Ref-794</v>
      </c>
      <c r="M153" s="15" t="s">
        <v>48</v>
      </c>
      <c r="N153" s="15" t="s">
        <v>425</v>
      </c>
      <c r="O153" s="13"/>
      <c r="P153" s="13" t="str">
        <f t="shared" si="184"/>
        <v>SN-794</v>
      </c>
      <c r="Q153" s="13" t="str">
        <f t="shared" si="185"/>
        <v>SI-794</v>
      </c>
      <c r="R153" s="13" t="str">
        <f t="shared" si="186"/>
        <v>SE-794</v>
      </c>
      <c r="S153" s="54" t="str">
        <f t="shared" si="187"/>
        <v>Prev_RA-794</v>
      </c>
      <c r="T153" s="54" t="str">
        <f t="shared" si="188"/>
        <v>Prev_Comms-794</v>
      </c>
      <c r="U153" s="17" t="s">
        <v>75</v>
      </c>
      <c r="V153" s="15" t="s">
        <v>401</v>
      </c>
      <c r="W153" s="17" t="s">
        <v>75</v>
      </c>
      <c r="X153" s="15" t="s">
        <v>396</v>
      </c>
      <c r="Y153" s="13" t="str">
        <f t="shared" si="189"/>
        <v>Forward Add-794</v>
      </c>
      <c r="Z153" s="15" t="s">
        <v>401</v>
      </c>
      <c r="AA153" s="136" t="str">
        <f>'Run Parameters'!$B$2</f>
        <v>2018-08-13 08:00</v>
      </c>
      <c r="AB153" s="223" t="str">
        <f>'Run Parameters'!B$3</f>
        <v>2018-08-13 18:00</v>
      </c>
      <c r="AC153" s="26">
        <f>('Run Parameters'!$B$2) - 7</f>
        <v>43318.333333333336</v>
      </c>
      <c r="AD153" s="17" t="s">
        <v>75</v>
      </c>
      <c r="AE153" s="18" t="str">
        <f t="shared" si="190"/>
        <v>LAST_METER-794</v>
      </c>
      <c r="AF153" s="136" t="str">
        <f>'Run Parameters'!$B$2</f>
        <v>2018-08-13 08:00</v>
      </c>
      <c r="AG153" s="13" t="str">
        <f>'Run Parameters'!B$4</f>
        <v>AUTOTEST2</v>
      </c>
      <c r="AH153" s="54" t="str">
        <f t="shared" si="191"/>
        <v>Site_Contact_794</v>
      </c>
      <c r="AI153" s="136" t="str">
        <f>'Run Parameters'!B$2</f>
        <v>2018-08-13 08:00</v>
      </c>
      <c r="AJ153" s="223" t="str">
        <f>'Run Parameters'!B$3</f>
        <v>2018-08-13 18:00</v>
      </c>
      <c r="AK153" s="13" t="s">
        <v>396</v>
      </c>
      <c r="AL153" s="54" t="str">
        <f t="shared" si="192"/>
        <v>01159794</v>
      </c>
      <c r="AM153" s="13" t="str">
        <f t="shared" si="193"/>
        <v>0115794</v>
      </c>
      <c r="AN153" s="15"/>
      <c r="AO153" s="52"/>
      <c r="AP153" s="13">
        <v>1</v>
      </c>
      <c r="AQ153" s="53" t="s">
        <v>49</v>
      </c>
      <c r="AR153" s="15"/>
      <c r="AS153" s="13"/>
      <c r="AT153" s="7" t="s">
        <v>774</v>
      </c>
      <c r="AU153" s="7"/>
      <c r="AV153" s="13">
        <f t="shared" si="194"/>
        <v>794</v>
      </c>
      <c r="AW153" s="13" t="s">
        <v>775</v>
      </c>
      <c r="AX153" s="13" t="s">
        <v>420</v>
      </c>
      <c r="AY153" s="13" t="s">
        <v>421</v>
      </c>
      <c r="AZ153" s="15" t="s">
        <v>334</v>
      </c>
      <c r="BA153" s="14" t="s">
        <v>154</v>
      </c>
      <c r="BB153" s="21">
        <v>1</v>
      </c>
      <c r="BC153" s="20">
        <f t="shared" si="195"/>
        <v>794</v>
      </c>
      <c r="BD153" s="16" t="s">
        <v>776</v>
      </c>
      <c r="BE153" s="16" t="s">
        <v>391</v>
      </c>
      <c r="BF153" s="16" t="s">
        <v>391</v>
      </c>
      <c r="BG153" s="20" t="s">
        <v>773</v>
      </c>
      <c r="BH153" s="20" t="str">
        <f t="shared" si="196"/>
        <v>794_1</v>
      </c>
      <c r="BI153" s="21"/>
      <c r="BJ153" s="21" t="str">
        <f t="shared" si="197"/>
        <v>10000000794</v>
      </c>
      <c r="BK153" s="16" t="s">
        <v>51</v>
      </c>
      <c r="BL153" s="16" t="s">
        <v>54</v>
      </c>
      <c r="BM153" s="20" t="s">
        <v>769</v>
      </c>
      <c r="BN153" s="16" t="s">
        <v>51</v>
      </c>
      <c r="BO153" s="20" t="str">
        <f t="shared" si="198"/>
        <v>S05S794</v>
      </c>
      <c r="BP153" s="16" t="s">
        <v>777</v>
      </c>
      <c r="BQ153" s="16" t="s">
        <v>777</v>
      </c>
      <c r="BR153" s="20" t="s">
        <v>161</v>
      </c>
      <c r="BS153" s="16" t="s">
        <v>50</v>
      </c>
      <c r="BT153" s="16" t="s">
        <v>47</v>
      </c>
      <c r="BU153" s="16" t="s">
        <v>393</v>
      </c>
      <c r="BV153" s="16" t="s">
        <v>51</v>
      </c>
      <c r="BW153" s="16" t="s">
        <v>154</v>
      </c>
      <c r="BX153" s="16"/>
      <c r="BY153" s="16"/>
      <c r="BZ153" s="16" t="s">
        <v>157</v>
      </c>
      <c r="CA153" s="16" t="s">
        <v>269</v>
      </c>
      <c r="CB153" s="16" t="s">
        <v>412</v>
      </c>
      <c r="CC153" s="16" t="s">
        <v>771</v>
      </c>
      <c r="CD153" s="16" t="s">
        <v>392</v>
      </c>
      <c r="CE153" s="16" t="s">
        <v>396</v>
      </c>
      <c r="CF153" s="16" t="s">
        <v>398</v>
      </c>
      <c r="CG153" s="16" t="s">
        <v>778</v>
      </c>
      <c r="CH153" s="16" t="s">
        <v>159</v>
      </c>
      <c r="CI153" s="6">
        <v>1</v>
      </c>
      <c r="CJ153" s="6" t="str">
        <f t="shared" si="199"/>
        <v>GAS_ENQ_NO-794</v>
      </c>
      <c r="CK153" s="7" t="s">
        <v>779</v>
      </c>
      <c r="CL153" s="7" t="s">
        <v>391</v>
      </c>
      <c r="CM153" s="7" t="s">
        <v>391</v>
      </c>
      <c r="CN153" s="6" t="s">
        <v>780</v>
      </c>
      <c r="CO153" s="6" t="str">
        <f t="shared" si="200"/>
        <v>GAS_JOB_ID-794</v>
      </c>
      <c r="CP153" s="7"/>
      <c r="CQ153" s="6" t="str">
        <f t="shared" si="201"/>
        <v>10000794</v>
      </c>
      <c r="CR153" s="6" t="s">
        <v>154</v>
      </c>
      <c r="CS153" s="7" t="s">
        <v>51</v>
      </c>
      <c r="CT153" s="27" t="str">
        <f t="shared" si="202"/>
        <v>GMETER794</v>
      </c>
      <c r="CU153" s="6" t="s">
        <v>161</v>
      </c>
      <c r="CV153" s="7" t="s">
        <v>165</v>
      </c>
      <c r="CW153" s="7" t="s">
        <v>772</v>
      </c>
      <c r="CX153" s="7"/>
      <c r="CY153" s="7"/>
      <c r="CZ153" s="7" t="s">
        <v>394</v>
      </c>
      <c r="DA153" s="7" t="s">
        <v>395</v>
      </c>
      <c r="DB153" s="6" t="str">
        <f t="shared" si="163"/>
        <v>GAS_INST_ID-794</v>
      </c>
      <c r="DC153" s="7" t="s">
        <v>161</v>
      </c>
      <c r="DD153" s="7"/>
      <c r="DE153" s="7" t="s">
        <v>51</v>
      </c>
      <c r="DF153" s="7" t="s">
        <v>264</v>
      </c>
      <c r="DG153" s="7"/>
      <c r="DH153" s="7" t="s">
        <v>397</v>
      </c>
      <c r="DI153" s="7" t="s">
        <v>399</v>
      </c>
      <c r="DJ153" s="10" t="s">
        <v>778</v>
      </c>
      <c r="DK153" s="7" t="s">
        <v>140</v>
      </c>
      <c r="DL153" s="40"/>
      <c r="DM153" s="40"/>
      <c r="DN153" s="38" t="str">
        <f t="shared" si="164"/>
        <v>DS_Pass-794</v>
      </c>
      <c r="DO153" s="40"/>
      <c r="DP153" s="40"/>
      <c r="DQ153" s="40"/>
      <c r="DR153" s="41"/>
      <c r="DS153" s="41"/>
      <c r="DT153" s="40"/>
      <c r="DU153" s="40"/>
      <c r="DV153" s="40"/>
      <c r="DW153" s="41"/>
      <c r="DX153" s="40"/>
      <c r="DY153" s="40"/>
      <c r="DZ153" s="37" t="s">
        <v>777</v>
      </c>
      <c r="EA153" s="39"/>
      <c r="EB153" s="37"/>
      <c r="EC153" s="37"/>
      <c r="ED153" s="16"/>
      <c r="EE153" s="1"/>
      <c r="EF153" s="55"/>
    </row>
    <row r="154" spans="1:136">
      <c r="A154" s="219" t="s">
        <v>924</v>
      </c>
      <c r="B154" s="219" t="s">
        <v>892</v>
      </c>
      <c r="C154" s="219" t="s">
        <v>865</v>
      </c>
      <c r="D154" s="13">
        <f>'Run Parameters'!$B$1 + ROW()-1</f>
        <v>795</v>
      </c>
      <c r="E154" s="15" t="s">
        <v>47</v>
      </c>
      <c r="F154" s="18" t="s">
        <v>816</v>
      </c>
      <c r="G154" s="13" t="str">
        <f t="shared" si="182"/>
        <v>Access Dtls-795</v>
      </c>
      <c r="H154" s="15" t="s">
        <v>275</v>
      </c>
      <c r="I154" s="13" t="str">
        <f>("MR. Test_145_FLTY17_"&amp;D154&amp;"")</f>
        <v>MR. Test_145_FLTY17_795</v>
      </c>
      <c r="J154" s="18"/>
      <c r="K154" s="19" t="s">
        <v>425</v>
      </c>
      <c r="L154" s="13" t="str">
        <f t="shared" si="183"/>
        <v>Cust. Ref-795</v>
      </c>
      <c r="M154" s="15" t="s">
        <v>48</v>
      </c>
      <c r="N154" s="15" t="s">
        <v>425</v>
      </c>
      <c r="O154" s="13"/>
      <c r="P154" s="13" t="str">
        <f t="shared" si="184"/>
        <v>SN-795</v>
      </c>
      <c r="Q154" s="13" t="str">
        <f t="shared" si="185"/>
        <v>SI-795</v>
      </c>
      <c r="R154" s="13" t="str">
        <f t="shared" si="186"/>
        <v>SE-795</v>
      </c>
      <c r="S154" s="54" t="str">
        <f t="shared" si="187"/>
        <v>Prev_RA-795</v>
      </c>
      <c r="T154" s="54" t="str">
        <f t="shared" si="188"/>
        <v>Prev_Comms-795</v>
      </c>
      <c r="U154" s="17" t="s">
        <v>75</v>
      </c>
      <c r="V154" s="15" t="s">
        <v>401</v>
      </c>
      <c r="W154" s="17" t="s">
        <v>75</v>
      </c>
      <c r="X154" s="15" t="s">
        <v>396</v>
      </c>
      <c r="Y154" s="13" t="str">
        <f t="shared" si="189"/>
        <v>Forward Add-795</v>
      </c>
      <c r="Z154" s="15" t="s">
        <v>401</v>
      </c>
      <c r="AA154" s="136" t="str">
        <f>'Run Parameters'!$B$2</f>
        <v>2018-08-13 08:00</v>
      </c>
      <c r="AB154" s="223" t="str">
        <f>'Run Parameters'!B$3</f>
        <v>2018-08-13 18:00</v>
      </c>
      <c r="AC154" s="26">
        <f>('Run Parameters'!$B$2) - 7</f>
        <v>43318.333333333336</v>
      </c>
      <c r="AD154" s="17" t="s">
        <v>75</v>
      </c>
      <c r="AE154" s="18" t="str">
        <f t="shared" si="190"/>
        <v>LAST_METER-795</v>
      </c>
      <c r="AF154" s="136" t="str">
        <f>'Run Parameters'!$B$2</f>
        <v>2018-08-13 08:00</v>
      </c>
      <c r="AG154" s="13" t="str">
        <f>'Run Parameters'!B$4</f>
        <v>AUTOTEST2</v>
      </c>
      <c r="AH154" s="54" t="str">
        <f t="shared" si="191"/>
        <v>Site_Contact_795</v>
      </c>
      <c r="AI154" s="136" t="str">
        <f>'Run Parameters'!B$2</f>
        <v>2018-08-13 08:00</v>
      </c>
      <c r="AJ154" s="223" t="str">
        <f>'Run Parameters'!B$3</f>
        <v>2018-08-13 18:00</v>
      </c>
      <c r="AK154" s="13" t="s">
        <v>396</v>
      </c>
      <c r="AL154" s="54" t="str">
        <f t="shared" si="192"/>
        <v>01159795</v>
      </c>
      <c r="AM154" s="13" t="str">
        <f t="shared" si="193"/>
        <v>0115795</v>
      </c>
      <c r="AN154" s="15"/>
      <c r="AO154" s="52"/>
      <c r="AP154" s="13">
        <v>1</v>
      </c>
      <c r="AQ154" s="53" t="s">
        <v>49</v>
      </c>
      <c r="AR154" s="15"/>
      <c r="AS154" s="13"/>
      <c r="AT154" s="7" t="s">
        <v>774</v>
      </c>
      <c r="AU154" s="7"/>
      <c r="AV154" s="13">
        <f t="shared" si="194"/>
        <v>795</v>
      </c>
      <c r="AW154" s="13" t="s">
        <v>775</v>
      </c>
      <c r="AX154" s="13" t="s">
        <v>420</v>
      </c>
      <c r="AY154" s="13" t="s">
        <v>421</v>
      </c>
      <c r="AZ154" s="15" t="s">
        <v>334</v>
      </c>
      <c r="BA154" s="14" t="s">
        <v>154</v>
      </c>
      <c r="BB154" s="21">
        <v>1</v>
      </c>
      <c r="BC154" s="20">
        <f t="shared" si="195"/>
        <v>795</v>
      </c>
      <c r="BD154" s="16" t="s">
        <v>776</v>
      </c>
      <c r="BE154" s="16" t="s">
        <v>391</v>
      </c>
      <c r="BF154" s="16" t="s">
        <v>391</v>
      </c>
      <c r="BG154" s="20" t="s">
        <v>773</v>
      </c>
      <c r="BH154" s="20" t="str">
        <f t="shared" si="196"/>
        <v>795_1</v>
      </c>
      <c r="BI154" s="21"/>
      <c r="BJ154" s="21" t="str">
        <f t="shared" si="197"/>
        <v>10000000795</v>
      </c>
      <c r="BK154" s="16" t="s">
        <v>51</v>
      </c>
      <c r="BL154" s="16" t="s">
        <v>54</v>
      </c>
      <c r="BM154" s="20" t="s">
        <v>769</v>
      </c>
      <c r="BN154" s="16" t="s">
        <v>51</v>
      </c>
      <c r="BO154" s="20" t="str">
        <f t="shared" si="198"/>
        <v>S05S795</v>
      </c>
      <c r="BP154" s="16" t="s">
        <v>777</v>
      </c>
      <c r="BQ154" s="16" t="s">
        <v>777</v>
      </c>
      <c r="BR154" s="20" t="s">
        <v>161</v>
      </c>
      <c r="BS154" s="16" t="s">
        <v>50</v>
      </c>
      <c r="BT154" s="16" t="s">
        <v>47</v>
      </c>
      <c r="BU154" s="16" t="s">
        <v>393</v>
      </c>
      <c r="BV154" s="16" t="s">
        <v>51</v>
      </c>
      <c r="BW154" s="16" t="s">
        <v>154</v>
      </c>
      <c r="BX154" s="16"/>
      <c r="BY154" s="16"/>
      <c r="BZ154" s="16" t="s">
        <v>157</v>
      </c>
      <c r="CA154" s="16" t="s">
        <v>269</v>
      </c>
      <c r="CB154" s="16" t="s">
        <v>412</v>
      </c>
      <c r="CC154" s="16" t="s">
        <v>771</v>
      </c>
      <c r="CD154" s="16" t="s">
        <v>392</v>
      </c>
      <c r="CE154" s="16" t="s">
        <v>396</v>
      </c>
      <c r="CF154" s="16" t="s">
        <v>398</v>
      </c>
      <c r="CG154" s="16" t="s">
        <v>778</v>
      </c>
      <c r="CH154" s="16" t="s">
        <v>159</v>
      </c>
      <c r="CI154" s="6">
        <v>1</v>
      </c>
      <c r="CJ154" s="6" t="str">
        <f t="shared" si="199"/>
        <v>GAS_ENQ_NO-795</v>
      </c>
      <c r="CK154" s="7" t="s">
        <v>779</v>
      </c>
      <c r="CL154" s="7" t="s">
        <v>391</v>
      </c>
      <c r="CM154" s="7" t="s">
        <v>391</v>
      </c>
      <c r="CN154" s="6" t="s">
        <v>780</v>
      </c>
      <c r="CO154" s="6" t="str">
        <f t="shared" si="200"/>
        <v>GAS_JOB_ID-795</v>
      </c>
      <c r="CP154" s="7"/>
      <c r="CQ154" s="6" t="str">
        <f t="shared" si="201"/>
        <v>10000795</v>
      </c>
      <c r="CR154" s="6" t="s">
        <v>154</v>
      </c>
      <c r="CS154" s="7" t="s">
        <v>51</v>
      </c>
      <c r="CT154" s="27" t="str">
        <f t="shared" si="202"/>
        <v>GMETER795</v>
      </c>
      <c r="CU154" s="6" t="s">
        <v>161</v>
      </c>
      <c r="CV154" s="7" t="s">
        <v>165</v>
      </c>
      <c r="CW154" s="7" t="s">
        <v>772</v>
      </c>
      <c r="CX154" s="7"/>
      <c r="CY154" s="7"/>
      <c r="CZ154" s="7" t="s">
        <v>394</v>
      </c>
      <c r="DA154" s="7" t="s">
        <v>395</v>
      </c>
      <c r="DB154" s="6" t="str">
        <f t="shared" si="163"/>
        <v>GAS_INST_ID-795</v>
      </c>
      <c r="DC154" s="7" t="s">
        <v>161</v>
      </c>
      <c r="DD154" s="7"/>
      <c r="DE154" s="7" t="s">
        <v>51</v>
      </c>
      <c r="DF154" s="7" t="s">
        <v>264</v>
      </c>
      <c r="DG154" s="7"/>
      <c r="DH154" s="7" t="s">
        <v>397</v>
      </c>
      <c r="DI154" s="7" t="s">
        <v>399</v>
      </c>
      <c r="DJ154" s="10" t="s">
        <v>778</v>
      </c>
      <c r="DK154" s="7" t="s">
        <v>140</v>
      </c>
      <c r="DL154" s="40"/>
      <c r="DM154" s="40"/>
      <c r="DN154" s="38" t="str">
        <f t="shared" si="164"/>
        <v>DS_Pass-795</v>
      </c>
      <c r="DO154" s="40"/>
      <c r="DP154" s="40"/>
      <c r="DQ154" s="40"/>
      <c r="DR154" s="41"/>
      <c r="DS154" s="41"/>
      <c r="DT154" s="40"/>
      <c r="DU154" s="40"/>
      <c r="DV154" s="40"/>
      <c r="DW154" s="41"/>
      <c r="DX154" s="40"/>
      <c r="DY154" s="40"/>
      <c r="DZ154" s="37" t="s">
        <v>777</v>
      </c>
      <c r="EA154" s="39"/>
      <c r="EB154" s="37"/>
      <c r="EC154" s="37"/>
      <c r="ED154" s="16"/>
      <c r="EE154" s="1"/>
      <c r="EF154" s="55"/>
    </row>
    <row r="155" spans="1:136">
      <c r="A155" s="219" t="s">
        <v>925</v>
      </c>
      <c r="B155" s="219" t="s">
        <v>868</v>
      </c>
      <c r="C155" s="219" t="s">
        <v>865</v>
      </c>
      <c r="D155" s="13">
        <f>'Run Parameters'!$B$1 + ROW()-1</f>
        <v>796</v>
      </c>
      <c r="E155" s="15" t="s">
        <v>47</v>
      </c>
      <c r="F155" s="18" t="s">
        <v>816</v>
      </c>
      <c r="G155" s="13" t="str">
        <f t="shared" si="182"/>
        <v>Access Dtls-796</v>
      </c>
      <c r="H155" s="15" t="s">
        <v>275</v>
      </c>
      <c r="I155" s="13" t="str">
        <f>("MR. Test_146_FLTY17_"&amp;D155&amp;"")</f>
        <v>MR. Test_146_FLTY17_796</v>
      </c>
      <c r="J155" s="18"/>
      <c r="K155" s="19" t="s">
        <v>425</v>
      </c>
      <c r="L155" s="13" t="str">
        <f t="shared" si="183"/>
        <v>Cust. Ref-796</v>
      </c>
      <c r="M155" s="15" t="s">
        <v>48</v>
      </c>
      <c r="N155" s="15" t="s">
        <v>425</v>
      </c>
      <c r="O155" s="13"/>
      <c r="P155" s="13" t="str">
        <f t="shared" si="184"/>
        <v>SN-796</v>
      </c>
      <c r="Q155" s="13" t="str">
        <f t="shared" si="185"/>
        <v>SI-796</v>
      </c>
      <c r="R155" s="13" t="str">
        <f t="shared" si="186"/>
        <v>SE-796</v>
      </c>
      <c r="S155" s="54" t="str">
        <f t="shared" si="187"/>
        <v>Prev_RA-796</v>
      </c>
      <c r="T155" s="54" t="str">
        <f t="shared" si="188"/>
        <v>Prev_Comms-796</v>
      </c>
      <c r="U155" s="17" t="s">
        <v>75</v>
      </c>
      <c r="V155" s="15" t="s">
        <v>401</v>
      </c>
      <c r="W155" s="17" t="s">
        <v>75</v>
      </c>
      <c r="X155" s="15" t="s">
        <v>396</v>
      </c>
      <c r="Y155" s="13" t="str">
        <f t="shared" si="189"/>
        <v>Forward Add-796</v>
      </c>
      <c r="Z155" s="15" t="s">
        <v>401</v>
      </c>
      <c r="AA155" s="136" t="str">
        <f>'Run Parameters'!$B$2</f>
        <v>2018-08-13 08:00</v>
      </c>
      <c r="AB155" s="223" t="str">
        <f>'Run Parameters'!B$3</f>
        <v>2018-08-13 18:00</v>
      </c>
      <c r="AC155" s="26">
        <f>('Run Parameters'!$B$2) - 7</f>
        <v>43318.333333333336</v>
      </c>
      <c r="AD155" s="17" t="s">
        <v>75</v>
      </c>
      <c r="AE155" s="18" t="str">
        <f t="shared" si="190"/>
        <v>LAST_METER-796</v>
      </c>
      <c r="AF155" s="136" t="str">
        <f>'Run Parameters'!$B$2</f>
        <v>2018-08-13 08:00</v>
      </c>
      <c r="AG155" s="13" t="str">
        <f>'Run Parameters'!B$4</f>
        <v>AUTOTEST2</v>
      </c>
      <c r="AH155" s="54" t="str">
        <f t="shared" si="191"/>
        <v>Site_Contact_796</v>
      </c>
      <c r="AI155" s="136" t="str">
        <f>'Run Parameters'!B$2</f>
        <v>2018-08-13 08:00</v>
      </c>
      <c r="AJ155" s="223" t="str">
        <f>'Run Parameters'!B$3</f>
        <v>2018-08-13 18:00</v>
      </c>
      <c r="AK155" s="13" t="s">
        <v>396</v>
      </c>
      <c r="AL155" s="54" t="str">
        <f t="shared" si="192"/>
        <v>01159796</v>
      </c>
      <c r="AM155" s="13" t="str">
        <f t="shared" si="193"/>
        <v>0115796</v>
      </c>
      <c r="AN155" s="15"/>
      <c r="AO155" s="52"/>
      <c r="AP155" s="13">
        <v>1</v>
      </c>
      <c r="AQ155" s="53" t="s">
        <v>49</v>
      </c>
      <c r="AR155" s="15"/>
      <c r="AS155" s="13"/>
      <c r="AT155" s="7" t="s">
        <v>774</v>
      </c>
      <c r="AU155" s="7"/>
      <c r="AV155" s="13">
        <f t="shared" si="194"/>
        <v>796</v>
      </c>
      <c r="AW155" s="13" t="s">
        <v>775</v>
      </c>
      <c r="AX155" s="13" t="s">
        <v>420</v>
      </c>
      <c r="AY155" s="13" t="s">
        <v>421</v>
      </c>
      <c r="AZ155" s="15" t="s">
        <v>334</v>
      </c>
      <c r="BA155" s="14" t="s">
        <v>154</v>
      </c>
      <c r="BB155" s="21">
        <v>1</v>
      </c>
      <c r="BC155" s="20">
        <f t="shared" si="195"/>
        <v>796</v>
      </c>
      <c r="BD155" s="16" t="s">
        <v>776</v>
      </c>
      <c r="BE155" s="16" t="s">
        <v>391</v>
      </c>
      <c r="BF155" s="16" t="s">
        <v>391</v>
      </c>
      <c r="BG155" s="20" t="s">
        <v>773</v>
      </c>
      <c r="BH155" s="20" t="str">
        <f t="shared" si="196"/>
        <v>796_1</v>
      </c>
      <c r="BI155" s="21"/>
      <c r="BJ155" s="21" t="str">
        <f t="shared" si="197"/>
        <v>10000000796</v>
      </c>
      <c r="BK155" s="16" t="s">
        <v>51</v>
      </c>
      <c r="BL155" s="16" t="s">
        <v>54</v>
      </c>
      <c r="BM155" s="20" t="s">
        <v>769</v>
      </c>
      <c r="BN155" s="16" t="s">
        <v>51</v>
      </c>
      <c r="BO155" s="20" t="str">
        <f t="shared" si="198"/>
        <v>S05S796</v>
      </c>
      <c r="BP155" s="16" t="s">
        <v>777</v>
      </c>
      <c r="BQ155" s="16" t="s">
        <v>777</v>
      </c>
      <c r="BR155" s="20" t="s">
        <v>161</v>
      </c>
      <c r="BS155" s="16" t="s">
        <v>50</v>
      </c>
      <c r="BT155" s="16" t="s">
        <v>47</v>
      </c>
      <c r="BU155" s="16" t="s">
        <v>393</v>
      </c>
      <c r="BV155" s="16" t="s">
        <v>51</v>
      </c>
      <c r="BW155" s="16" t="s">
        <v>154</v>
      </c>
      <c r="BX155" s="16"/>
      <c r="BY155" s="16"/>
      <c r="BZ155" s="16" t="s">
        <v>157</v>
      </c>
      <c r="CA155" s="16" t="s">
        <v>269</v>
      </c>
      <c r="CB155" s="16" t="s">
        <v>412</v>
      </c>
      <c r="CC155" s="16" t="s">
        <v>771</v>
      </c>
      <c r="CD155" s="16" t="s">
        <v>392</v>
      </c>
      <c r="CE155" s="16" t="s">
        <v>396</v>
      </c>
      <c r="CF155" s="16" t="s">
        <v>398</v>
      </c>
      <c r="CG155" s="16" t="s">
        <v>778</v>
      </c>
      <c r="CH155" s="16" t="s">
        <v>159</v>
      </c>
      <c r="CI155" s="6">
        <v>1</v>
      </c>
      <c r="CJ155" s="6" t="str">
        <f t="shared" si="199"/>
        <v>GAS_ENQ_NO-796</v>
      </c>
      <c r="CK155" s="7" t="s">
        <v>779</v>
      </c>
      <c r="CL155" s="7" t="s">
        <v>391</v>
      </c>
      <c r="CM155" s="7" t="s">
        <v>391</v>
      </c>
      <c r="CN155" s="6" t="s">
        <v>780</v>
      </c>
      <c r="CO155" s="6" t="str">
        <f t="shared" si="200"/>
        <v>GAS_JOB_ID-796</v>
      </c>
      <c r="CP155" s="7"/>
      <c r="CQ155" s="6" t="str">
        <f t="shared" si="201"/>
        <v>10000796</v>
      </c>
      <c r="CR155" s="6" t="s">
        <v>154</v>
      </c>
      <c r="CS155" s="7" t="s">
        <v>51</v>
      </c>
      <c r="CT155" s="27" t="str">
        <f t="shared" si="202"/>
        <v>GMETER796</v>
      </c>
      <c r="CU155" s="6" t="s">
        <v>161</v>
      </c>
      <c r="CV155" s="7" t="s">
        <v>165</v>
      </c>
      <c r="CW155" s="7" t="s">
        <v>772</v>
      </c>
      <c r="CX155" s="7"/>
      <c r="CY155" s="7"/>
      <c r="CZ155" s="7" t="s">
        <v>394</v>
      </c>
      <c r="DA155" s="7" t="s">
        <v>395</v>
      </c>
      <c r="DB155" s="6" t="str">
        <f t="shared" si="163"/>
        <v>GAS_INST_ID-796</v>
      </c>
      <c r="DC155" s="7" t="s">
        <v>161</v>
      </c>
      <c r="DD155" s="7"/>
      <c r="DE155" s="7" t="s">
        <v>51</v>
      </c>
      <c r="DF155" s="7" t="s">
        <v>264</v>
      </c>
      <c r="DG155" s="7"/>
      <c r="DH155" s="7" t="s">
        <v>397</v>
      </c>
      <c r="DI155" s="7" t="s">
        <v>399</v>
      </c>
      <c r="DJ155" s="10" t="s">
        <v>778</v>
      </c>
      <c r="DK155" s="7" t="s">
        <v>140</v>
      </c>
      <c r="DL155" s="40"/>
      <c r="DM155" s="40"/>
      <c r="DN155" s="38" t="str">
        <f t="shared" si="164"/>
        <v>DS_Pass-796</v>
      </c>
      <c r="DO155" s="40"/>
      <c r="DP155" s="40"/>
      <c r="DQ155" s="40"/>
      <c r="DR155" s="41"/>
      <c r="DS155" s="41"/>
      <c r="DT155" s="40"/>
      <c r="DU155" s="40"/>
      <c r="DV155" s="40"/>
      <c r="DW155" s="41"/>
      <c r="DX155" s="40"/>
      <c r="DY155" s="40"/>
      <c r="DZ155" s="37" t="s">
        <v>777</v>
      </c>
      <c r="EA155" s="39"/>
      <c r="EB155" s="37"/>
      <c r="EC155" s="37"/>
      <c r="ED155" s="16"/>
      <c r="EE155" s="1"/>
      <c r="EF155" s="55"/>
    </row>
    <row r="156" spans="1:136">
      <c r="A156" s="219" t="s">
        <v>926</v>
      </c>
      <c r="B156" s="219" t="s">
        <v>892</v>
      </c>
      <c r="C156" s="219" t="s">
        <v>865</v>
      </c>
      <c r="D156" s="13">
        <f>'Run Parameters'!$B$1 + ROW()-1</f>
        <v>797</v>
      </c>
      <c r="E156" s="15" t="s">
        <v>47</v>
      </c>
      <c r="F156" s="18" t="s">
        <v>816</v>
      </c>
      <c r="G156" s="13" t="str">
        <f t="shared" si="182"/>
        <v>Access Dtls-797</v>
      </c>
      <c r="H156" s="15" t="s">
        <v>275</v>
      </c>
      <c r="I156" s="13" t="str">
        <f>("MR. Test_147_FLTY17_"&amp;D156&amp;"")</f>
        <v>MR. Test_147_FLTY17_797</v>
      </c>
      <c r="J156" s="18"/>
      <c r="K156" s="19" t="s">
        <v>425</v>
      </c>
      <c r="L156" s="13" t="str">
        <f t="shared" si="183"/>
        <v>Cust. Ref-797</v>
      </c>
      <c r="M156" s="15" t="s">
        <v>48</v>
      </c>
      <c r="N156" s="15" t="s">
        <v>425</v>
      </c>
      <c r="O156" s="13"/>
      <c r="P156" s="13" t="str">
        <f t="shared" si="184"/>
        <v>SN-797</v>
      </c>
      <c r="Q156" s="13" t="str">
        <f t="shared" si="185"/>
        <v>SI-797</v>
      </c>
      <c r="R156" s="13" t="str">
        <f t="shared" si="186"/>
        <v>SE-797</v>
      </c>
      <c r="S156" s="54" t="str">
        <f t="shared" si="187"/>
        <v>Prev_RA-797</v>
      </c>
      <c r="T156" s="54" t="str">
        <f t="shared" si="188"/>
        <v>Prev_Comms-797</v>
      </c>
      <c r="U156" s="17" t="s">
        <v>75</v>
      </c>
      <c r="V156" s="15" t="s">
        <v>401</v>
      </c>
      <c r="W156" s="17" t="s">
        <v>75</v>
      </c>
      <c r="X156" s="15" t="s">
        <v>396</v>
      </c>
      <c r="Y156" s="13" t="str">
        <f t="shared" si="189"/>
        <v>Forward Add-797</v>
      </c>
      <c r="Z156" s="15" t="s">
        <v>401</v>
      </c>
      <c r="AA156" s="136" t="str">
        <f>'Run Parameters'!$B$2</f>
        <v>2018-08-13 08:00</v>
      </c>
      <c r="AB156" s="223" t="str">
        <f>'Run Parameters'!B$3</f>
        <v>2018-08-13 18:00</v>
      </c>
      <c r="AC156" s="26">
        <f>('Run Parameters'!$B$2) - 7</f>
        <v>43318.333333333336</v>
      </c>
      <c r="AD156" s="17" t="s">
        <v>75</v>
      </c>
      <c r="AE156" s="18" t="str">
        <f t="shared" si="190"/>
        <v>LAST_METER-797</v>
      </c>
      <c r="AF156" s="136" t="str">
        <f>'Run Parameters'!$B$2</f>
        <v>2018-08-13 08:00</v>
      </c>
      <c r="AG156" s="13" t="str">
        <f>'Run Parameters'!B$4</f>
        <v>AUTOTEST2</v>
      </c>
      <c r="AH156" s="54" t="str">
        <f t="shared" si="191"/>
        <v>Site_Contact_797</v>
      </c>
      <c r="AI156" s="136" t="str">
        <f>'Run Parameters'!B$2</f>
        <v>2018-08-13 08:00</v>
      </c>
      <c r="AJ156" s="223" t="str">
        <f>'Run Parameters'!B$3</f>
        <v>2018-08-13 18:00</v>
      </c>
      <c r="AK156" s="13" t="s">
        <v>396</v>
      </c>
      <c r="AL156" s="54" t="str">
        <f t="shared" si="192"/>
        <v>01159797</v>
      </c>
      <c r="AM156" s="13" t="str">
        <f t="shared" si="193"/>
        <v>0115797</v>
      </c>
      <c r="AN156" s="15"/>
      <c r="AO156" s="52"/>
      <c r="AP156" s="13">
        <v>1</v>
      </c>
      <c r="AQ156" s="53" t="s">
        <v>49</v>
      </c>
      <c r="AR156" s="15"/>
      <c r="AS156" s="13"/>
      <c r="AT156" s="7" t="s">
        <v>774</v>
      </c>
      <c r="AU156" s="7"/>
      <c r="AV156" s="13">
        <f t="shared" si="194"/>
        <v>797</v>
      </c>
      <c r="AW156" s="13" t="s">
        <v>775</v>
      </c>
      <c r="AX156" s="13" t="s">
        <v>420</v>
      </c>
      <c r="AY156" s="13" t="s">
        <v>421</v>
      </c>
      <c r="AZ156" s="15" t="s">
        <v>334</v>
      </c>
      <c r="BA156" s="14" t="s">
        <v>154</v>
      </c>
      <c r="BB156" s="21">
        <v>1</v>
      </c>
      <c r="BC156" s="20">
        <f t="shared" si="195"/>
        <v>797</v>
      </c>
      <c r="BD156" s="16" t="s">
        <v>776</v>
      </c>
      <c r="BE156" s="16" t="s">
        <v>391</v>
      </c>
      <c r="BF156" s="16" t="s">
        <v>391</v>
      </c>
      <c r="BG156" s="20" t="s">
        <v>773</v>
      </c>
      <c r="BH156" s="20" t="str">
        <f t="shared" si="196"/>
        <v>797_1</v>
      </c>
      <c r="BI156" s="21"/>
      <c r="BJ156" s="21" t="str">
        <f t="shared" si="197"/>
        <v>10000000797</v>
      </c>
      <c r="BK156" s="16" t="s">
        <v>51</v>
      </c>
      <c r="BL156" s="16" t="s">
        <v>54</v>
      </c>
      <c r="BM156" s="20" t="s">
        <v>769</v>
      </c>
      <c r="BN156" s="16" t="s">
        <v>51</v>
      </c>
      <c r="BO156" s="20" t="str">
        <f t="shared" si="198"/>
        <v>S05S797</v>
      </c>
      <c r="BP156" s="16" t="s">
        <v>777</v>
      </c>
      <c r="BQ156" s="16" t="s">
        <v>777</v>
      </c>
      <c r="BR156" s="20" t="s">
        <v>161</v>
      </c>
      <c r="BS156" s="16" t="s">
        <v>50</v>
      </c>
      <c r="BT156" s="16" t="s">
        <v>47</v>
      </c>
      <c r="BU156" s="16" t="s">
        <v>393</v>
      </c>
      <c r="BV156" s="16" t="s">
        <v>51</v>
      </c>
      <c r="BW156" s="16" t="s">
        <v>154</v>
      </c>
      <c r="BX156" s="16"/>
      <c r="BY156" s="16"/>
      <c r="BZ156" s="16" t="s">
        <v>157</v>
      </c>
      <c r="CA156" s="16" t="s">
        <v>269</v>
      </c>
      <c r="CB156" s="16" t="s">
        <v>412</v>
      </c>
      <c r="CC156" s="16" t="s">
        <v>771</v>
      </c>
      <c r="CD156" s="16" t="s">
        <v>392</v>
      </c>
      <c r="CE156" s="16" t="s">
        <v>396</v>
      </c>
      <c r="CF156" s="16" t="s">
        <v>398</v>
      </c>
      <c r="CG156" s="16" t="s">
        <v>778</v>
      </c>
      <c r="CH156" s="16" t="s">
        <v>159</v>
      </c>
      <c r="CI156" s="6">
        <v>1</v>
      </c>
      <c r="CJ156" s="6" t="str">
        <f t="shared" si="199"/>
        <v>GAS_ENQ_NO-797</v>
      </c>
      <c r="CK156" s="7" t="s">
        <v>779</v>
      </c>
      <c r="CL156" s="7" t="s">
        <v>391</v>
      </c>
      <c r="CM156" s="7" t="s">
        <v>391</v>
      </c>
      <c r="CN156" s="6" t="s">
        <v>780</v>
      </c>
      <c r="CO156" s="6" t="str">
        <f t="shared" si="200"/>
        <v>GAS_JOB_ID-797</v>
      </c>
      <c r="CP156" s="7"/>
      <c r="CQ156" s="6" t="str">
        <f t="shared" si="201"/>
        <v>10000797</v>
      </c>
      <c r="CR156" s="6" t="s">
        <v>154</v>
      </c>
      <c r="CS156" s="7" t="s">
        <v>51</v>
      </c>
      <c r="CT156" s="27" t="str">
        <f t="shared" si="202"/>
        <v>GMETER797</v>
      </c>
      <c r="CU156" s="6" t="s">
        <v>161</v>
      </c>
      <c r="CV156" s="7" t="s">
        <v>165</v>
      </c>
      <c r="CW156" s="7" t="s">
        <v>772</v>
      </c>
      <c r="CX156" s="7"/>
      <c r="CY156" s="7"/>
      <c r="CZ156" s="7" t="s">
        <v>394</v>
      </c>
      <c r="DA156" s="7" t="s">
        <v>395</v>
      </c>
      <c r="DB156" s="6" t="str">
        <f t="shared" si="163"/>
        <v>GAS_INST_ID-797</v>
      </c>
      <c r="DC156" s="7" t="s">
        <v>161</v>
      </c>
      <c r="DD156" s="7"/>
      <c r="DE156" s="7" t="s">
        <v>51</v>
      </c>
      <c r="DF156" s="7" t="s">
        <v>264</v>
      </c>
      <c r="DG156" s="7"/>
      <c r="DH156" s="7" t="s">
        <v>397</v>
      </c>
      <c r="DI156" s="7" t="s">
        <v>399</v>
      </c>
      <c r="DJ156" s="10" t="s">
        <v>778</v>
      </c>
      <c r="DK156" s="7" t="s">
        <v>140</v>
      </c>
      <c r="DL156" s="40"/>
      <c r="DM156" s="40"/>
      <c r="DN156" s="38" t="str">
        <f t="shared" si="164"/>
        <v>DS_Pass-797</v>
      </c>
      <c r="DO156" s="40"/>
      <c r="DP156" s="40"/>
      <c r="DQ156" s="40"/>
      <c r="DR156" s="41"/>
      <c r="DS156" s="41"/>
      <c r="DT156" s="40"/>
      <c r="DU156" s="40"/>
      <c r="DV156" s="40"/>
      <c r="DW156" s="41"/>
      <c r="DX156" s="40"/>
      <c r="DY156" s="40"/>
      <c r="DZ156" s="37" t="s">
        <v>777</v>
      </c>
      <c r="EA156" s="39"/>
      <c r="EB156" s="37"/>
      <c r="EC156" s="37"/>
      <c r="ED156" s="16"/>
      <c r="EE156" s="1"/>
      <c r="EF156" s="55"/>
    </row>
    <row r="157" spans="1:136">
      <c r="A157" s="219" t="s">
        <v>927</v>
      </c>
      <c r="B157" s="219" t="s">
        <v>868</v>
      </c>
      <c r="C157" s="219" t="s">
        <v>865</v>
      </c>
      <c r="D157" s="13">
        <f>'Run Parameters'!$B$1 + ROW()-1</f>
        <v>798</v>
      </c>
      <c r="E157" s="15" t="s">
        <v>47</v>
      </c>
      <c r="F157" s="18" t="s">
        <v>816</v>
      </c>
      <c r="G157" s="13" t="str">
        <f t="shared" si="182"/>
        <v>Access Dtls-798</v>
      </c>
      <c r="H157" s="15" t="s">
        <v>275</v>
      </c>
      <c r="I157" s="13" t="str">
        <f>("MR. Test_148_FLTY17_"&amp;D157&amp;"")</f>
        <v>MR. Test_148_FLTY17_798</v>
      </c>
      <c r="J157" s="18"/>
      <c r="K157" s="19" t="s">
        <v>425</v>
      </c>
      <c r="L157" s="13" t="str">
        <f t="shared" si="183"/>
        <v>Cust. Ref-798</v>
      </c>
      <c r="M157" s="15" t="s">
        <v>48</v>
      </c>
      <c r="N157" s="15" t="s">
        <v>425</v>
      </c>
      <c r="O157" s="13"/>
      <c r="P157" s="13" t="str">
        <f t="shared" si="184"/>
        <v>SN-798</v>
      </c>
      <c r="Q157" s="13" t="str">
        <f t="shared" si="185"/>
        <v>SI-798</v>
      </c>
      <c r="R157" s="13" t="str">
        <f t="shared" si="186"/>
        <v>SE-798</v>
      </c>
      <c r="S157" s="54" t="str">
        <f t="shared" si="187"/>
        <v>Prev_RA-798</v>
      </c>
      <c r="T157" s="54" t="str">
        <f t="shared" si="188"/>
        <v>Prev_Comms-798</v>
      </c>
      <c r="U157" s="17" t="s">
        <v>75</v>
      </c>
      <c r="V157" s="15" t="s">
        <v>401</v>
      </c>
      <c r="W157" s="17" t="s">
        <v>75</v>
      </c>
      <c r="X157" s="15" t="s">
        <v>396</v>
      </c>
      <c r="Y157" s="13" t="str">
        <f t="shared" si="189"/>
        <v>Forward Add-798</v>
      </c>
      <c r="Z157" s="15" t="s">
        <v>401</v>
      </c>
      <c r="AA157" s="136" t="str">
        <f>'Run Parameters'!$B$2</f>
        <v>2018-08-13 08:00</v>
      </c>
      <c r="AB157" s="223" t="str">
        <f>'Run Parameters'!B$3</f>
        <v>2018-08-13 18:00</v>
      </c>
      <c r="AC157" s="26">
        <f>('Run Parameters'!$B$2) - 7</f>
        <v>43318.333333333336</v>
      </c>
      <c r="AD157" s="17" t="s">
        <v>75</v>
      </c>
      <c r="AE157" s="18" t="str">
        <f t="shared" si="190"/>
        <v>LAST_METER-798</v>
      </c>
      <c r="AF157" s="136" t="str">
        <f>'Run Parameters'!$B$2</f>
        <v>2018-08-13 08:00</v>
      </c>
      <c r="AG157" s="13" t="str">
        <f>'Run Parameters'!B$4</f>
        <v>AUTOTEST2</v>
      </c>
      <c r="AH157" s="54" t="str">
        <f t="shared" si="191"/>
        <v>Site_Contact_798</v>
      </c>
      <c r="AI157" s="136" t="str">
        <f>'Run Parameters'!B$2</f>
        <v>2018-08-13 08:00</v>
      </c>
      <c r="AJ157" s="223" t="str">
        <f>'Run Parameters'!B$3</f>
        <v>2018-08-13 18:00</v>
      </c>
      <c r="AK157" s="13" t="s">
        <v>396</v>
      </c>
      <c r="AL157" s="54" t="str">
        <f t="shared" si="192"/>
        <v>01159798</v>
      </c>
      <c r="AM157" s="13" t="str">
        <f t="shared" si="193"/>
        <v>0115798</v>
      </c>
      <c r="AN157" s="15"/>
      <c r="AO157" s="52"/>
      <c r="AP157" s="13">
        <v>1</v>
      </c>
      <c r="AQ157" s="53" t="s">
        <v>49</v>
      </c>
      <c r="AR157" s="15"/>
      <c r="AS157" s="13"/>
      <c r="AT157" s="7" t="s">
        <v>774</v>
      </c>
      <c r="AU157" s="7"/>
      <c r="AV157" s="13">
        <f t="shared" si="194"/>
        <v>798</v>
      </c>
      <c r="AW157" s="13" t="s">
        <v>775</v>
      </c>
      <c r="AX157" s="13" t="s">
        <v>420</v>
      </c>
      <c r="AY157" s="13" t="s">
        <v>421</v>
      </c>
      <c r="AZ157" s="15" t="s">
        <v>334</v>
      </c>
      <c r="BA157" s="14" t="s">
        <v>154</v>
      </c>
      <c r="BB157" s="21">
        <v>1</v>
      </c>
      <c r="BC157" s="20">
        <f t="shared" si="195"/>
        <v>798</v>
      </c>
      <c r="BD157" s="16" t="s">
        <v>776</v>
      </c>
      <c r="BE157" s="16" t="s">
        <v>391</v>
      </c>
      <c r="BF157" s="16" t="s">
        <v>391</v>
      </c>
      <c r="BG157" s="20" t="s">
        <v>773</v>
      </c>
      <c r="BH157" s="20" t="str">
        <f t="shared" si="196"/>
        <v>798_1</v>
      </c>
      <c r="BI157" s="21"/>
      <c r="BJ157" s="21" t="str">
        <f t="shared" si="197"/>
        <v>10000000798</v>
      </c>
      <c r="BK157" s="16" t="s">
        <v>51</v>
      </c>
      <c r="BL157" s="16" t="s">
        <v>54</v>
      </c>
      <c r="BM157" s="20" t="s">
        <v>769</v>
      </c>
      <c r="BN157" s="16" t="s">
        <v>51</v>
      </c>
      <c r="BO157" s="20" t="str">
        <f t="shared" si="198"/>
        <v>S05S798</v>
      </c>
      <c r="BP157" s="16" t="s">
        <v>777</v>
      </c>
      <c r="BQ157" s="16" t="s">
        <v>777</v>
      </c>
      <c r="BR157" s="20" t="s">
        <v>161</v>
      </c>
      <c r="BS157" s="16" t="s">
        <v>50</v>
      </c>
      <c r="BT157" s="16" t="s">
        <v>47</v>
      </c>
      <c r="BU157" s="16" t="s">
        <v>393</v>
      </c>
      <c r="BV157" s="16" t="s">
        <v>51</v>
      </c>
      <c r="BW157" s="16" t="s">
        <v>154</v>
      </c>
      <c r="BX157" s="16"/>
      <c r="BY157" s="16"/>
      <c r="BZ157" s="16" t="s">
        <v>157</v>
      </c>
      <c r="CA157" s="16" t="s">
        <v>269</v>
      </c>
      <c r="CB157" s="16" t="s">
        <v>412</v>
      </c>
      <c r="CC157" s="16" t="s">
        <v>771</v>
      </c>
      <c r="CD157" s="16" t="s">
        <v>392</v>
      </c>
      <c r="CE157" s="16" t="s">
        <v>396</v>
      </c>
      <c r="CF157" s="16" t="s">
        <v>398</v>
      </c>
      <c r="CG157" s="16" t="s">
        <v>778</v>
      </c>
      <c r="CH157" s="16" t="s">
        <v>159</v>
      </c>
      <c r="CI157" s="6">
        <v>1</v>
      </c>
      <c r="CJ157" s="6" t="str">
        <f t="shared" si="199"/>
        <v>GAS_ENQ_NO-798</v>
      </c>
      <c r="CK157" s="7" t="s">
        <v>779</v>
      </c>
      <c r="CL157" s="7" t="s">
        <v>391</v>
      </c>
      <c r="CM157" s="7" t="s">
        <v>391</v>
      </c>
      <c r="CN157" s="6" t="s">
        <v>780</v>
      </c>
      <c r="CO157" s="6" t="str">
        <f t="shared" si="200"/>
        <v>GAS_JOB_ID-798</v>
      </c>
      <c r="CP157" s="7"/>
      <c r="CQ157" s="6" t="str">
        <f t="shared" si="201"/>
        <v>10000798</v>
      </c>
      <c r="CR157" s="6" t="s">
        <v>154</v>
      </c>
      <c r="CS157" s="7" t="s">
        <v>51</v>
      </c>
      <c r="CT157" s="27" t="str">
        <f t="shared" si="202"/>
        <v>GMETER798</v>
      </c>
      <c r="CU157" s="6" t="s">
        <v>161</v>
      </c>
      <c r="CV157" s="7" t="s">
        <v>165</v>
      </c>
      <c r="CW157" s="7" t="s">
        <v>772</v>
      </c>
      <c r="CX157" s="7"/>
      <c r="CY157" s="7"/>
      <c r="CZ157" s="7" t="s">
        <v>394</v>
      </c>
      <c r="DA157" s="7" t="s">
        <v>395</v>
      </c>
      <c r="DB157" s="6" t="str">
        <f t="shared" si="163"/>
        <v>GAS_INST_ID-798</v>
      </c>
      <c r="DC157" s="7" t="s">
        <v>161</v>
      </c>
      <c r="DD157" s="7"/>
      <c r="DE157" s="7" t="s">
        <v>51</v>
      </c>
      <c r="DF157" s="7" t="s">
        <v>264</v>
      </c>
      <c r="DG157" s="7"/>
      <c r="DH157" s="7" t="s">
        <v>397</v>
      </c>
      <c r="DI157" s="7" t="s">
        <v>399</v>
      </c>
      <c r="DJ157" s="10" t="s">
        <v>778</v>
      </c>
      <c r="DK157" s="7" t="s">
        <v>140</v>
      </c>
      <c r="DL157" s="40"/>
      <c r="DM157" s="40"/>
      <c r="DN157" s="38" t="str">
        <f t="shared" si="164"/>
        <v>DS_Pass-798</v>
      </c>
      <c r="DO157" s="40"/>
      <c r="DP157" s="40"/>
      <c r="DQ157" s="40"/>
      <c r="DR157" s="41"/>
      <c r="DS157" s="41"/>
      <c r="DT157" s="40"/>
      <c r="DU157" s="40"/>
      <c r="DV157" s="40"/>
      <c r="DW157" s="41"/>
      <c r="DX157" s="40"/>
      <c r="DY157" s="40"/>
      <c r="DZ157" s="37" t="s">
        <v>777</v>
      </c>
      <c r="EA157" s="39"/>
      <c r="EB157" s="37"/>
      <c r="EC157" s="37"/>
      <c r="ED157" s="16"/>
      <c r="EE157" s="1"/>
      <c r="EF157" s="55"/>
    </row>
    <row r="158" spans="1:136">
      <c r="A158" s="219" t="s">
        <v>928</v>
      </c>
      <c r="B158" s="219" t="s">
        <v>892</v>
      </c>
      <c r="C158" s="219" t="s">
        <v>865</v>
      </c>
      <c r="D158" s="13">
        <f>'Run Parameters'!$B$1 + ROW()-1</f>
        <v>799</v>
      </c>
      <c r="E158" s="15" t="s">
        <v>47</v>
      </c>
      <c r="F158" s="18" t="s">
        <v>816</v>
      </c>
      <c r="G158" s="13" t="str">
        <f t="shared" si="182"/>
        <v>Access Dtls-799</v>
      </c>
      <c r="H158" s="15" t="s">
        <v>275</v>
      </c>
      <c r="I158" s="13" t="str">
        <f>("MR. Test_149_FLTY17_"&amp;D158&amp;"")</f>
        <v>MR. Test_149_FLTY17_799</v>
      </c>
      <c r="J158" s="18"/>
      <c r="K158" s="19" t="s">
        <v>425</v>
      </c>
      <c r="L158" s="13" t="str">
        <f t="shared" si="183"/>
        <v>Cust. Ref-799</v>
      </c>
      <c r="M158" s="15" t="s">
        <v>48</v>
      </c>
      <c r="N158" s="15" t="s">
        <v>425</v>
      </c>
      <c r="O158" s="13"/>
      <c r="P158" s="13" t="str">
        <f t="shared" si="184"/>
        <v>SN-799</v>
      </c>
      <c r="Q158" s="13" t="str">
        <f t="shared" si="185"/>
        <v>SI-799</v>
      </c>
      <c r="R158" s="13" t="str">
        <f t="shared" si="186"/>
        <v>SE-799</v>
      </c>
      <c r="S158" s="54" t="str">
        <f t="shared" si="187"/>
        <v>Prev_RA-799</v>
      </c>
      <c r="T158" s="54" t="str">
        <f t="shared" si="188"/>
        <v>Prev_Comms-799</v>
      </c>
      <c r="U158" s="17" t="s">
        <v>75</v>
      </c>
      <c r="V158" s="15" t="s">
        <v>401</v>
      </c>
      <c r="W158" s="17" t="s">
        <v>75</v>
      </c>
      <c r="X158" s="15" t="s">
        <v>396</v>
      </c>
      <c r="Y158" s="13" t="str">
        <f t="shared" si="189"/>
        <v>Forward Add-799</v>
      </c>
      <c r="Z158" s="15" t="s">
        <v>401</v>
      </c>
      <c r="AA158" s="136" t="str">
        <f>'Run Parameters'!$B$2</f>
        <v>2018-08-13 08:00</v>
      </c>
      <c r="AB158" s="223" t="str">
        <f>'Run Parameters'!B$3</f>
        <v>2018-08-13 18:00</v>
      </c>
      <c r="AC158" s="26">
        <f>('Run Parameters'!$B$2) - 7</f>
        <v>43318.333333333336</v>
      </c>
      <c r="AD158" s="17" t="s">
        <v>75</v>
      </c>
      <c r="AE158" s="18" t="str">
        <f t="shared" si="190"/>
        <v>LAST_METER-799</v>
      </c>
      <c r="AF158" s="136" t="str">
        <f>'Run Parameters'!$B$2</f>
        <v>2018-08-13 08:00</v>
      </c>
      <c r="AG158" s="13" t="str">
        <f>'Run Parameters'!B$4</f>
        <v>AUTOTEST2</v>
      </c>
      <c r="AH158" s="54" t="str">
        <f t="shared" si="191"/>
        <v>Site_Contact_799</v>
      </c>
      <c r="AI158" s="136" t="str">
        <f>'Run Parameters'!B$2</f>
        <v>2018-08-13 08:00</v>
      </c>
      <c r="AJ158" s="223" t="str">
        <f>'Run Parameters'!B$3</f>
        <v>2018-08-13 18:00</v>
      </c>
      <c r="AK158" s="13" t="s">
        <v>396</v>
      </c>
      <c r="AL158" s="54" t="str">
        <f t="shared" si="192"/>
        <v>01159799</v>
      </c>
      <c r="AM158" s="13" t="str">
        <f t="shared" si="193"/>
        <v>0115799</v>
      </c>
      <c r="AN158" s="15"/>
      <c r="AO158" s="52"/>
      <c r="AP158" s="13">
        <v>1</v>
      </c>
      <c r="AQ158" s="53" t="s">
        <v>49</v>
      </c>
      <c r="AR158" s="15"/>
      <c r="AS158" s="13"/>
      <c r="AT158" s="7" t="s">
        <v>774</v>
      </c>
      <c r="AU158" s="7"/>
      <c r="AV158" s="13">
        <f t="shared" si="194"/>
        <v>799</v>
      </c>
      <c r="AW158" s="13" t="s">
        <v>775</v>
      </c>
      <c r="AX158" s="13" t="s">
        <v>420</v>
      </c>
      <c r="AY158" s="13" t="s">
        <v>421</v>
      </c>
      <c r="AZ158" s="15" t="s">
        <v>334</v>
      </c>
      <c r="BA158" s="14" t="s">
        <v>154</v>
      </c>
      <c r="BB158" s="21">
        <v>1</v>
      </c>
      <c r="BC158" s="20">
        <f t="shared" si="195"/>
        <v>799</v>
      </c>
      <c r="BD158" s="16" t="s">
        <v>776</v>
      </c>
      <c r="BE158" s="16" t="s">
        <v>391</v>
      </c>
      <c r="BF158" s="16" t="s">
        <v>391</v>
      </c>
      <c r="BG158" s="20" t="s">
        <v>773</v>
      </c>
      <c r="BH158" s="20" t="str">
        <f t="shared" si="196"/>
        <v>799_1</v>
      </c>
      <c r="BI158" s="21"/>
      <c r="BJ158" s="21" t="str">
        <f t="shared" si="197"/>
        <v>10000000799</v>
      </c>
      <c r="BK158" s="16" t="s">
        <v>51</v>
      </c>
      <c r="BL158" s="16" t="s">
        <v>54</v>
      </c>
      <c r="BM158" s="20" t="s">
        <v>769</v>
      </c>
      <c r="BN158" s="16" t="s">
        <v>51</v>
      </c>
      <c r="BO158" s="20" t="str">
        <f t="shared" si="198"/>
        <v>S05S799</v>
      </c>
      <c r="BP158" s="16" t="s">
        <v>777</v>
      </c>
      <c r="BQ158" s="16" t="s">
        <v>777</v>
      </c>
      <c r="BR158" s="20" t="s">
        <v>161</v>
      </c>
      <c r="BS158" s="16" t="s">
        <v>50</v>
      </c>
      <c r="BT158" s="16" t="s">
        <v>47</v>
      </c>
      <c r="BU158" s="16" t="s">
        <v>393</v>
      </c>
      <c r="BV158" s="16" t="s">
        <v>51</v>
      </c>
      <c r="BW158" s="16" t="s">
        <v>154</v>
      </c>
      <c r="BX158" s="16"/>
      <c r="BY158" s="16"/>
      <c r="BZ158" s="16" t="s">
        <v>157</v>
      </c>
      <c r="CA158" s="16" t="s">
        <v>269</v>
      </c>
      <c r="CB158" s="16" t="s">
        <v>412</v>
      </c>
      <c r="CC158" s="16" t="s">
        <v>771</v>
      </c>
      <c r="CD158" s="16" t="s">
        <v>392</v>
      </c>
      <c r="CE158" s="16" t="s">
        <v>396</v>
      </c>
      <c r="CF158" s="16" t="s">
        <v>398</v>
      </c>
      <c r="CG158" s="16" t="s">
        <v>778</v>
      </c>
      <c r="CH158" s="16" t="s">
        <v>159</v>
      </c>
      <c r="CI158" s="6">
        <v>1</v>
      </c>
      <c r="CJ158" s="6" t="str">
        <f t="shared" si="199"/>
        <v>GAS_ENQ_NO-799</v>
      </c>
      <c r="CK158" s="7" t="s">
        <v>779</v>
      </c>
      <c r="CL158" s="7" t="s">
        <v>391</v>
      </c>
      <c r="CM158" s="7" t="s">
        <v>391</v>
      </c>
      <c r="CN158" s="6" t="s">
        <v>780</v>
      </c>
      <c r="CO158" s="6" t="str">
        <f t="shared" si="200"/>
        <v>GAS_JOB_ID-799</v>
      </c>
      <c r="CP158" s="7"/>
      <c r="CQ158" s="6" t="str">
        <f t="shared" si="201"/>
        <v>10000799</v>
      </c>
      <c r="CR158" s="6" t="s">
        <v>154</v>
      </c>
      <c r="CS158" s="7" t="s">
        <v>51</v>
      </c>
      <c r="CT158" s="27" t="str">
        <f t="shared" si="202"/>
        <v>GMETER799</v>
      </c>
      <c r="CU158" s="6" t="s">
        <v>161</v>
      </c>
      <c r="CV158" s="7" t="s">
        <v>165</v>
      </c>
      <c r="CW158" s="7" t="s">
        <v>772</v>
      </c>
      <c r="CX158" s="7"/>
      <c r="CY158" s="7"/>
      <c r="CZ158" s="7" t="s">
        <v>394</v>
      </c>
      <c r="DA158" s="7" t="s">
        <v>395</v>
      </c>
      <c r="DB158" s="6" t="str">
        <f t="shared" si="163"/>
        <v>GAS_INST_ID-799</v>
      </c>
      <c r="DC158" s="7" t="s">
        <v>161</v>
      </c>
      <c r="DD158" s="7"/>
      <c r="DE158" s="7" t="s">
        <v>51</v>
      </c>
      <c r="DF158" s="7" t="s">
        <v>264</v>
      </c>
      <c r="DG158" s="7"/>
      <c r="DH158" s="7" t="s">
        <v>397</v>
      </c>
      <c r="DI158" s="7" t="s">
        <v>399</v>
      </c>
      <c r="DJ158" s="10" t="s">
        <v>778</v>
      </c>
      <c r="DK158" s="7" t="s">
        <v>140</v>
      </c>
      <c r="DL158" s="40"/>
      <c r="DM158" s="40"/>
      <c r="DN158" s="38" t="str">
        <f t="shared" si="164"/>
        <v>DS_Pass-799</v>
      </c>
      <c r="DO158" s="40"/>
      <c r="DP158" s="40"/>
      <c r="DQ158" s="40"/>
      <c r="DR158" s="41"/>
      <c r="DS158" s="41"/>
      <c r="DT158" s="40"/>
      <c r="DU158" s="40"/>
      <c r="DV158" s="40"/>
      <c r="DW158" s="41"/>
      <c r="DX158" s="40"/>
      <c r="DY158" s="40"/>
      <c r="DZ158" s="37" t="s">
        <v>777</v>
      </c>
      <c r="EA158" s="39"/>
      <c r="EB158" s="37"/>
      <c r="EC158" s="37"/>
      <c r="ED158" s="16"/>
      <c r="EE158" s="1"/>
      <c r="EF158" s="55"/>
    </row>
    <row r="159" spans="1:136">
      <c r="A159" s="219" t="s">
        <v>929</v>
      </c>
      <c r="B159" s="219" t="s">
        <v>868</v>
      </c>
      <c r="C159" s="219" t="s">
        <v>865</v>
      </c>
      <c r="D159" s="13">
        <f>'Run Parameters'!$B$1 + ROW()-1</f>
        <v>800</v>
      </c>
      <c r="E159" s="15" t="s">
        <v>47</v>
      </c>
      <c r="F159" s="18" t="s">
        <v>816</v>
      </c>
      <c r="G159" s="13" t="str">
        <f t="shared" si="182"/>
        <v>Access Dtls-800</v>
      </c>
      <c r="H159" s="15" t="s">
        <v>275</v>
      </c>
      <c r="I159" s="13" t="str">
        <f>("MR. Test_150_FLTY17_"&amp;D159&amp;"")</f>
        <v>MR. Test_150_FLTY17_800</v>
      </c>
      <c r="J159" s="18"/>
      <c r="K159" s="19" t="s">
        <v>425</v>
      </c>
      <c r="L159" s="13" t="str">
        <f t="shared" si="183"/>
        <v>Cust. Ref-800</v>
      </c>
      <c r="M159" s="15" t="s">
        <v>48</v>
      </c>
      <c r="N159" s="15" t="s">
        <v>425</v>
      </c>
      <c r="O159" s="13"/>
      <c r="P159" s="13" t="str">
        <f t="shared" si="184"/>
        <v>SN-800</v>
      </c>
      <c r="Q159" s="13" t="str">
        <f t="shared" si="185"/>
        <v>SI-800</v>
      </c>
      <c r="R159" s="13" t="str">
        <f t="shared" si="186"/>
        <v>SE-800</v>
      </c>
      <c r="S159" s="54" t="str">
        <f t="shared" si="187"/>
        <v>Prev_RA-800</v>
      </c>
      <c r="T159" s="54" t="str">
        <f t="shared" si="188"/>
        <v>Prev_Comms-800</v>
      </c>
      <c r="U159" s="17" t="s">
        <v>75</v>
      </c>
      <c r="V159" s="15" t="s">
        <v>401</v>
      </c>
      <c r="W159" s="17" t="s">
        <v>75</v>
      </c>
      <c r="X159" s="15" t="s">
        <v>396</v>
      </c>
      <c r="Y159" s="13" t="str">
        <f t="shared" si="189"/>
        <v>Forward Add-800</v>
      </c>
      <c r="Z159" s="15" t="s">
        <v>401</v>
      </c>
      <c r="AA159" s="136" t="str">
        <f>'Run Parameters'!$B$2</f>
        <v>2018-08-13 08:00</v>
      </c>
      <c r="AB159" s="223" t="str">
        <f>'Run Parameters'!B$3</f>
        <v>2018-08-13 18:00</v>
      </c>
      <c r="AC159" s="26">
        <f>('Run Parameters'!$B$2) - 7</f>
        <v>43318.333333333336</v>
      </c>
      <c r="AD159" s="17" t="s">
        <v>75</v>
      </c>
      <c r="AE159" s="18" t="str">
        <f t="shared" si="190"/>
        <v>LAST_METER-800</v>
      </c>
      <c r="AF159" s="136" t="str">
        <f>'Run Parameters'!$B$2</f>
        <v>2018-08-13 08:00</v>
      </c>
      <c r="AG159" s="13" t="str">
        <f>'Run Parameters'!B$4</f>
        <v>AUTOTEST2</v>
      </c>
      <c r="AH159" s="54" t="str">
        <f t="shared" si="191"/>
        <v>Site_Contact_800</v>
      </c>
      <c r="AI159" s="136" t="str">
        <f>'Run Parameters'!B$2</f>
        <v>2018-08-13 08:00</v>
      </c>
      <c r="AJ159" s="223" t="str">
        <f>'Run Parameters'!B$3</f>
        <v>2018-08-13 18:00</v>
      </c>
      <c r="AK159" s="13" t="s">
        <v>396</v>
      </c>
      <c r="AL159" s="54" t="str">
        <f t="shared" si="192"/>
        <v>01159800</v>
      </c>
      <c r="AM159" s="13" t="str">
        <f t="shared" si="193"/>
        <v>0115800</v>
      </c>
      <c r="AN159" s="15"/>
      <c r="AO159" s="52"/>
      <c r="AP159" s="13">
        <v>1</v>
      </c>
      <c r="AQ159" s="53" t="s">
        <v>49</v>
      </c>
      <c r="AR159" s="15"/>
      <c r="AS159" s="13"/>
      <c r="AT159" s="7" t="s">
        <v>774</v>
      </c>
      <c r="AU159" s="7"/>
      <c r="AV159" s="13">
        <f t="shared" si="194"/>
        <v>800</v>
      </c>
      <c r="AW159" s="13" t="s">
        <v>775</v>
      </c>
      <c r="AX159" s="13" t="s">
        <v>420</v>
      </c>
      <c r="AY159" s="13" t="s">
        <v>421</v>
      </c>
      <c r="AZ159" s="15" t="s">
        <v>334</v>
      </c>
      <c r="BA159" s="14" t="s">
        <v>154</v>
      </c>
      <c r="BB159" s="21">
        <v>1</v>
      </c>
      <c r="BC159" s="20">
        <f t="shared" si="195"/>
        <v>800</v>
      </c>
      <c r="BD159" s="16" t="s">
        <v>776</v>
      </c>
      <c r="BE159" s="16" t="s">
        <v>391</v>
      </c>
      <c r="BF159" s="16" t="s">
        <v>391</v>
      </c>
      <c r="BG159" s="20" t="s">
        <v>773</v>
      </c>
      <c r="BH159" s="20" t="str">
        <f t="shared" si="196"/>
        <v>800_1</v>
      </c>
      <c r="BI159" s="21"/>
      <c r="BJ159" s="21" t="str">
        <f t="shared" si="197"/>
        <v>10000000800</v>
      </c>
      <c r="BK159" s="16" t="s">
        <v>51</v>
      </c>
      <c r="BL159" s="16" t="s">
        <v>54</v>
      </c>
      <c r="BM159" s="20" t="s">
        <v>769</v>
      </c>
      <c r="BN159" s="16" t="s">
        <v>51</v>
      </c>
      <c r="BO159" s="20" t="str">
        <f t="shared" si="198"/>
        <v>S05S800</v>
      </c>
      <c r="BP159" s="16" t="s">
        <v>777</v>
      </c>
      <c r="BQ159" s="16" t="s">
        <v>777</v>
      </c>
      <c r="BR159" s="20" t="s">
        <v>161</v>
      </c>
      <c r="BS159" s="16" t="s">
        <v>50</v>
      </c>
      <c r="BT159" s="16" t="s">
        <v>47</v>
      </c>
      <c r="BU159" s="16" t="s">
        <v>393</v>
      </c>
      <c r="BV159" s="16" t="s">
        <v>51</v>
      </c>
      <c r="BW159" s="16" t="s">
        <v>154</v>
      </c>
      <c r="BX159" s="16"/>
      <c r="BY159" s="16"/>
      <c r="BZ159" s="16" t="s">
        <v>157</v>
      </c>
      <c r="CA159" s="16" t="s">
        <v>269</v>
      </c>
      <c r="CB159" s="16" t="s">
        <v>412</v>
      </c>
      <c r="CC159" s="16" t="s">
        <v>771</v>
      </c>
      <c r="CD159" s="16" t="s">
        <v>392</v>
      </c>
      <c r="CE159" s="16" t="s">
        <v>396</v>
      </c>
      <c r="CF159" s="16" t="s">
        <v>398</v>
      </c>
      <c r="CG159" s="16" t="s">
        <v>778</v>
      </c>
      <c r="CH159" s="16" t="s">
        <v>159</v>
      </c>
      <c r="CI159" s="6">
        <v>1</v>
      </c>
      <c r="CJ159" s="6" t="str">
        <f t="shared" si="199"/>
        <v>GAS_ENQ_NO-800</v>
      </c>
      <c r="CK159" s="7" t="s">
        <v>779</v>
      </c>
      <c r="CL159" s="7" t="s">
        <v>391</v>
      </c>
      <c r="CM159" s="7" t="s">
        <v>391</v>
      </c>
      <c r="CN159" s="6" t="s">
        <v>780</v>
      </c>
      <c r="CO159" s="6" t="str">
        <f t="shared" si="200"/>
        <v>GAS_JOB_ID-800</v>
      </c>
      <c r="CP159" s="7"/>
      <c r="CQ159" s="6" t="str">
        <f t="shared" si="201"/>
        <v>10000800</v>
      </c>
      <c r="CR159" s="6" t="s">
        <v>154</v>
      </c>
      <c r="CS159" s="7" t="s">
        <v>51</v>
      </c>
      <c r="CT159" s="27" t="str">
        <f t="shared" si="202"/>
        <v>GMETER800</v>
      </c>
      <c r="CU159" s="6" t="s">
        <v>161</v>
      </c>
      <c r="CV159" s="7" t="s">
        <v>165</v>
      </c>
      <c r="CW159" s="7" t="s">
        <v>772</v>
      </c>
      <c r="CX159" s="7"/>
      <c r="CY159" s="7"/>
      <c r="CZ159" s="7" t="s">
        <v>394</v>
      </c>
      <c r="DA159" s="7" t="s">
        <v>395</v>
      </c>
      <c r="DB159" s="6" t="str">
        <f t="shared" si="163"/>
        <v>GAS_INST_ID-800</v>
      </c>
      <c r="DC159" s="7" t="s">
        <v>161</v>
      </c>
      <c r="DD159" s="7"/>
      <c r="DE159" s="7" t="s">
        <v>51</v>
      </c>
      <c r="DF159" s="7" t="s">
        <v>264</v>
      </c>
      <c r="DG159" s="7"/>
      <c r="DH159" s="7" t="s">
        <v>397</v>
      </c>
      <c r="DI159" s="7" t="s">
        <v>399</v>
      </c>
      <c r="DJ159" s="10" t="s">
        <v>778</v>
      </c>
      <c r="DK159" s="7" t="s">
        <v>140</v>
      </c>
      <c r="DL159" s="40"/>
      <c r="DM159" s="40"/>
      <c r="DN159" s="38" t="str">
        <f t="shared" si="164"/>
        <v>DS_Pass-800</v>
      </c>
      <c r="DO159" s="40"/>
      <c r="DP159" s="40"/>
      <c r="DQ159" s="40"/>
      <c r="DR159" s="41"/>
      <c r="DS159" s="41"/>
      <c r="DT159" s="40"/>
      <c r="DU159" s="40"/>
      <c r="DV159" s="40"/>
      <c r="DW159" s="41"/>
      <c r="DX159" s="40"/>
      <c r="DY159" s="40"/>
      <c r="DZ159" s="37" t="s">
        <v>777</v>
      </c>
      <c r="EA159" s="39"/>
      <c r="EB159" s="37"/>
      <c r="EC159" s="37"/>
      <c r="ED159" s="16"/>
      <c r="EE159" s="1"/>
      <c r="EF159" s="55"/>
    </row>
    <row r="160" spans="1:136">
      <c r="A160" s="219" t="s">
        <v>930</v>
      </c>
      <c r="B160" s="219" t="s">
        <v>892</v>
      </c>
      <c r="C160" s="219" t="s">
        <v>865</v>
      </c>
      <c r="D160" s="13">
        <f>'Run Parameters'!$B$1 + ROW()-1</f>
        <v>801</v>
      </c>
      <c r="E160" s="15" t="s">
        <v>47</v>
      </c>
      <c r="F160" s="18" t="s">
        <v>816</v>
      </c>
      <c r="G160" s="13" t="str">
        <f t="shared" si="182"/>
        <v>Access Dtls-801</v>
      </c>
      <c r="H160" s="15" t="s">
        <v>275</v>
      </c>
      <c r="I160" s="13" t="str">
        <f>("MR. Test_151_FLTY17_"&amp;D160&amp;"")</f>
        <v>MR. Test_151_FLTY17_801</v>
      </c>
      <c r="J160" s="18"/>
      <c r="K160" s="19" t="s">
        <v>425</v>
      </c>
      <c r="L160" s="13" t="str">
        <f t="shared" si="183"/>
        <v>Cust. Ref-801</v>
      </c>
      <c r="M160" s="15" t="s">
        <v>48</v>
      </c>
      <c r="N160" s="15" t="s">
        <v>425</v>
      </c>
      <c r="O160" s="13"/>
      <c r="P160" s="13" t="str">
        <f t="shared" si="184"/>
        <v>SN-801</v>
      </c>
      <c r="Q160" s="13" t="str">
        <f t="shared" si="185"/>
        <v>SI-801</v>
      </c>
      <c r="R160" s="13" t="str">
        <f t="shared" si="186"/>
        <v>SE-801</v>
      </c>
      <c r="S160" s="54" t="str">
        <f t="shared" si="187"/>
        <v>Prev_RA-801</v>
      </c>
      <c r="T160" s="54" t="str">
        <f t="shared" si="188"/>
        <v>Prev_Comms-801</v>
      </c>
      <c r="U160" s="17" t="s">
        <v>75</v>
      </c>
      <c r="V160" s="15" t="s">
        <v>401</v>
      </c>
      <c r="W160" s="17" t="s">
        <v>75</v>
      </c>
      <c r="X160" s="15" t="s">
        <v>396</v>
      </c>
      <c r="Y160" s="13" t="str">
        <f t="shared" si="189"/>
        <v>Forward Add-801</v>
      </c>
      <c r="Z160" s="15" t="s">
        <v>401</v>
      </c>
      <c r="AA160" s="136" t="str">
        <f>'Run Parameters'!$B$2</f>
        <v>2018-08-13 08:00</v>
      </c>
      <c r="AB160" s="223" t="str">
        <f>'Run Parameters'!B$3</f>
        <v>2018-08-13 18:00</v>
      </c>
      <c r="AC160" s="26">
        <f>('Run Parameters'!$B$2) - 7</f>
        <v>43318.333333333336</v>
      </c>
      <c r="AD160" s="17" t="s">
        <v>75</v>
      </c>
      <c r="AE160" s="18" t="str">
        <f t="shared" si="190"/>
        <v>LAST_METER-801</v>
      </c>
      <c r="AF160" s="136" t="str">
        <f>'Run Parameters'!$B$2</f>
        <v>2018-08-13 08:00</v>
      </c>
      <c r="AG160" s="13" t="str">
        <f>'Run Parameters'!B$4</f>
        <v>AUTOTEST2</v>
      </c>
      <c r="AH160" s="54" t="str">
        <f t="shared" si="191"/>
        <v>Site_Contact_801</v>
      </c>
      <c r="AI160" s="136" t="str">
        <f>'Run Parameters'!B$2</f>
        <v>2018-08-13 08:00</v>
      </c>
      <c r="AJ160" s="223" t="str">
        <f>'Run Parameters'!B$3</f>
        <v>2018-08-13 18:00</v>
      </c>
      <c r="AK160" s="13" t="s">
        <v>396</v>
      </c>
      <c r="AL160" s="54" t="str">
        <f t="shared" si="192"/>
        <v>01159801</v>
      </c>
      <c r="AM160" s="13" t="str">
        <f t="shared" si="193"/>
        <v>0115801</v>
      </c>
      <c r="AN160" s="15"/>
      <c r="AO160" s="52"/>
      <c r="AP160" s="13">
        <v>1</v>
      </c>
      <c r="AQ160" s="53" t="s">
        <v>49</v>
      </c>
      <c r="AR160" s="15"/>
      <c r="AS160" s="13"/>
      <c r="AT160" s="7" t="s">
        <v>774</v>
      </c>
      <c r="AU160" s="7"/>
      <c r="AV160" s="13">
        <f t="shared" si="194"/>
        <v>801</v>
      </c>
      <c r="AW160" s="13" t="s">
        <v>775</v>
      </c>
      <c r="AX160" s="13" t="s">
        <v>420</v>
      </c>
      <c r="AY160" s="13" t="s">
        <v>421</v>
      </c>
      <c r="AZ160" s="15" t="s">
        <v>334</v>
      </c>
      <c r="BA160" s="14" t="s">
        <v>154</v>
      </c>
      <c r="BB160" s="21">
        <v>1</v>
      </c>
      <c r="BC160" s="20">
        <f t="shared" si="195"/>
        <v>801</v>
      </c>
      <c r="BD160" s="16" t="s">
        <v>776</v>
      </c>
      <c r="BE160" s="16" t="s">
        <v>391</v>
      </c>
      <c r="BF160" s="16" t="s">
        <v>391</v>
      </c>
      <c r="BG160" s="20" t="s">
        <v>773</v>
      </c>
      <c r="BH160" s="20" t="str">
        <f t="shared" si="196"/>
        <v>801_1</v>
      </c>
      <c r="BI160" s="21"/>
      <c r="BJ160" s="21" t="str">
        <f t="shared" si="197"/>
        <v>10000000801</v>
      </c>
      <c r="BK160" s="16" t="s">
        <v>51</v>
      </c>
      <c r="BL160" s="16" t="s">
        <v>54</v>
      </c>
      <c r="BM160" s="20" t="s">
        <v>769</v>
      </c>
      <c r="BN160" s="16" t="s">
        <v>51</v>
      </c>
      <c r="BO160" s="20" t="str">
        <f t="shared" si="198"/>
        <v>S05S801</v>
      </c>
      <c r="BP160" s="16" t="s">
        <v>777</v>
      </c>
      <c r="BQ160" s="16" t="s">
        <v>777</v>
      </c>
      <c r="BR160" s="20" t="s">
        <v>161</v>
      </c>
      <c r="BS160" s="16" t="s">
        <v>50</v>
      </c>
      <c r="BT160" s="16" t="s">
        <v>47</v>
      </c>
      <c r="BU160" s="16" t="s">
        <v>393</v>
      </c>
      <c r="BV160" s="16" t="s">
        <v>51</v>
      </c>
      <c r="BW160" s="16" t="s">
        <v>154</v>
      </c>
      <c r="BX160" s="16"/>
      <c r="BY160" s="16"/>
      <c r="BZ160" s="16" t="s">
        <v>157</v>
      </c>
      <c r="CA160" s="16" t="s">
        <v>269</v>
      </c>
      <c r="CB160" s="16" t="s">
        <v>412</v>
      </c>
      <c r="CC160" s="16" t="s">
        <v>771</v>
      </c>
      <c r="CD160" s="16" t="s">
        <v>392</v>
      </c>
      <c r="CE160" s="16" t="s">
        <v>396</v>
      </c>
      <c r="CF160" s="16" t="s">
        <v>398</v>
      </c>
      <c r="CG160" s="16" t="s">
        <v>778</v>
      </c>
      <c r="CH160" s="16" t="s">
        <v>159</v>
      </c>
      <c r="CI160" s="6">
        <v>1</v>
      </c>
      <c r="CJ160" s="6" t="str">
        <f t="shared" si="199"/>
        <v>GAS_ENQ_NO-801</v>
      </c>
      <c r="CK160" s="7" t="s">
        <v>779</v>
      </c>
      <c r="CL160" s="7" t="s">
        <v>391</v>
      </c>
      <c r="CM160" s="7" t="s">
        <v>391</v>
      </c>
      <c r="CN160" s="6" t="s">
        <v>780</v>
      </c>
      <c r="CO160" s="6" t="str">
        <f t="shared" si="200"/>
        <v>GAS_JOB_ID-801</v>
      </c>
      <c r="CP160" s="7"/>
      <c r="CQ160" s="6" t="str">
        <f t="shared" si="201"/>
        <v>10000801</v>
      </c>
      <c r="CR160" s="6" t="s">
        <v>154</v>
      </c>
      <c r="CS160" s="7" t="s">
        <v>51</v>
      </c>
      <c r="CT160" s="27" t="str">
        <f t="shared" si="202"/>
        <v>GMETER801</v>
      </c>
      <c r="CU160" s="6" t="s">
        <v>161</v>
      </c>
      <c r="CV160" s="7" t="s">
        <v>165</v>
      </c>
      <c r="CW160" s="7" t="s">
        <v>772</v>
      </c>
      <c r="CX160" s="7"/>
      <c r="CY160" s="7"/>
      <c r="CZ160" s="7" t="s">
        <v>394</v>
      </c>
      <c r="DA160" s="7" t="s">
        <v>395</v>
      </c>
      <c r="DB160" s="6" t="str">
        <f t="shared" si="163"/>
        <v>GAS_INST_ID-801</v>
      </c>
      <c r="DC160" s="7" t="s">
        <v>161</v>
      </c>
      <c r="DD160" s="7"/>
      <c r="DE160" s="7" t="s">
        <v>51</v>
      </c>
      <c r="DF160" s="7" t="s">
        <v>264</v>
      </c>
      <c r="DG160" s="7"/>
      <c r="DH160" s="7" t="s">
        <v>397</v>
      </c>
      <c r="DI160" s="7" t="s">
        <v>399</v>
      </c>
      <c r="DJ160" s="10" t="s">
        <v>778</v>
      </c>
      <c r="DK160" s="7" t="s">
        <v>140</v>
      </c>
      <c r="DL160" s="40"/>
      <c r="DM160" s="40"/>
      <c r="DN160" s="38" t="str">
        <f t="shared" si="164"/>
        <v>DS_Pass-801</v>
      </c>
      <c r="DO160" s="40"/>
      <c r="DP160" s="40"/>
      <c r="DQ160" s="40"/>
      <c r="DR160" s="41"/>
      <c r="DS160" s="41"/>
      <c r="DT160" s="40"/>
      <c r="DU160" s="40"/>
      <c r="DV160" s="40"/>
      <c r="DW160" s="41"/>
      <c r="DX160" s="40"/>
      <c r="DY160" s="40"/>
      <c r="DZ160" s="37" t="s">
        <v>777</v>
      </c>
      <c r="EA160" s="39"/>
      <c r="EB160" s="37"/>
      <c r="EC160" s="37"/>
      <c r="ED160" s="16"/>
      <c r="EE160" s="1"/>
      <c r="EF160" s="55"/>
    </row>
    <row r="161" spans="1:136">
      <c r="A161" s="219" t="s">
        <v>931</v>
      </c>
      <c r="B161" s="219" t="s">
        <v>868</v>
      </c>
      <c r="C161" s="219" t="s">
        <v>865</v>
      </c>
      <c r="D161" s="13">
        <f>'Run Parameters'!$B$1 + ROW()-1</f>
        <v>802</v>
      </c>
      <c r="E161" s="15" t="s">
        <v>47</v>
      </c>
      <c r="F161" s="18" t="s">
        <v>816</v>
      </c>
      <c r="G161" s="13" t="str">
        <f t="shared" si="182"/>
        <v>Access Dtls-802</v>
      </c>
      <c r="H161" s="15" t="s">
        <v>275</v>
      </c>
      <c r="I161" s="13" t="str">
        <f>("MR. Test_152_FLTY17_"&amp;D161&amp;"")</f>
        <v>MR. Test_152_FLTY17_802</v>
      </c>
      <c r="J161" s="18"/>
      <c r="K161" s="19" t="s">
        <v>425</v>
      </c>
      <c r="L161" s="13" t="str">
        <f t="shared" si="183"/>
        <v>Cust. Ref-802</v>
      </c>
      <c r="M161" s="15" t="s">
        <v>48</v>
      </c>
      <c r="N161" s="15" t="s">
        <v>425</v>
      </c>
      <c r="O161" s="13"/>
      <c r="P161" s="13" t="str">
        <f t="shared" si="184"/>
        <v>SN-802</v>
      </c>
      <c r="Q161" s="13" t="str">
        <f t="shared" si="185"/>
        <v>SI-802</v>
      </c>
      <c r="R161" s="13" t="str">
        <f t="shared" si="186"/>
        <v>SE-802</v>
      </c>
      <c r="S161" s="54" t="str">
        <f t="shared" si="187"/>
        <v>Prev_RA-802</v>
      </c>
      <c r="T161" s="54" t="str">
        <f t="shared" si="188"/>
        <v>Prev_Comms-802</v>
      </c>
      <c r="U161" s="17" t="s">
        <v>75</v>
      </c>
      <c r="V161" s="15" t="s">
        <v>401</v>
      </c>
      <c r="W161" s="17" t="s">
        <v>75</v>
      </c>
      <c r="X161" s="15" t="s">
        <v>396</v>
      </c>
      <c r="Y161" s="13" t="str">
        <f t="shared" si="189"/>
        <v>Forward Add-802</v>
      </c>
      <c r="Z161" s="15" t="s">
        <v>401</v>
      </c>
      <c r="AA161" s="136" t="str">
        <f>'Run Parameters'!$B$2</f>
        <v>2018-08-13 08:00</v>
      </c>
      <c r="AB161" s="223" t="str">
        <f>'Run Parameters'!B$3</f>
        <v>2018-08-13 18:00</v>
      </c>
      <c r="AC161" s="26">
        <f>('Run Parameters'!$B$2) - 7</f>
        <v>43318.333333333336</v>
      </c>
      <c r="AD161" s="17" t="s">
        <v>75</v>
      </c>
      <c r="AE161" s="18" t="str">
        <f t="shared" si="190"/>
        <v>LAST_METER-802</v>
      </c>
      <c r="AF161" s="136" t="str">
        <f>'Run Parameters'!$B$2</f>
        <v>2018-08-13 08:00</v>
      </c>
      <c r="AG161" s="13" t="str">
        <f>'Run Parameters'!B$4</f>
        <v>AUTOTEST2</v>
      </c>
      <c r="AH161" s="54" t="str">
        <f t="shared" si="191"/>
        <v>Site_Contact_802</v>
      </c>
      <c r="AI161" s="136" t="str">
        <f>'Run Parameters'!B$2</f>
        <v>2018-08-13 08:00</v>
      </c>
      <c r="AJ161" s="223" t="str">
        <f>'Run Parameters'!B$3</f>
        <v>2018-08-13 18:00</v>
      </c>
      <c r="AK161" s="13" t="s">
        <v>396</v>
      </c>
      <c r="AL161" s="54" t="str">
        <f t="shared" si="192"/>
        <v>01159802</v>
      </c>
      <c r="AM161" s="13" t="str">
        <f t="shared" si="193"/>
        <v>0115802</v>
      </c>
      <c r="AN161" s="15"/>
      <c r="AO161" s="52"/>
      <c r="AP161" s="13">
        <v>1</v>
      </c>
      <c r="AQ161" s="53" t="s">
        <v>49</v>
      </c>
      <c r="AR161" s="15"/>
      <c r="AS161" s="13"/>
      <c r="AT161" s="7" t="s">
        <v>774</v>
      </c>
      <c r="AU161" s="7"/>
      <c r="AV161" s="13">
        <f t="shared" si="194"/>
        <v>802</v>
      </c>
      <c r="AW161" s="13" t="s">
        <v>775</v>
      </c>
      <c r="AX161" s="13" t="s">
        <v>420</v>
      </c>
      <c r="AY161" s="13" t="s">
        <v>421</v>
      </c>
      <c r="AZ161" s="15" t="s">
        <v>334</v>
      </c>
      <c r="BA161" s="14" t="s">
        <v>154</v>
      </c>
      <c r="BB161" s="21">
        <v>1</v>
      </c>
      <c r="BC161" s="20">
        <f t="shared" si="195"/>
        <v>802</v>
      </c>
      <c r="BD161" s="16" t="s">
        <v>776</v>
      </c>
      <c r="BE161" s="16" t="s">
        <v>391</v>
      </c>
      <c r="BF161" s="16" t="s">
        <v>391</v>
      </c>
      <c r="BG161" s="20" t="s">
        <v>773</v>
      </c>
      <c r="BH161" s="20" t="str">
        <f t="shared" si="196"/>
        <v>802_1</v>
      </c>
      <c r="BI161" s="21"/>
      <c r="BJ161" s="21" t="str">
        <f t="shared" si="197"/>
        <v>10000000802</v>
      </c>
      <c r="BK161" s="16" t="s">
        <v>51</v>
      </c>
      <c r="BL161" s="16" t="s">
        <v>54</v>
      </c>
      <c r="BM161" s="20" t="s">
        <v>769</v>
      </c>
      <c r="BN161" s="16" t="s">
        <v>51</v>
      </c>
      <c r="BO161" s="20" t="str">
        <f t="shared" si="198"/>
        <v>S05S802</v>
      </c>
      <c r="BP161" s="16" t="s">
        <v>777</v>
      </c>
      <c r="BQ161" s="16" t="s">
        <v>777</v>
      </c>
      <c r="BR161" s="20" t="s">
        <v>161</v>
      </c>
      <c r="BS161" s="16" t="s">
        <v>50</v>
      </c>
      <c r="BT161" s="16" t="s">
        <v>47</v>
      </c>
      <c r="BU161" s="16" t="s">
        <v>393</v>
      </c>
      <c r="BV161" s="16" t="s">
        <v>51</v>
      </c>
      <c r="BW161" s="16" t="s">
        <v>154</v>
      </c>
      <c r="BX161" s="16"/>
      <c r="BY161" s="16"/>
      <c r="BZ161" s="16" t="s">
        <v>157</v>
      </c>
      <c r="CA161" s="16" t="s">
        <v>269</v>
      </c>
      <c r="CB161" s="16" t="s">
        <v>412</v>
      </c>
      <c r="CC161" s="16" t="s">
        <v>771</v>
      </c>
      <c r="CD161" s="16" t="s">
        <v>392</v>
      </c>
      <c r="CE161" s="16" t="s">
        <v>396</v>
      </c>
      <c r="CF161" s="16" t="s">
        <v>398</v>
      </c>
      <c r="CG161" s="16" t="s">
        <v>778</v>
      </c>
      <c r="CH161" s="16" t="s">
        <v>159</v>
      </c>
      <c r="CI161" s="6">
        <v>1</v>
      </c>
      <c r="CJ161" s="6" t="str">
        <f t="shared" si="199"/>
        <v>GAS_ENQ_NO-802</v>
      </c>
      <c r="CK161" s="7" t="s">
        <v>779</v>
      </c>
      <c r="CL161" s="7" t="s">
        <v>391</v>
      </c>
      <c r="CM161" s="7" t="s">
        <v>391</v>
      </c>
      <c r="CN161" s="6" t="s">
        <v>780</v>
      </c>
      <c r="CO161" s="6" t="str">
        <f t="shared" si="200"/>
        <v>GAS_JOB_ID-802</v>
      </c>
      <c r="CP161" s="7"/>
      <c r="CQ161" s="6" t="str">
        <f t="shared" si="201"/>
        <v>10000802</v>
      </c>
      <c r="CR161" s="6" t="s">
        <v>154</v>
      </c>
      <c r="CS161" s="7" t="s">
        <v>51</v>
      </c>
      <c r="CT161" s="27" t="str">
        <f t="shared" si="202"/>
        <v>GMETER802</v>
      </c>
      <c r="CU161" s="6" t="s">
        <v>161</v>
      </c>
      <c r="CV161" s="7" t="s">
        <v>165</v>
      </c>
      <c r="CW161" s="7" t="s">
        <v>772</v>
      </c>
      <c r="CX161" s="7"/>
      <c r="CY161" s="7"/>
      <c r="CZ161" s="7" t="s">
        <v>394</v>
      </c>
      <c r="DA161" s="7" t="s">
        <v>395</v>
      </c>
      <c r="DB161" s="6" t="str">
        <f t="shared" si="163"/>
        <v>GAS_INST_ID-802</v>
      </c>
      <c r="DC161" s="7" t="s">
        <v>161</v>
      </c>
      <c r="DD161" s="7"/>
      <c r="DE161" s="7" t="s">
        <v>51</v>
      </c>
      <c r="DF161" s="7" t="s">
        <v>264</v>
      </c>
      <c r="DG161" s="7"/>
      <c r="DH161" s="7" t="s">
        <v>397</v>
      </c>
      <c r="DI161" s="7" t="s">
        <v>399</v>
      </c>
      <c r="DJ161" s="10" t="s">
        <v>778</v>
      </c>
      <c r="DK161" s="7" t="s">
        <v>140</v>
      </c>
      <c r="DL161" s="40"/>
      <c r="DM161" s="40"/>
      <c r="DN161" s="38" t="str">
        <f t="shared" si="164"/>
        <v>DS_Pass-802</v>
      </c>
      <c r="DO161" s="40"/>
      <c r="DP161" s="40"/>
      <c r="DQ161" s="40"/>
      <c r="DR161" s="41"/>
      <c r="DS161" s="41"/>
      <c r="DT161" s="40"/>
      <c r="DU161" s="40"/>
      <c r="DV161" s="40"/>
      <c r="DW161" s="41"/>
      <c r="DX161" s="40"/>
      <c r="DY161" s="40"/>
      <c r="DZ161" s="37" t="s">
        <v>777</v>
      </c>
      <c r="EA161" s="39"/>
      <c r="EB161" s="37"/>
      <c r="EC161" s="37"/>
      <c r="ED161" s="16"/>
      <c r="EE161" s="1"/>
      <c r="EF161" s="55"/>
    </row>
    <row r="162" spans="1:136">
      <c r="A162" s="219" t="s">
        <v>932</v>
      </c>
      <c r="B162" s="219" t="s">
        <v>892</v>
      </c>
      <c r="C162" s="219" t="s">
        <v>865</v>
      </c>
      <c r="D162" s="13">
        <f>'Run Parameters'!$B$1 + ROW()-1</f>
        <v>803</v>
      </c>
      <c r="E162" s="15" t="s">
        <v>47</v>
      </c>
      <c r="F162" s="18" t="s">
        <v>816</v>
      </c>
      <c r="G162" s="13" t="str">
        <f t="shared" si="182"/>
        <v>Access Dtls-803</v>
      </c>
      <c r="H162" s="15" t="s">
        <v>275</v>
      </c>
      <c r="I162" s="13" t="str">
        <f>("MR. Test_153_FLTY17_"&amp;D162&amp;"")</f>
        <v>MR. Test_153_FLTY17_803</v>
      </c>
      <c r="J162" s="18"/>
      <c r="K162" s="19" t="s">
        <v>425</v>
      </c>
      <c r="L162" s="13" t="str">
        <f t="shared" si="183"/>
        <v>Cust. Ref-803</v>
      </c>
      <c r="M162" s="15" t="s">
        <v>48</v>
      </c>
      <c r="N162" s="15" t="s">
        <v>425</v>
      </c>
      <c r="O162" s="13"/>
      <c r="P162" s="13" t="str">
        <f t="shared" si="184"/>
        <v>SN-803</v>
      </c>
      <c r="Q162" s="13" t="str">
        <f t="shared" si="185"/>
        <v>SI-803</v>
      </c>
      <c r="R162" s="13" t="str">
        <f t="shared" si="186"/>
        <v>SE-803</v>
      </c>
      <c r="S162" s="54" t="str">
        <f t="shared" si="187"/>
        <v>Prev_RA-803</v>
      </c>
      <c r="T162" s="54" t="str">
        <f t="shared" si="188"/>
        <v>Prev_Comms-803</v>
      </c>
      <c r="U162" s="17" t="s">
        <v>75</v>
      </c>
      <c r="V162" s="15" t="s">
        <v>401</v>
      </c>
      <c r="W162" s="17" t="s">
        <v>75</v>
      </c>
      <c r="X162" s="15" t="s">
        <v>396</v>
      </c>
      <c r="Y162" s="13" t="str">
        <f t="shared" si="189"/>
        <v>Forward Add-803</v>
      </c>
      <c r="Z162" s="15" t="s">
        <v>401</v>
      </c>
      <c r="AA162" s="136" t="str">
        <f>'Run Parameters'!$B$2</f>
        <v>2018-08-13 08:00</v>
      </c>
      <c r="AB162" s="223" t="str">
        <f>'Run Parameters'!B$3</f>
        <v>2018-08-13 18:00</v>
      </c>
      <c r="AC162" s="26">
        <f>('Run Parameters'!$B$2) - 7</f>
        <v>43318.333333333336</v>
      </c>
      <c r="AD162" s="17" t="s">
        <v>75</v>
      </c>
      <c r="AE162" s="18" t="str">
        <f t="shared" si="190"/>
        <v>LAST_METER-803</v>
      </c>
      <c r="AF162" s="136" t="str">
        <f>'Run Parameters'!$B$2</f>
        <v>2018-08-13 08:00</v>
      </c>
      <c r="AG162" s="13" t="str">
        <f>'Run Parameters'!B$4</f>
        <v>AUTOTEST2</v>
      </c>
      <c r="AH162" s="54" t="str">
        <f t="shared" si="191"/>
        <v>Site_Contact_803</v>
      </c>
      <c r="AI162" s="136" t="str">
        <f>'Run Parameters'!B$2</f>
        <v>2018-08-13 08:00</v>
      </c>
      <c r="AJ162" s="223" t="str">
        <f>'Run Parameters'!B$3</f>
        <v>2018-08-13 18:00</v>
      </c>
      <c r="AK162" s="13" t="s">
        <v>396</v>
      </c>
      <c r="AL162" s="54" t="str">
        <f t="shared" si="192"/>
        <v>01159803</v>
      </c>
      <c r="AM162" s="13" t="str">
        <f t="shared" si="193"/>
        <v>0115803</v>
      </c>
      <c r="AN162" s="15"/>
      <c r="AO162" s="52"/>
      <c r="AP162" s="13">
        <v>1</v>
      </c>
      <c r="AQ162" s="53" t="s">
        <v>49</v>
      </c>
      <c r="AR162" s="15"/>
      <c r="AS162" s="13"/>
      <c r="AT162" s="7" t="s">
        <v>774</v>
      </c>
      <c r="AU162" s="7"/>
      <c r="AV162" s="13">
        <f t="shared" si="194"/>
        <v>803</v>
      </c>
      <c r="AW162" s="13" t="s">
        <v>775</v>
      </c>
      <c r="AX162" s="13" t="s">
        <v>420</v>
      </c>
      <c r="AY162" s="13" t="s">
        <v>421</v>
      </c>
      <c r="AZ162" s="15" t="s">
        <v>334</v>
      </c>
      <c r="BA162" s="14" t="s">
        <v>154</v>
      </c>
      <c r="BB162" s="21">
        <v>1</v>
      </c>
      <c r="BC162" s="20">
        <f t="shared" si="195"/>
        <v>803</v>
      </c>
      <c r="BD162" s="16" t="s">
        <v>776</v>
      </c>
      <c r="BE162" s="16" t="s">
        <v>391</v>
      </c>
      <c r="BF162" s="16" t="s">
        <v>391</v>
      </c>
      <c r="BG162" s="20" t="s">
        <v>773</v>
      </c>
      <c r="BH162" s="20" t="str">
        <f t="shared" si="196"/>
        <v>803_1</v>
      </c>
      <c r="BI162" s="21"/>
      <c r="BJ162" s="21" t="str">
        <f t="shared" si="197"/>
        <v>10000000803</v>
      </c>
      <c r="BK162" s="16" t="s">
        <v>51</v>
      </c>
      <c r="BL162" s="16" t="s">
        <v>54</v>
      </c>
      <c r="BM162" s="20" t="s">
        <v>769</v>
      </c>
      <c r="BN162" s="16" t="s">
        <v>51</v>
      </c>
      <c r="BO162" s="20" t="str">
        <f t="shared" si="198"/>
        <v>S05S803</v>
      </c>
      <c r="BP162" s="16" t="s">
        <v>777</v>
      </c>
      <c r="BQ162" s="16" t="s">
        <v>777</v>
      </c>
      <c r="BR162" s="20" t="s">
        <v>161</v>
      </c>
      <c r="BS162" s="16" t="s">
        <v>50</v>
      </c>
      <c r="BT162" s="16" t="s">
        <v>47</v>
      </c>
      <c r="BU162" s="16" t="s">
        <v>393</v>
      </c>
      <c r="BV162" s="16" t="s">
        <v>51</v>
      </c>
      <c r="BW162" s="16" t="s">
        <v>154</v>
      </c>
      <c r="BX162" s="16"/>
      <c r="BY162" s="16"/>
      <c r="BZ162" s="16" t="s">
        <v>157</v>
      </c>
      <c r="CA162" s="16" t="s">
        <v>269</v>
      </c>
      <c r="CB162" s="16" t="s">
        <v>412</v>
      </c>
      <c r="CC162" s="16" t="s">
        <v>771</v>
      </c>
      <c r="CD162" s="16" t="s">
        <v>392</v>
      </c>
      <c r="CE162" s="16" t="s">
        <v>396</v>
      </c>
      <c r="CF162" s="16" t="s">
        <v>398</v>
      </c>
      <c r="CG162" s="16" t="s">
        <v>778</v>
      </c>
      <c r="CH162" s="16" t="s">
        <v>159</v>
      </c>
      <c r="CI162" s="6">
        <v>1</v>
      </c>
      <c r="CJ162" s="6" t="str">
        <f t="shared" si="199"/>
        <v>GAS_ENQ_NO-803</v>
      </c>
      <c r="CK162" s="7" t="s">
        <v>779</v>
      </c>
      <c r="CL162" s="7" t="s">
        <v>391</v>
      </c>
      <c r="CM162" s="7" t="s">
        <v>391</v>
      </c>
      <c r="CN162" s="6" t="s">
        <v>780</v>
      </c>
      <c r="CO162" s="6" t="str">
        <f t="shared" si="200"/>
        <v>GAS_JOB_ID-803</v>
      </c>
      <c r="CP162" s="7"/>
      <c r="CQ162" s="6" t="str">
        <f t="shared" si="201"/>
        <v>10000803</v>
      </c>
      <c r="CR162" s="6" t="s">
        <v>154</v>
      </c>
      <c r="CS162" s="7" t="s">
        <v>51</v>
      </c>
      <c r="CT162" s="27" t="str">
        <f t="shared" si="202"/>
        <v>GMETER803</v>
      </c>
      <c r="CU162" s="6" t="s">
        <v>161</v>
      </c>
      <c r="CV162" s="7" t="s">
        <v>165</v>
      </c>
      <c r="CW162" s="7" t="s">
        <v>772</v>
      </c>
      <c r="CX162" s="7"/>
      <c r="CY162" s="7"/>
      <c r="CZ162" s="7" t="s">
        <v>394</v>
      </c>
      <c r="DA162" s="7" t="s">
        <v>395</v>
      </c>
      <c r="DB162" s="6" t="str">
        <f t="shared" si="163"/>
        <v>GAS_INST_ID-803</v>
      </c>
      <c r="DC162" s="7" t="s">
        <v>161</v>
      </c>
      <c r="DD162" s="7"/>
      <c r="DE162" s="7" t="s">
        <v>51</v>
      </c>
      <c r="DF162" s="7" t="s">
        <v>264</v>
      </c>
      <c r="DG162" s="7"/>
      <c r="DH162" s="7" t="s">
        <v>397</v>
      </c>
      <c r="DI162" s="7" t="s">
        <v>399</v>
      </c>
      <c r="DJ162" s="10" t="s">
        <v>778</v>
      </c>
      <c r="DK162" s="7" t="s">
        <v>140</v>
      </c>
      <c r="DL162" s="40"/>
      <c r="DM162" s="40"/>
      <c r="DN162" s="38" t="str">
        <f t="shared" si="164"/>
        <v>DS_Pass-803</v>
      </c>
      <c r="DO162" s="40"/>
      <c r="DP162" s="40"/>
      <c r="DQ162" s="40"/>
      <c r="DR162" s="41"/>
      <c r="DS162" s="41"/>
      <c r="DT162" s="40"/>
      <c r="DU162" s="40"/>
      <c r="DV162" s="40"/>
      <c r="DW162" s="41"/>
      <c r="DX162" s="40"/>
      <c r="DY162" s="40"/>
      <c r="DZ162" s="37" t="s">
        <v>777</v>
      </c>
      <c r="EA162" s="39"/>
      <c r="EB162" s="37"/>
      <c r="EC162" s="37"/>
      <c r="ED162" s="16"/>
      <c r="EE162" s="1"/>
      <c r="EF162" s="55"/>
    </row>
    <row r="163" spans="1:136">
      <c r="A163" s="219" t="s">
        <v>1087</v>
      </c>
      <c r="B163" s="219" t="s">
        <v>892</v>
      </c>
      <c r="C163" s="219" t="s">
        <v>865</v>
      </c>
      <c r="D163" s="13">
        <f>'Run Parameters'!$B$1 + ROW()-1</f>
        <v>804</v>
      </c>
      <c r="E163" s="15" t="s">
        <v>47</v>
      </c>
      <c r="F163" s="18" t="s">
        <v>816</v>
      </c>
      <c r="G163" s="13" t="str">
        <f t="shared" si="182"/>
        <v>Access Dtls-804</v>
      </c>
      <c r="H163" s="15" t="s">
        <v>275</v>
      </c>
      <c r="I163" s="13" t="str">
        <f>("MR. Test_154_FLTY17_"&amp;D163&amp;"")</f>
        <v>MR. Test_154_FLTY17_804</v>
      </c>
      <c r="J163" s="18"/>
      <c r="K163" s="19" t="s">
        <v>425</v>
      </c>
      <c r="L163" s="13" t="str">
        <f t="shared" si="183"/>
        <v>Cust. Ref-804</v>
      </c>
      <c r="M163" s="15" t="s">
        <v>48</v>
      </c>
      <c r="N163" s="15" t="s">
        <v>425</v>
      </c>
      <c r="O163" s="13"/>
      <c r="P163" s="13" t="str">
        <f t="shared" si="184"/>
        <v>SN-804</v>
      </c>
      <c r="Q163" s="13" t="str">
        <f t="shared" si="185"/>
        <v>SI-804</v>
      </c>
      <c r="R163" s="13" t="str">
        <f t="shared" si="186"/>
        <v>SE-804</v>
      </c>
      <c r="S163" s="54" t="str">
        <f t="shared" si="187"/>
        <v>Prev_RA-804</v>
      </c>
      <c r="T163" s="54" t="str">
        <f t="shared" si="188"/>
        <v>Prev_Comms-804</v>
      </c>
      <c r="U163" s="17" t="s">
        <v>75</v>
      </c>
      <c r="V163" s="15" t="s">
        <v>401</v>
      </c>
      <c r="W163" s="17" t="s">
        <v>75</v>
      </c>
      <c r="X163" s="15" t="s">
        <v>1081</v>
      </c>
      <c r="Y163" s="13" t="str">
        <f t="shared" si="189"/>
        <v>Forward Add-804</v>
      </c>
      <c r="Z163" s="15" t="s">
        <v>401</v>
      </c>
      <c r="AA163" s="136" t="str">
        <f>'Run Parameters'!$B$2</f>
        <v>2018-08-13 08:00</v>
      </c>
      <c r="AB163" s="223" t="str">
        <f>'Run Parameters'!B$3</f>
        <v>2018-08-13 18:00</v>
      </c>
      <c r="AC163" s="26">
        <f>('Run Parameters'!$B$2) - 7</f>
        <v>43318.333333333336</v>
      </c>
      <c r="AD163" s="17" t="s">
        <v>75</v>
      </c>
      <c r="AE163" s="18" t="str">
        <f t="shared" si="190"/>
        <v>LAST_METER-804</v>
      </c>
      <c r="AF163" s="136" t="str">
        <f>'Run Parameters'!$B$2</f>
        <v>2018-08-13 08:00</v>
      </c>
      <c r="AG163" s="13" t="str">
        <f>'Run Parameters'!B$4</f>
        <v>AUTOTEST2</v>
      </c>
      <c r="AH163" s="54" t="str">
        <f t="shared" si="191"/>
        <v>Site_Contact_804</v>
      </c>
      <c r="AI163" s="136" t="str">
        <f>'Run Parameters'!B$2</f>
        <v>2018-08-13 08:00</v>
      </c>
      <c r="AJ163" s="223" t="str">
        <f>'Run Parameters'!B$3</f>
        <v>2018-08-13 18:00</v>
      </c>
      <c r="AK163" s="13" t="s">
        <v>1081</v>
      </c>
      <c r="AL163" s="54" t="str">
        <f t="shared" si="192"/>
        <v>01159804</v>
      </c>
      <c r="AM163" s="13" t="str">
        <f t="shared" si="193"/>
        <v>0115804</v>
      </c>
      <c r="AN163" s="15"/>
      <c r="AO163" s="52"/>
      <c r="AP163" s="13">
        <v>1</v>
      </c>
      <c r="AQ163" s="53" t="s">
        <v>49</v>
      </c>
      <c r="AR163" s="15"/>
      <c r="AS163" s="13"/>
      <c r="AT163" s="7" t="s">
        <v>774</v>
      </c>
      <c r="AU163" s="7"/>
      <c r="AV163" s="13">
        <f t="shared" si="194"/>
        <v>804</v>
      </c>
      <c r="AW163" s="13" t="s">
        <v>775</v>
      </c>
      <c r="AX163" s="13" t="s">
        <v>420</v>
      </c>
      <c r="AY163" s="13" t="s">
        <v>421</v>
      </c>
      <c r="AZ163" s="15" t="s">
        <v>334</v>
      </c>
      <c r="BA163" s="14" t="s">
        <v>154</v>
      </c>
      <c r="BB163" s="21">
        <v>1</v>
      </c>
      <c r="BC163" s="20">
        <f t="shared" si="195"/>
        <v>804</v>
      </c>
      <c r="BD163" s="16" t="s">
        <v>1101</v>
      </c>
      <c r="BE163" s="16" t="s">
        <v>391</v>
      </c>
      <c r="BF163" s="16" t="s">
        <v>391</v>
      </c>
      <c r="BG163" s="20" t="s">
        <v>773</v>
      </c>
      <c r="BH163" s="20" t="str">
        <f t="shared" si="196"/>
        <v>804_1</v>
      </c>
      <c r="BI163" s="21"/>
      <c r="BJ163" s="21" t="str">
        <f t="shared" si="197"/>
        <v>10000000804</v>
      </c>
      <c r="BK163" s="16" t="s">
        <v>51</v>
      </c>
      <c r="BL163" s="16" t="s">
        <v>54</v>
      </c>
      <c r="BM163" s="20" t="s">
        <v>769</v>
      </c>
      <c r="BN163" s="16" t="s">
        <v>51</v>
      </c>
      <c r="BO163" s="20" t="str">
        <f t="shared" si="198"/>
        <v>S05S804</v>
      </c>
      <c r="BP163" s="16" t="s">
        <v>777</v>
      </c>
      <c r="BQ163" s="16" t="s">
        <v>777</v>
      </c>
      <c r="BR163" s="20" t="s">
        <v>161</v>
      </c>
      <c r="BS163" s="16" t="s">
        <v>50</v>
      </c>
      <c r="BT163" s="16" t="s">
        <v>47</v>
      </c>
      <c r="BU163" s="16" t="s">
        <v>393</v>
      </c>
      <c r="BV163" s="16" t="s">
        <v>51</v>
      </c>
      <c r="BW163" s="16" t="s">
        <v>154</v>
      </c>
      <c r="BX163" s="16"/>
      <c r="BY163" s="16"/>
      <c r="BZ163" s="16" t="s">
        <v>157</v>
      </c>
      <c r="CA163" s="16" t="s">
        <v>269</v>
      </c>
      <c r="CB163" s="16" t="s">
        <v>412</v>
      </c>
      <c r="CC163" s="16" t="s">
        <v>771</v>
      </c>
      <c r="CD163" s="16" t="s">
        <v>392</v>
      </c>
      <c r="CE163" s="16" t="s">
        <v>1081</v>
      </c>
      <c r="CF163" s="16" t="s">
        <v>398</v>
      </c>
      <c r="CG163" s="16" t="s">
        <v>778</v>
      </c>
      <c r="CH163" s="16" t="s">
        <v>159</v>
      </c>
      <c r="CI163" s="6">
        <v>1</v>
      </c>
      <c r="CJ163" s="6" t="str">
        <f t="shared" si="199"/>
        <v>GAS_ENQ_NO-804</v>
      </c>
      <c r="CK163" s="7" t="s">
        <v>779</v>
      </c>
      <c r="CL163" s="7" t="s">
        <v>391</v>
      </c>
      <c r="CM163" s="7" t="s">
        <v>391</v>
      </c>
      <c r="CN163" s="6" t="s">
        <v>780</v>
      </c>
      <c r="CO163" s="6" t="str">
        <f t="shared" si="200"/>
        <v>GAS_JOB_ID-804</v>
      </c>
      <c r="CP163" s="7"/>
      <c r="CQ163" s="6" t="str">
        <f t="shared" si="201"/>
        <v>10000804</v>
      </c>
      <c r="CR163" s="6" t="s">
        <v>154</v>
      </c>
      <c r="CS163" s="7" t="s">
        <v>51</v>
      </c>
      <c r="CT163" s="27" t="str">
        <f t="shared" si="202"/>
        <v>GMETER804</v>
      </c>
      <c r="CU163" s="6" t="s">
        <v>161</v>
      </c>
      <c r="CV163" s="7" t="s">
        <v>165</v>
      </c>
      <c r="CW163" s="7" t="s">
        <v>772</v>
      </c>
      <c r="CX163" s="7"/>
      <c r="CY163" s="7"/>
      <c r="CZ163" s="7" t="s">
        <v>394</v>
      </c>
      <c r="DA163" s="7" t="s">
        <v>395</v>
      </c>
      <c r="DB163" s="6" t="str">
        <f t="shared" si="163"/>
        <v>GAS_INST_ID-804</v>
      </c>
      <c r="DC163" s="7" t="s">
        <v>161</v>
      </c>
      <c r="DD163" s="7"/>
      <c r="DE163" s="7" t="s">
        <v>51</v>
      </c>
      <c r="DF163" s="7" t="s">
        <v>264</v>
      </c>
      <c r="DG163" s="7"/>
      <c r="DH163" s="7" t="s">
        <v>397</v>
      </c>
      <c r="DI163" s="7" t="s">
        <v>399</v>
      </c>
      <c r="DJ163" s="10" t="s">
        <v>778</v>
      </c>
      <c r="DK163" s="7" t="s">
        <v>140</v>
      </c>
      <c r="DL163" s="40"/>
      <c r="DM163" s="40"/>
      <c r="DN163" s="38" t="str">
        <f t="shared" si="164"/>
        <v>DS_Pass-804</v>
      </c>
      <c r="DO163" s="40"/>
      <c r="DP163" s="40"/>
      <c r="DQ163" s="40"/>
      <c r="DR163" s="41"/>
      <c r="DS163" s="41"/>
      <c r="DT163" s="40"/>
      <c r="DU163" s="40"/>
      <c r="DV163" s="40"/>
      <c r="DW163" s="41"/>
      <c r="DX163" s="40"/>
      <c r="DY163" s="40"/>
      <c r="DZ163" s="37" t="s">
        <v>777</v>
      </c>
      <c r="EA163" s="39"/>
      <c r="EB163" s="37"/>
      <c r="EC163" s="37"/>
      <c r="ED163" s="16"/>
      <c r="EE163" s="1"/>
      <c r="EF163" s="55"/>
    </row>
    <row r="164" spans="1:136">
      <c r="A164" s="219" t="s">
        <v>933</v>
      </c>
      <c r="B164" s="219" t="s">
        <v>892</v>
      </c>
      <c r="C164" s="219" t="s">
        <v>865</v>
      </c>
      <c r="D164" s="13">
        <f>'Run Parameters'!$B$1 + ROW()-1</f>
        <v>805</v>
      </c>
      <c r="E164" s="15" t="s">
        <v>47</v>
      </c>
      <c r="F164" s="18" t="s">
        <v>816</v>
      </c>
      <c r="G164" s="13" t="str">
        <f t="shared" si="182"/>
        <v>Access Dtls-805</v>
      </c>
      <c r="H164" s="15" t="s">
        <v>275</v>
      </c>
      <c r="I164" s="13" t="str">
        <f>("MR. Test_155_FLTY17_"&amp;D164&amp;"")</f>
        <v>MR. Test_155_FLTY17_805</v>
      </c>
      <c r="J164" s="18"/>
      <c r="K164" s="19" t="s">
        <v>425</v>
      </c>
      <c r="L164" s="13" t="str">
        <f t="shared" si="183"/>
        <v>Cust. Ref-805</v>
      </c>
      <c r="M164" s="15" t="s">
        <v>48</v>
      </c>
      <c r="N164" s="15" t="s">
        <v>425</v>
      </c>
      <c r="O164" s="13"/>
      <c r="P164" s="13" t="str">
        <f t="shared" si="184"/>
        <v>SN-805</v>
      </c>
      <c r="Q164" s="13" t="str">
        <f t="shared" si="185"/>
        <v>SI-805</v>
      </c>
      <c r="R164" s="13" t="str">
        <f t="shared" si="186"/>
        <v>SE-805</v>
      </c>
      <c r="S164" s="54" t="str">
        <f t="shared" si="187"/>
        <v>Prev_RA-805</v>
      </c>
      <c r="T164" s="54" t="str">
        <f t="shared" si="188"/>
        <v>Prev_Comms-805</v>
      </c>
      <c r="U164" s="17" t="s">
        <v>75</v>
      </c>
      <c r="V164" s="15" t="s">
        <v>401</v>
      </c>
      <c r="W164" s="17" t="s">
        <v>75</v>
      </c>
      <c r="X164" s="15" t="s">
        <v>396</v>
      </c>
      <c r="Y164" s="13" t="str">
        <f t="shared" si="189"/>
        <v>Forward Add-805</v>
      </c>
      <c r="Z164" s="15" t="s">
        <v>401</v>
      </c>
      <c r="AA164" s="136" t="str">
        <f>'Run Parameters'!$B$2</f>
        <v>2018-08-13 08:00</v>
      </c>
      <c r="AB164" s="223" t="str">
        <f>'Run Parameters'!B$3</f>
        <v>2018-08-13 18:00</v>
      </c>
      <c r="AC164" s="26">
        <f>('Run Parameters'!$B$2) - 7</f>
        <v>43318.333333333336</v>
      </c>
      <c r="AD164" s="17" t="s">
        <v>75</v>
      </c>
      <c r="AE164" s="18" t="str">
        <f t="shared" si="190"/>
        <v>LAST_METER-805</v>
      </c>
      <c r="AF164" s="136" t="str">
        <f>'Run Parameters'!$B$2</f>
        <v>2018-08-13 08:00</v>
      </c>
      <c r="AG164" s="13" t="str">
        <f>'Run Parameters'!B$4</f>
        <v>AUTOTEST2</v>
      </c>
      <c r="AH164" s="54" t="str">
        <f t="shared" si="191"/>
        <v>Site_Contact_805</v>
      </c>
      <c r="AI164" s="136" t="str">
        <f>'Run Parameters'!B$2</f>
        <v>2018-08-13 08:00</v>
      </c>
      <c r="AJ164" s="223" t="str">
        <f>'Run Parameters'!B$3</f>
        <v>2018-08-13 18:00</v>
      </c>
      <c r="AK164" s="13" t="s">
        <v>396</v>
      </c>
      <c r="AL164" s="54" t="str">
        <f t="shared" si="192"/>
        <v>01159805</v>
      </c>
      <c r="AM164" s="13" t="str">
        <f t="shared" si="193"/>
        <v>0115805</v>
      </c>
      <c r="AN164" s="15"/>
      <c r="AO164" s="52"/>
      <c r="AP164" s="13">
        <v>1</v>
      </c>
      <c r="AQ164" s="53" t="s">
        <v>49</v>
      </c>
      <c r="AR164" s="15"/>
      <c r="AS164" s="13"/>
      <c r="AT164" s="7" t="s">
        <v>774</v>
      </c>
      <c r="AU164" s="7"/>
      <c r="AV164" s="13">
        <f t="shared" si="194"/>
        <v>805</v>
      </c>
      <c r="AW164" s="13" t="s">
        <v>775</v>
      </c>
      <c r="AX164" s="13" t="s">
        <v>420</v>
      </c>
      <c r="AY164" s="13" t="s">
        <v>421</v>
      </c>
      <c r="AZ164" s="15" t="s">
        <v>334</v>
      </c>
      <c r="BA164" s="14" t="s">
        <v>154</v>
      </c>
      <c r="BB164" s="21">
        <v>1</v>
      </c>
      <c r="BC164" s="20">
        <f t="shared" si="195"/>
        <v>805</v>
      </c>
      <c r="BD164" s="16" t="s">
        <v>776</v>
      </c>
      <c r="BE164" s="16" t="s">
        <v>391</v>
      </c>
      <c r="BF164" s="16" t="s">
        <v>391</v>
      </c>
      <c r="BG164" s="20" t="s">
        <v>773</v>
      </c>
      <c r="BH164" s="20" t="str">
        <f t="shared" si="196"/>
        <v>805_1</v>
      </c>
      <c r="BI164" s="21"/>
      <c r="BJ164" s="21" t="str">
        <f t="shared" si="197"/>
        <v>10000000805</v>
      </c>
      <c r="BK164" s="16" t="s">
        <v>51</v>
      </c>
      <c r="BL164" s="16" t="s">
        <v>54</v>
      </c>
      <c r="BM164" s="20" t="s">
        <v>769</v>
      </c>
      <c r="BN164" s="16" t="s">
        <v>51</v>
      </c>
      <c r="BO164" s="20" t="str">
        <f t="shared" si="198"/>
        <v>S05S805</v>
      </c>
      <c r="BP164" s="16" t="s">
        <v>777</v>
      </c>
      <c r="BQ164" s="16" t="s">
        <v>777</v>
      </c>
      <c r="BR164" s="20" t="s">
        <v>161</v>
      </c>
      <c r="BS164" s="16" t="s">
        <v>50</v>
      </c>
      <c r="BT164" s="16" t="s">
        <v>47</v>
      </c>
      <c r="BU164" s="16" t="s">
        <v>393</v>
      </c>
      <c r="BV164" s="16" t="s">
        <v>51</v>
      </c>
      <c r="BW164" s="16" t="s">
        <v>154</v>
      </c>
      <c r="BX164" s="16"/>
      <c r="BY164" s="16"/>
      <c r="BZ164" s="16" t="s">
        <v>157</v>
      </c>
      <c r="CA164" s="16" t="s">
        <v>269</v>
      </c>
      <c r="CB164" s="16" t="s">
        <v>412</v>
      </c>
      <c r="CC164" s="16" t="s">
        <v>771</v>
      </c>
      <c r="CD164" s="16" t="s">
        <v>392</v>
      </c>
      <c r="CE164" s="16" t="s">
        <v>396</v>
      </c>
      <c r="CF164" s="16" t="s">
        <v>398</v>
      </c>
      <c r="CG164" s="16" t="s">
        <v>778</v>
      </c>
      <c r="CH164" s="16" t="s">
        <v>159</v>
      </c>
      <c r="CI164" s="6">
        <v>1</v>
      </c>
      <c r="CJ164" s="6" t="str">
        <f t="shared" si="199"/>
        <v>GAS_ENQ_NO-805</v>
      </c>
      <c r="CK164" s="7" t="s">
        <v>779</v>
      </c>
      <c r="CL164" s="7" t="s">
        <v>391</v>
      </c>
      <c r="CM164" s="7" t="s">
        <v>391</v>
      </c>
      <c r="CN164" s="6" t="s">
        <v>780</v>
      </c>
      <c r="CO164" s="6" t="str">
        <f t="shared" si="200"/>
        <v>GAS_JOB_ID-805</v>
      </c>
      <c r="CP164" s="7"/>
      <c r="CQ164" s="6" t="str">
        <f t="shared" si="201"/>
        <v>10000805</v>
      </c>
      <c r="CR164" s="6" t="s">
        <v>154</v>
      </c>
      <c r="CS164" s="7" t="s">
        <v>51</v>
      </c>
      <c r="CT164" s="27" t="str">
        <f t="shared" si="202"/>
        <v>GMETER805</v>
      </c>
      <c r="CU164" s="6" t="s">
        <v>161</v>
      </c>
      <c r="CV164" s="7" t="s">
        <v>165</v>
      </c>
      <c r="CW164" s="7" t="s">
        <v>772</v>
      </c>
      <c r="CX164" s="7"/>
      <c r="CY164" s="7"/>
      <c r="CZ164" s="7" t="s">
        <v>394</v>
      </c>
      <c r="DA164" s="7" t="s">
        <v>395</v>
      </c>
      <c r="DB164" s="6" t="str">
        <f t="shared" si="163"/>
        <v>GAS_INST_ID-805</v>
      </c>
      <c r="DC164" s="7" t="s">
        <v>161</v>
      </c>
      <c r="DD164" s="7"/>
      <c r="DE164" s="7" t="s">
        <v>51</v>
      </c>
      <c r="DF164" s="7" t="s">
        <v>264</v>
      </c>
      <c r="DG164" s="7"/>
      <c r="DH164" s="7" t="s">
        <v>397</v>
      </c>
      <c r="DI164" s="7" t="s">
        <v>399</v>
      </c>
      <c r="DJ164" s="10" t="s">
        <v>778</v>
      </c>
      <c r="DK164" s="7" t="s">
        <v>140</v>
      </c>
      <c r="DL164" s="40"/>
      <c r="DM164" s="40"/>
      <c r="DN164" s="38" t="str">
        <f t="shared" si="164"/>
        <v>DS_Pass-805</v>
      </c>
      <c r="DO164" s="40"/>
      <c r="DP164" s="40"/>
      <c r="DQ164" s="40"/>
      <c r="DR164" s="41"/>
      <c r="DS164" s="41"/>
      <c r="DT164" s="40"/>
      <c r="DU164" s="40"/>
      <c r="DV164" s="40"/>
      <c r="DW164" s="41"/>
      <c r="DX164" s="40"/>
      <c r="DY164" s="40"/>
      <c r="DZ164" s="37" t="s">
        <v>777</v>
      </c>
      <c r="EA164" s="39"/>
      <c r="EB164" s="37"/>
      <c r="EC164" s="37"/>
      <c r="ED164" s="16"/>
      <c r="EE164" s="1"/>
      <c r="EF164" s="55"/>
    </row>
    <row r="165" spans="1:136">
      <c r="A165" s="219" t="s">
        <v>934</v>
      </c>
      <c r="B165" s="219" t="s">
        <v>868</v>
      </c>
      <c r="C165" s="219" t="s">
        <v>865</v>
      </c>
      <c r="D165" s="13">
        <f>'Run Parameters'!$B$1 + ROW()-1</f>
        <v>806</v>
      </c>
      <c r="E165" s="15" t="s">
        <v>47</v>
      </c>
      <c r="F165" s="18" t="s">
        <v>816</v>
      </c>
      <c r="G165" s="13" t="str">
        <f t="shared" si="182"/>
        <v>Access Dtls-806</v>
      </c>
      <c r="H165" s="15" t="s">
        <v>275</v>
      </c>
      <c r="I165" s="13" t="str">
        <f>("MR. Test_156_FLTY17_"&amp;D165&amp;"")</f>
        <v>MR. Test_156_FLTY17_806</v>
      </c>
      <c r="J165" s="18"/>
      <c r="K165" s="19" t="s">
        <v>425</v>
      </c>
      <c r="L165" s="13" t="str">
        <f t="shared" si="183"/>
        <v>Cust. Ref-806</v>
      </c>
      <c r="M165" s="15" t="s">
        <v>48</v>
      </c>
      <c r="N165" s="15" t="s">
        <v>425</v>
      </c>
      <c r="O165" s="13"/>
      <c r="P165" s="13" t="str">
        <f t="shared" si="184"/>
        <v>SN-806</v>
      </c>
      <c r="Q165" s="13" t="str">
        <f t="shared" si="185"/>
        <v>SI-806</v>
      </c>
      <c r="R165" s="13" t="str">
        <f t="shared" si="186"/>
        <v>SE-806</v>
      </c>
      <c r="S165" s="54" t="str">
        <f t="shared" si="187"/>
        <v>Prev_RA-806</v>
      </c>
      <c r="T165" s="54" t="str">
        <f t="shared" si="188"/>
        <v>Prev_Comms-806</v>
      </c>
      <c r="U165" s="17" t="s">
        <v>75</v>
      </c>
      <c r="V165" s="15" t="s">
        <v>401</v>
      </c>
      <c r="W165" s="17" t="s">
        <v>75</v>
      </c>
      <c r="X165" s="15" t="s">
        <v>396</v>
      </c>
      <c r="Y165" s="13" t="str">
        <f t="shared" si="189"/>
        <v>Forward Add-806</v>
      </c>
      <c r="Z165" s="15" t="s">
        <v>401</v>
      </c>
      <c r="AA165" s="136" t="str">
        <f>'Run Parameters'!$B$2</f>
        <v>2018-08-13 08:00</v>
      </c>
      <c r="AB165" s="223" t="str">
        <f>'Run Parameters'!B$3</f>
        <v>2018-08-13 18:00</v>
      </c>
      <c r="AC165" s="26">
        <f>('Run Parameters'!$B$2) - 7</f>
        <v>43318.333333333336</v>
      </c>
      <c r="AD165" s="17" t="s">
        <v>75</v>
      </c>
      <c r="AE165" s="18" t="str">
        <f t="shared" si="190"/>
        <v>LAST_METER-806</v>
      </c>
      <c r="AF165" s="136" t="str">
        <f>'Run Parameters'!$B$2</f>
        <v>2018-08-13 08:00</v>
      </c>
      <c r="AG165" s="13" t="str">
        <f>'Run Parameters'!B$4</f>
        <v>AUTOTEST2</v>
      </c>
      <c r="AH165" s="54" t="str">
        <f t="shared" si="191"/>
        <v>Site_Contact_806</v>
      </c>
      <c r="AI165" s="136" t="str">
        <f>'Run Parameters'!B$2</f>
        <v>2018-08-13 08:00</v>
      </c>
      <c r="AJ165" s="223" t="str">
        <f>'Run Parameters'!B$3</f>
        <v>2018-08-13 18:00</v>
      </c>
      <c r="AK165" s="13" t="s">
        <v>396</v>
      </c>
      <c r="AL165" s="54" t="str">
        <f t="shared" si="192"/>
        <v>01159806</v>
      </c>
      <c r="AM165" s="13" t="str">
        <f t="shared" si="193"/>
        <v>0115806</v>
      </c>
      <c r="AN165" s="15"/>
      <c r="AO165" s="52"/>
      <c r="AP165" s="13">
        <v>1</v>
      </c>
      <c r="AQ165" s="53" t="s">
        <v>49</v>
      </c>
      <c r="AR165" s="15"/>
      <c r="AS165" s="13"/>
      <c r="AT165" s="7" t="s">
        <v>774</v>
      </c>
      <c r="AU165" s="7"/>
      <c r="AV165" s="13">
        <f t="shared" si="194"/>
        <v>806</v>
      </c>
      <c r="AW165" s="13" t="s">
        <v>775</v>
      </c>
      <c r="AX165" s="13" t="s">
        <v>420</v>
      </c>
      <c r="AY165" s="13" t="s">
        <v>421</v>
      </c>
      <c r="AZ165" s="15" t="s">
        <v>334</v>
      </c>
      <c r="BA165" s="14" t="s">
        <v>154</v>
      </c>
      <c r="BB165" s="21">
        <v>1</v>
      </c>
      <c r="BC165" s="20">
        <f t="shared" si="195"/>
        <v>806</v>
      </c>
      <c r="BD165" s="16" t="s">
        <v>776</v>
      </c>
      <c r="BE165" s="16" t="s">
        <v>391</v>
      </c>
      <c r="BF165" s="16" t="s">
        <v>391</v>
      </c>
      <c r="BG165" s="20" t="s">
        <v>773</v>
      </c>
      <c r="BH165" s="20" t="str">
        <f t="shared" si="196"/>
        <v>806_1</v>
      </c>
      <c r="BI165" s="21"/>
      <c r="BJ165" s="21" t="str">
        <f t="shared" si="197"/>
        <v>10000000806</v>
      </c>
      <c r="BK165" s="16" t="s">
        <v>51</v>
      </c>
      <c r="BL165" s="16" t="s">
        <v>54</v>
      </c>
      <c r="BM165" s="20" t="s">
        <v>769</v>
      </c>
      <c r="BN165" s="16" t="s">
        <v>51</v>
      </c>
      <c r="BO165" s="20" t="str">
        <f t="shared" si="198"/>
        <v>S05S806</v>
      </c>
      <c r="BP165" s="16" t="s">
        <v>777</v>
      </c>
      <c r="BQ165" s="16" t="s">
        <v>777</v>
      </c>
      <c r="BR165" s="20" t="s">
        <v>161</v>
      </c>
      <c r="BS165" s="16" t="s">
        <v>50</v>
      </c>
      <c r="BT165" s="16" t="s">
        <v>47</v>
      </c>
      <c r="BU165" s="16" t="s">
        <v>393</v>
      </c>
      <c r="BV165" s="16" t="s">
        <v>51</v>
      </c>
      <c r="BW165" s="16" t="s">
        <v>154</v>
      </c>
      <c r="BX165" s="16"/>
      <c r="BY165" s="16"/>
      <c r="BZ165" s="16" t="s">
        <v>157</v>
      </c>
      <c r="CA165" s="16" t="s">
        <v>269</v>
      </c>
      <c r="CB165" s="16" t="s">
        <v>412</v>
      </c>
      <c r="CC165" s="16" t="s">
        <v>771</v>
      </c>
      <c r="CD165" s="16" t="s">
        <v>392</v>
      </c>
      <c r="CE165" s="16" t="s">
        <v>396</v>
      </c>
      <c r="CF165" s="16" t="s">
        <v>398</v>
      </c>
      <c r="CG165" s="16" t="s">
        <v>778</v>
      </c>
      <c r="CH165" s="16" t="s">
        <v>159</v>
      </c>
      <c r="CI165" s="6">
        <v>1</v>
      </c>
      <c r="CJ165" s="6" t="str">
        <f t="shared" si="199"/>
        <v>GAS_ENQ_NO-806</v>
      </c>
      <c r="CK165" s="7" t="s">
        <v>779</v>
      </c>
      <c r="CL165" s="7" t="s">
        <v>391</v>
      </c>
      <c r="CM165" s="7" t="s">
        <v>391</v>
      </c>
      <c r="CN165" s="6" t="s">
        <v>780</v>
      </c>
      <c r="CO165" s="6" t="str">
        <f t="shared" si="200"/>
        <v>GAS_JOB_ID-806</v>
      </c>
      <c r="CP165" s="7"/>
      <c r="CQ165" s="6" t="str">
        <f t="shared" si="201"/>
        <v>10000806</v>
      </c>
      <c r="CR165" s="6" t="s">
        <v>154</v>
      </c>
      <c r="CS165" s="7" t="s">
        <v>51</v>
      </c>
      <c r="CT165" s="27" t="str">
        <f t="shared" si="202"/>
        <v>GMETER806</v>
      </c>
      <c r="CU165" s="6" t="s">
        <v>161</v>
      </c>
      <c r="CV165" s="7" t="s">
        <v>165</v>
      </c>
      <c r="CW165" s="7" t="s">
        <v>772</v>
      </c>
      <c r="CX165" s="7"/>
      <c r="CY165" s="7"/>
      <c r="CZ165" s="7" t="s">
        <v>394</v>
      </c>
      <c r="DA165" s="7" t="s">
        <v>395</v>
      </c>
      <c r="DB165" s="6" t="str">
        <f t="shared" si="163"/>
        <v>GAS_INST_ID-806</v>
      </c>
      <c r="DC165" s="7" t="s">
        <v>161</v>
      </c>
      <c r="DD165" s="7"/>
      <c r="DE165" s="7" t="s">
        <v>51</v>
      </c>
      <c r="DF165" s="7" t="s">
        <v>264</v>
      </c>
      <c r="DG165" s="7"/>
      <c r="DH165" s="7" t="s">
        <v>397</v>
      </c>
      <c r="DI165" s="7" t="s">
        <v>399</v>
      </c>
      <c r="DJ165" s="10" t="s">
        <v>778</v>
      </c>
      <c r="DK165" s="7" t="s">
        <v>140</v>
      </c>
      <c r="DL165" s="40"/>
      <c r="DM165" s="40"/>
      <c r="DN165" s="38" t="str">
        <f t="shared" si="164"/>
        <v>DS_Pass-806</v>
      </c>
      <c r="DO165" s="40"/>
      <c r="DP165" s="40"/>
      <c r="DQ165" s="40"/>
      <c r="DR165" s="41"/>
      <c r="DS165" s="41"/>
      <c r="DT165" s="40"/>
      <c r="DU165" s="40"/>
      <c r="DV165" s="40"/>
      <c r="DW165" s="41"/>
      <c r="DX165" s="40"/>
      <c r="DY165" s="40"/>
      <c r="DZ165" s="37" t="s">
        <v>777</v>
      </c>
      <c r="EA165" s="39"/>
      <c r="EB165" s="37"/>
      <c r="EC165" s="37"/>
      <c r="ED165" s="16"/>
      <c r="EE165" s="1"/>
      <c r="EF165" s="55"/>
    </row>
    <row r="166" spans="1:136">
      <c r="A166" s="219" t="s">
        <v>935</v>
      </c>
      <c r="B166" s="219" t="s">
        <v>892</v>
      </c>
      <c r="C166" s="219" t="s">
        <v>865</v>
      </c>
      <c r="D166" s="13">
        <f>'Run Parameters'!$B$1 + ROW()-1</f>
        <v>807</v>
      </c>
      <c r="E166" s="15" t="s">
        <v>47</v>
      </c>
      <c r="F166" s="18" t="s">
        <v>816</v>
      </c>
      <c r="G166" s="13" t="str">
        <f t="shared" si="182"/>
        <v>Access Dtls-807</v>
      </c>
      <c r="H166" s="15" t="s">
        <v>275</v>
      </c>
      <c r="I166" s="13" t="str">
        <f>("MR. Test_157_FLTY17_"&amp;D166&amp;"")</f>
        <v>MR. Test_157_FLTY17_807</v>
      </c>
      <c r="J166" s="18"/>
      <c r="K166" s="19" t="s">
        <v>425</v>
      </c>
      <c r="L166" s="13" t="str">
        <f t="shared" si="183"/>
        <v>Cust. Ref-807</v>
      </c>
      <c r="M166" s="15" t="s">
        <v>48</v>
      </c>
      <c r="N166" s="15" t="s">
        <v>425</v>
      </c>
      <c r="O166" s="13"/>
      <c r="P166" s="13" t="str">
        <f t="shared" si="184"/>
        <v>SN-807</v>
      </c>
      <c r="Q166" s="13" t="str">
        <f t="shared" si="185"/>
        <v>SI-807</v>
      </c>
      <c r="R166" s="13" t="str">
        <f t="shared" si="186"/>
        <v>SE-807</v>
      </c>
      <c r="S166" s="54" t="str">
        <f t="shared" si="187"/>
        <v>Prev_RA-807</v>
      </c>
      <c r="T166" s="54" t="str">
        <f t="shared" si="188"/>
        <v>Prev_Comms-807</v>
      </c>
      <c r="U166" s="17" t="s">
        <v>75</v>
      </c>
      <c r="V166" s="15" t="s">
        <v>401</v>
      </c>
      <c r="W166" s="17" t="s">
        <v>75</v>
      </c>
      <c r="X166" s="15" t="s">
        <v>396</v>
      </c>
      <c r="Y166" s="13" t="str">
        <f t="shared" si="189"/>
        <v>Forward Add-807</v>
      </c>
      <c r="Z166" s="15" t="s">
        <v>401</v>
      </c>
      <c r="AA166" s="136" t="str">
        <f>'Run Parameters'!$B$2</f>
        <v>2018-08-13 08:00</v>
      </c>
      <c r="AB166" s="223" t="str">
        <f>'Run Parameters'!B$3</f>
        <v>2018-08-13 18:00</v>
      </c>
      <c r="AC166" s="26">
        <f>('Run Parameters'!$B$2) - 7</f>
        <v>43318.333333333336</v>
      </c>
      <c r="AD166" s="17" t="s">
        <v>75</v>
      </c>
      <c r="AE166" s="18" t="str">
        <f t="shared" si="190"/>
        <v>LAST_METER-807</v>
      </c>
      <c r="AF166" s="136" t="str">
        <f>'Run Parameters'!$B$2</f>
        <v>2018-08-13 08:00</v>
      </c>
      <c r="AG166" s="13" t="str">
        <f>'Run Parameters'!B$4</f>
        <v>AUTOTEST2</v>
      </c>
      <c r="AH166" s="54" t="str">
        <f t="shared" si="191"/>
        <v>Site_Contact_807</v>
      </c>
      <c r="AI166" s="136" t="str">
        <f>'Run Parameters'!B$2</f>
        <v>2018-08-13 08:00</v>
      </c>
      <c r="AJ166" s="223" t="str">
        <f>'Run Parameters'!B$3</f>
        <v>2018-08-13 18:00</v>
      </c>
      <c r="AK166" s="13" t="s">
        <v>396</v>
      </c>
      <c r="AL166" s="54" t="str">
        <f t="shared" si="192"/>
        <v>01159807</v>
      </c>
      <c r="AM166" s="13" t="str">
        <f t="shared" si="193"/>
        <v>0115807</v>
      </c>
      <c r="AN166" s="15"/>
      <c r="AO166" s="52"/>
      <c r="AP166" s="13">
        <v>1</v>
      </c>
      <c r="AQ166" s="53" t="s">
        <v>49</v>
      </c>
      <c r="AR166" s="15"/>
      <c r="AS166" s="13"/>
      <c r="AT166" s="7" t="s">
        <v>774</v>
      </c>
      <c r="AU166" s="7"/>
      <c r="AV166" s="13">
        <f t="shared" si="194"/>
        <v>807</v>
      </c>
      <c r="AW166" s="13" t="s">
        <v>775</v>
      </c>
      <c r="AX166" s="13" t="s">
        <v>420</v>
      </c>
      <c r="AY166" s="13" t="s">
        <v>421</v>
      </c>
      <c r="AZ166" s="15" t="s">
        <v>334</v>
      </c>
      <c r="BA166" s="14" t="s">
        <v>154</v>
      </c>
      <c r="BB166" s="21">
        <v>1</v>
      </c>
      <c r="BC166" s="20">
        <f t="shared" si="195"/>
        <v>807</v>
      </c>
      <c r="BD166" s="16" t="s">
        <v>776</v>
      </c>
      <c r="BE166" s="16" t="s">
        <v>391</v>
      </c>
      <c r="BF166" s="16" t="s">
        <v>391</v>
      </c>
      <c r="BG166" s="20" t="s">
        <v>773</v>
      </c>
      <c r="BH166" s="20" t="str">
        <f t="shared" si="196"/>
        <v>807_1</v>
      </c>
      <c r="BI166" s="21"/>
      <c r="BJ166" s="21" t="str">
        <f t="shared" si="197"/>
        <v>10000000807</v>
      </c>
      <c r="BK166" s="16" t="s">
        <v>51</v>
      </c>
      <c r="BL166" s="16" t="s">
        <v>54</v>
      </c>
      <c r="BM166" s="20" t="s">
        <v>769</v>
      </c>
      <c r="BN166" s="16" t="s">
        <v>51</v>
      </c>
      <c r="BO166" s="20" t="str">
        <f t="shared" si="198"/>
        <v>S05S807</v>
      </c>
      <c r="BP166" s="16" t="s">
        <v>777</v>
      </c>
      <c r="BQ166" s="16" t="s">
        <v>777</v>
      </c>
      <c r="BR166" s="20" t="s">
        <v>161</v>
      </c>
      <c r="BS166" s="16" t="s">
        <v>50</v>
      </c>
      <c r="BT166" s="16" t="s">
        <v>47</v>
      </c>
      <c r="BU166" s="16" t="s">
        <v>393</v>
      </c>
      <c r="BV166" s="16" t="s">
        <v>51</v>
      </c>
      <c r="BW166" s="16" t="s">
        <v>154</v>
      </c>
      <c r="BX166" s="16"/>
      <c r="BY166" s="16"/>
      <c r="BZ166" s="16" t="s">
        <v>157</v>
      </c>
      <c r="CA166" s="16" t="s">
        <v>269</v>
      </c>
      <c r="CB166" s="16" t="s">
        <v>412</v>
      </c>
      <c r="CC166" s="16" t="s">
        <v>771</v>
      </c>
      <c r="CD166" s="16" t="s">
        <v>392</v>
      </c>
      <c r="CE166" s="16" t="s">
        <v>396</v>
      </c>
      <c r="CF166" s="16" t="s">
        <v>398</v>
      </c>
      <c r="CG166" s="16" t="s">
        <v>778</v>
      </c>
      <c r="CH166" s="16" t="s">
        <v>159</v>
      </c>
      <c r="CI166" s="6">
        <v>1</v>
      </c>
      <c r="CJ166" s="6" t="str">
        <f t="shared" si="199"/>
        <v>GAS_ENQ_NO-807</v>
      </c>
      <c r="CK166" s="7" t="s">
        <v>779</v>
      </c>
      <c r="CL166" s="7" t="s">
        <v>391</v>
      </c>
      <c r="CM166" s="7" t="s">
        <v>391</v>
      </c>
      <c r="CN166" s="6" t="s">
        <v>780</v>
      </c>
      <c r="CO166" s="6" t="str">
        <f t="shared" si="200"/>
        <v>GAS_JOB_ID-807</v>
      </c>
      <c r="CP166" s="7"/>
      <c r="CQ166" s="6" t="str">
        <f t="shared" si="201"/>
        <v>10000807</v>
      </c>
      <c r="CR166" s="6" t="s">
        <v>154</v>
      </c>
      <c r="CS166" s="7" t="s">
        <v>51</v>
      </c>
      <c r="CT166" s="27" t="str">
        <f t="shared" si="202"/>
        <v>GMETER807</v>
      </c>
      <c r="CU166" s="6" t="s">
        <v>161</v>
      </c>
      <c r="CV166" s="7" t="s">
        <v>165</v>
      </c>
      <c r="CW166" s="7" t="s">
        <v>772</v>
      </c>
      <c r="CX166" s="7"/>
      <c r="CY166" s="7"/>
      <c r="CZ166" s="7" t="s">
        <v>394</v>
      </c>
      <c r="DA166" s="7" t="s">
        <v>395</v>
      </c>
      <c r="DB166" s="6" t="str">
        <f t="shared" si="163"/>
        <v>GAS_INST_ID-807</v>
      </c>
      <c r="DC166" s="7" t="s">
        <v>161</v>
      </c>
      <c r="DD166" s="7"/>
      <c r="DE166" s="7" t="s">
        <v>51</v>
      </c>
      <c r="DF166" s="7" t="s">
        <v>264</v>
      </c>
      <c r="DG166" s="7"/>
      <c r="DH166" s="7" t="s">
        <v>397</v>
      </c>
      <c r="DI166" s="7" t="s">
        <v>399</v>
      </c>
      <c r="DJ166" s="10" t="s">
        <v>778</v>
      </c>
      <c r="DK166" s="7" t="s">
        <v>140</v>
      </c>
      <c r="DL166" s="40"/>
      <c r="DM166" s="40"/>
      <c r="DN166" s="38" t="str">
        <f t="shared" si="164"/>
        <v>DS_Pass-807</v>
      </c>
      <c r="DO166" s="40"/>
      <c r="DP166" s="40"/>
      <c r="DQ166" s="40"/>
      <c r="DR166" s="41"/>
      <c r="DS166" s="41"/>
      <c r="DT166" s="40"/>
      <c r="DU166" s="40"/>
      <c r="DV166" s="40"/>
      <c r="DW166" s="41"/>
      <c r="DX166" s="40"/>
      <c r="DY166" s="40"/>
      <c r="DZ166" s="37" t="s">
        <v>777</v>
      </c>
      <c r="EA166" s="39"/>
      <c r="EB166" s="37"/>
      <c r="EC166" s="37"/>
      <c r="ED166" s="16"/>
      <c r="EE166" s="1"/>
      <c r="EF166" s="55"/>
    </row>
    <row r="167" spans="1:136">
      <c r="A167" s="219" t="s">
        <v>936</v>
      </c>
      <c r="B167" s="219" t="s">
        <v>868</v>
      </c>
      <c r="C167" s="219" t="s">
        <v>865</v>
      </c>
      <c r="D167" s="13">
        <f>'Run Parameters'!$B$1 + ROW()-1</f>
        <v>808</v>
      </c>
      <c r="E167" s="15" t="s">
        <v>47</v>
      </c>
      <c r="F167" s="18" t="s">
        <v>816</v>
      </c>
      <c r="G167" s="13" t="str">
        <f t="shared" si="182"/>
        <v>Access Dtls-808</v>
      </c>
      <c r="H167" s="15" t="s">
        <v>275</v>
      </c>
      <c r="I167" s="13" t="str">
        <f>("MR. Test_158_FLTY17_"&amp;D167&amp;"")</f>
        <v>MR. Test_158_FLTY17_808</v>
      </c>
      <c r="J167" s="18"/>
      <c r="K167" s="19" t="s">
        <v>425</v>
      </c>
      <c r="L167" s="13" t="str">
        <f t="shared" si="183"/>
        <v>Cust. Ref-808</v>
      </c>
      <c r="M167" s="15" t="s">
        <v>48</v>
      </c>
      <c r="N167" s="15" t="s">
        <v>425</v>
      </c>
      <c r="O167" s="13"/>
      <c r="P167" s="13" t="str">
        <f t="shared" si="184"/>
        <v>SN-808</v>
      </c>
      <c r="Q167" s="13" t="str">
        <f t="shared" si="185"/>
        <v>SI-808</v>
      </c>
      <c r="R167" s="13" t="str">
        <f t="shared" si="186"/>
        <v>SE-808</v>
      </c>
      <c r="S167" s="54" t="str">
        <f t="shared" si="187"/>
        <v>Prev_RA-808</v>
      </c>
      <c r="T167" s="54" t="str">
        <f t="shared" si="188"/>
        <v>Prev_Comms-808</v>
      </c>
      <c r="U167" s="17" t="s">
        <v>75</v>
      </c>
      <c r="V167" s="15" t="s">
        <v>401</v>
      </c>
      <c r="W167" s="17" t="s">
        <v>75</v>
      </c>
      <c r="X167" s="15" t="s">
        <v>396</v>
      </c>
      <c r="Y167" s="13" t="str">
        <f t="shared" si="189"/>
        <v>Forward Add-808</v>
      </c>
      <c r="Z167" s="15" t="s">
        <v>401</v>
      </c>
      <c r="AA167" s="136" t="str">
        <f>'Run Parameters'!$B$2</f>
        <v>2018-08-13 08:00</v>
      </c>
      <c r="AB167" s="223" t="str">
        <f>'Run Parameters'!B$3</f>
        <v>2018-08-13 18:00</v>
      </c>
      <c r="AC167" s="26">
        <f>('Run Parameters'!$B$2) - 7</f>
        <v>43318.333333333336</v>
      </c>
      <c r="AD167" s="17" t="s">
        <v>75</v>
      </c>
      <c r="AE167" s="18" t="str">
        <f t="shared" si="190"/>
        <v>LAST_METER-808</v>
      </c>
      <c r="AF167" s="136" t="str">
        <f>'Run Parameters'!$B$2</f>
        <v>2018-08-13 08:00</v>
      </c>
      <c r="AG167" s="13" t="str">
        <f>'Run Parameters'!B$4</f>
        <v>AUTOTEST2</v>
      </c>
      <c r="AH167" s="54" t="str">
        <f t="shared" si="191"/>
        <v>Site_Contact_808</v>
      </c>
      <c r="AI167" s="136" t="str">
        <f>'Run Parameters'!B$2</f>
        <v>2018-08-13 08:00</v>
      </c>
      <c r="AJ167" s="223" t="str">
        <f>'Run Parameters'!B$3</f>
        <v>2018-08-13 18:00</v>
      </c>
      <c r="AK167" s="13" t="s">
        <v>396</v>
      </c>
      <c r="AL167" s="54" t="str">
        <f t="shared" si="192"/>
        <v>01159808</v>
      </c>
      <c r="AM167" s="13" t="str">
        <f t="shared" si="193"/>
        <v>0115808</v>
      </c>
      <c r="AN167" s="15"/>
      <c r="AO167" s="52"/>
      <c r="AP167" s="13">
        <v>1</v>
      </c>
      <c r="AQ167" s="53" t="s">
        <v>49</v>
      </c>
      <c r="AR167" s="15"/>
      <c r="AS167" s="13"/>
      <c r="AT167" s="7" t="s">
        <v>774</v>
      </c>
      <c r="AU167" s="7"/>
      <c r="AV167" s="13">
        <f t="shared" si="194"/>
        <v>808</v>
      </c>
      <c r="AW167" s="13" t="s">
        <v>775</v>
      </c>
      <c r="AX167" s="13" t="s">
        <v>420</v>
      </c>
      <c r="AY167" s="13" t="s">
        <v>421</v>
      </c>
      <c r="AZ167" s="15" t="s">
        <v>334</v>
      </c>
      <c r="BA167" s="14" t="s">
        <v>154</v>
      </c>
      <c r="BB167" s="21">
        <v>1</v>
      </c>
      <c r="BC167" s="20">
        <f t="shared" si="195"/>
        <v>808</v>
      </c>
      <c r="BD167" s="16" t="s">
        <v>776</v>
      </c>
      <c r="BE167" s="16" t="s">
        <v>391</v>
      </c>
      <c r="BF167" s="16" t="s">
        <v>391</v>
      </c>
      <c r="BG167" s="20" t="s">
        <v>773</v>
      </c>
      <c r="BH167" s="20" t="str">
        <f t="shared" si="196"/>
        <v>808_1</v>
      </c>
      <c r="BI167" s="21"/>
      <c r="BJ167" s="21" t="str">
        <f t="shared" si="197"/>
        <v>10000000808</v>
      </c>
      <c r="BK167" s="16" t="s">
        <v>51</v>
      </c>
      <c r="BL167" s="16" t="s">
        <v>54</v>
      </c>
      <c r="BM167" s="20" t="s">
        <v>769</v>
      </c>
      <c r="BN167" s="16" t="s">
        <v>51</v>
      </c>
      <c r="BO167" s="20" t="str">
        <f t="shared" si="198"/>
        <v>S05S808</v>
      </c>
      <c r="BP167" s="16" t="s">
        <v>777</v>
      </c>
      <c r="BQ167" s="16" t="s">
        <v>777</v>
      </c>
      <c r="BR167" s="20" t="s">
        <v>161</v>
      </c>
      <c r="BS167" s="16" t="s">
        <v>50</v>
      </c>
      <c r="BT167" s="16" t="s">
        <v>47</v>
      </c>
      <c r="BU167" s="16" t="s">
        <v>393</v>
      </c>
      <c r="BV167" s="16" t="s">
        <v>51</v>
      </c>
      <c r="BW167" s="16" t="s">
        <v>154</v>
      </c>
      <c r="BX167" s="16"/>
      <c r="BY167" s="16"/>
      <c r="BZ167" s="16" t="s">
        <v>157</v>
      </c>
      <c r="CA167" s="16" t="s">
        <v>269</v>
      </c>
      <c r="CB167" s="16" t="s">
        <v>412</v>
      </c>
      <c r="CC167" s="16" t="s">
        <v>771</v>
      </c>
      <c r="CD167" s="16" t="s">
        <v>392</v>
      </c>
      <c r="CE167" s="16" t="s">
        <v>396</v>
      </c>
      <c r="CF167" s="16" t="s">
        <v>398</v>
      </c>
      <c r="CG167" s="16" t="s">
        <v>778</v>
      </c>
      <c r="CH167" s="16" t="s">
        <v>159</v>
      </c>
      <c r="CI167" s="6">
        <v>1</v>
      </c>
      <c r="CJ167" s="6" t="str">
        <f t="shared" si="199"/>
        <v>GAS_ENQ_NO-808</v>
      </c>
      <c r="CK167" s="7" t="s">
        <v>779</v>
      </c>
      <c r="CL167" s="7" t="s">
        <v>391</v>
      </c>
      <c r="CM167" s="7" t="s">
        <v>391</v>
      </c>
      <c r="CN167" s="6" t="s">
        <v>780</v>
      </c>
      <c r="CO167" s="6" t="str">
        <f t="shared" si="200"/>
        <v>GAS_JOB_ID-808</v>
      </c>
      <c r="CP167" s="7"/>
      <c r="CQ167" s="6" t="str">
        <f t="shared" si="201"/>
        <v>10000808</v>
      </c>
      <c r="CR167" s="6" t="s">
        <v>154</v>
      </c>
      <c r="CS167" s="7" t="s">
        <v>51</v>
      </c>
      <c r="CT167" s="27" t="str">
        <f t="shared" si="202"/>
        <v>GMETER808</v>
      </c>
      <c r="CU167" s="6" t="s">
        <v>161</v>
      </c>
      <c r="CV167" s="7" t="s">
        <v>165</v>
      </c>
      <c r="CW167" s="7" t="s">
        <v>772</v>
      </c>
      <c r="CX167" s="7"/>
      <c r="CY167" s="7"/>
      <c r="CZ167" s="7" t="s">
        <v>394</v>
      </c>
      <c r="DA167" s="7" t="s">
        <v>395</v>
      </c>
      <c r="DB167" s="6" t="str">
        <f t="shared" si="163"/>
        <v>GAS_INST_ID-808</v>
      </c>
      <c r="DC167" s="7" t="s">
        <v>161</v>
      </c>
      <c r="DD167" s="7"/>
      <c r="DE167" s="7" t="s">
        <v>51</v>
      </c>
      <c r="DF167" s="7" t="s">
        <v>264</v>
      </c>
      <c r="DG167" s="7"/>
      <c r="DH167" s="7" t="s">
        <v>397</v>
      </c>
      <c r="DI167" s="7" t="s">
        <v>399</v>
      </c>
      <c r="DJ167" s="10" t="s">
        <v>778</v>
      </c>
      <c r="DK167" s="7" t="s">
        <v>140</v>
      </c>
      <c r="DL167" s="40"/>
      <c r="DM167" s="40"/>
      <c r="DN167" s="38" t="str">
        <f t="shared" si="164"/>
        <v>DS_Pass-808</v>
      </c>
      <c r="DO167" s="40"/>
      <c r="DP167" s="40"/>
      <c r="DQ167" s="40"/>
      <c r="DR167" s="41"/>
      <c r="DS167" s="41"/>
      <c r="DT167" s="40"/>
      <c r="DU167" s="40"/>
      <c r="DV167" s="40"/>
      <c r="DW167" s="41"/>
      <c r="DX167" s="40"/>
      <c r="DY167" s="40"/>
      <c r="DZ167" s="37" t="s">
        <v>777</v>
      </c>
      <c r="EA167" s="39"/>
      <c r="EB167" s="37"/>
      <c r="EC167" s="37"/>
      <c r="ED167" s="16"/>
      <c r="EE167" s="1"/>
      <c r="EF167" s="55"/>
    </row>
    <row r="168" spans="1:136">
      <c r="A168" s="219" t="s">
        <v>937</v>
      </c>
      <c r="B168" s="219" t="s">
        <v>892</v>
      </c>
      <c r="C168" s="219" t="s">
        <v>865</v>
      </c>
      <c r="D168" s="13">
        <f>'Run Parameters'!$B$1 + ROW()-1</f>
        <v>809</v>
      </c>
      <c r="E168" s="15" t="s">
        <v>47</v>
      </c>
      <c r="F168" s="18" t="s">
        <v>816</v>
      </c>
      <c r="G168" s="13" t="str">
        <f t="shared" si="182"/>
        <v>Access Dtls-809</v>
      </c>
      <c r="H168" s="15" t="s">
        <v>275</v>
      </c>
      <c r="I168" s="13" t="str">
        <f>("MR. Test_159_FLTY17_"&amp;D168&amp;"")</f>
        <v>MR. Test_159_FLTY17_809</v>
      </c>
      <c r="J168" s="18"/>
      <c r="K168" s="19" t="s">
        <v>425</v>
      </c>
      <c r="L168" s="13" t="str">
        <f t="shared" si="183"/>
        <v>Cust. Ref-809</v>
      </c>
      <c r="M168" s="15" t="s">
        <v>48</v>
      </c>
      <c r="N168" s="15" t="s">
        <v>425</v>
      </c>
      <c r="O168" s="13"/>
      <c r="P168" s="13" t="str">
        <f t="shared" si="184"/>
        <v>SN-809</v>
      </c>
      <c r="Q168" s="13" t="str">
        <f t="shared" si="185"/>
        <v>SI-809</v>
      </c>
      <c r="R168" s="13" t="str">
        <f t="shared" si="186"/>
        <v>SE-809</v>
      </c>
      <c r="S168" s="54" t="str">
        <f t="shared" si="187"/>
        <v>Prev_RA-809</v>
      </c>
      <c r="T168" s="54" t="str">
        <f t="shared" si="188"/>
        <v>Prev_Comms-809</v>
      </c>
      <c r="U168" s="17" t="s">
        <v>75</v>
      </c>
      <c r="V168" s="15" t="s">
        <v>401</v>
      </c>
      <c r="W168" s="17" t="s">
        <v>75</v>
      </c>
      <c r="X168" s="15" t="s">
        <v>396</v>
      </c>
      <c r="Y168" s="13" t="str">
        <f t="shared" si="189"/>
        <v>Forward Add-809</v>
      </c>
      <c r="Z168" s="15" t="s">
        <v>401</v>
      </c>
      <c r="AA168" s="136" t="str">
        <f>'Run Parameters'!$B$2</f>
        <v>2018-08-13 08:00</v>
      </c>
      <c r="AB168" s="223" t="str">
        <f>'Run Parameters'!B$3</f>
        <v>2018-08-13 18:00</v>
      </c>
      <c r="AC168" s="26">
        <f>('Run Parameters'!$B$2) - 7</f>
        <v>43318.333333333336</v>
      </c>
      <c r="AD168" s="17" t="s">
        <v>75</v>
      </c>
      <c r="AE168" s="18" t="str">
        <f t="shared" si="190"/>
        <v>LAST_METER-809</v>
      </c>
      <c r="AF168" s="136" t="str">
        <f>'Run Parameters'!$B$2</f>
        <v>2018-08-13 08:00</v>
      </c>
      <c r="AG168" s="13" t="str">
        <f>'Run Parameters'!B$4</f>
        <v>AUTOTEST2</v>
      </c>
      <c r="AH168" s="54" t="str">
        <f t="shared" si="191"/>
        <v>Site_Contact_809</v>
      </c>
      <c r="AI168" s="136" t="str">
        <f>'Run Parameters'!B$2</f>
        <v>2018-08-13 08:00</v>
      </c>
      <c r="AJ168" s="223" t="str">
        <f>'Run Parameters'!B$3</f>
        <v>2018-08-13 18:00</v>
      </c>
      <c r="AK168" s="13" t="s">
        <v>396</v>
      </c>
      <c r="AL168" s="54" t="str">
        <f t="shared" si="192"/>
        <v>01159809</v>
      </c>
      <c r="AM168" s="13" t="str">
        <f t="shared" si="193"/>
        <v>0115809</v>
      </c>
      <c r="AN168" s="15"/>
      <c r="AO168" s="52"/>
      <c r="AP168" s="13">
        <v>1</v>
      </c>
      <c r="AQ168" s="53" t="s">
        <v>49</v>
      </c>
      <c r="AR168" s="15"/>
      <c r="AS168" s="13"/>
      <c r="AT168" s="7" t="s">
        <v>774</v>
      </c>
      <c r="AU168" s="7"/>
      <c r="AV168" s="13">
        <f t="shared" si="194"/>
        <v>809</v>
      </c>
      <c r="AW168" s="13" t="s">
        <v>775</v>
      </c>
      <c r="AX168" s="13" t="s">
        <v>420</v>
      </c>
      <c r="AY168" s="13" t="s">
        <v>421</v>
      </c>
      <c r="AZ168" s="15" t="s">
        <v>334</v>
      </c>
      <c r="BA168" s="14" t="s">
        <v>154</v>
      </c>
      <c r="BB168" s="21">
        <v>1</v>
      </c>
      <c r="BC168" s="20">
        <f t="shared" si="195"/>
        <v>809</v>
      </c>
      <c r="BD168" s="16" t="s">
        <v>776</v>
      </c>
      <c r="BE168" s="16" t="s">
        <v>391</v>
      </c>
      <c r="BF168" s="16" t="s">
        <v>391</v>
      </c>
      <c r="BG168" s="20" t="s">
        <v>773</v>
      </c>
      <c r="BH168" s="20" t="str">
        <f t="shared" si="196"/>
        <v>809_1</v>
      </c>
      <c r="BI168" s="21"/>
      <c r="BJ168" s="21" t="str">
        <f t="shared" si="197"/>
        <v>10000000809</v>
      </c>
      <c r="BK168" s="16" t="s">
        <v>51</v>
      </c>
      <c r="BL168" s="16" t="s">
        <v>54</v>
      </c>
      <c r="BM168" s="20" t="s">
        <v>769</v>
      </c>
      <c r="BN168" s="16" t="s">
        <v>51</v>
      </c>
      <c r="BO168" s="20" t="str">
        <f t="shared" si="198"/>
        <v>S05S809</v>
      </c>
      <c r="BP168" s="16" t="s">
        <v>777</v>
      </c>
      <c r="BQ168" s="16" t="s">
        <v>777</v>
      </c>
      <c r="BR168" s="20" t="s">
        <v>161</v>
      </c>
      <c r="BS168" s="16" t="s">
        <v>50</v>
      </c>
      <c r="BT168" s="16" t="s">
        <v>47</v>
      </c>
      <c r="BU168" s="16" t="s">
        <v>393</v>
      </c>
      <c r="BV168" s="16" t="s">
        <v>51</v>
      </c>
      <c r="BW168" s="16" t="s">
        <v>154</v>
      </c>
      <c r="BX168" s="16"/>
      <c r="BY168" s="16"/>
      <c r="BZ168" s="16" t="s">
        <v>157</v>
      </c>
      <c r="CA168" s="16" t="s">
        <v>269</v>
      </c>
      <c r="CB168" s="16" t="s">
        <v>412</v>
      </c>
      <c r="CC168" s="16" t="s">
        <v>771</v>
      </c>
      <c r="CD168" s="16" t="s">
        <v>392</v>
      </c>
      <c r="CE168" s="16" t="s">
        <v>396</v>
      </c>
      <c r="CF168" s="16" t="s">
        <v>398</v>
      </c>
      <c r="CG168" s="16" t="s">
        <v>778</v>
      </c>
      <c r="CH168" s="16" t="s">
        <v>159</v>
      </c>
      <c r="CI168" s="6">
        <v>1</v>
      </c>
      <c r="CJ168" s="6" t="str">
        <f t="shared" si="199"/>
        <v>GAS_ENQ_NO-809</v>
      </c>
      <c r="CK168" s="7" t="s">
        <v>779</v>
      </c>
      <c r="CL168" s="7" t="s">
        <v>391</v>
      </c>
      <c r="CM168" s="7" t="s">
        <v>391</v>
      </c>
      <c r="CN168" s="6" t="s">
        <v>780</v>
      </c>
      <c r="CO168" s="6" t="str">
        <f t="shared" si="200"/>
        <v>GAS_JOB_ID-809</v>
      </c>
      <c r="CP168" s="7"/>
      <c r="CQ168" s="6" t="str">
        <f t="shared" si="201"/>
        <v>10000809</v>
      </c>
      <c r="CR168" s="6" t="s">
        <v>154</v>
      </c>
      <c r="CS168" s="7" t="s">
        <v>51</v>
      </c>
      <c r="CT168" s="27" t="str">
        <f t="shared" si="202"/>
        <v>GMETER809</v>
      </c>
      <c r="CU168" s="6" t="s">
        <v>161</v>
      </c>
      <c r="CV168" s="7" t="s">
        <v>165</v>
      </c>
      <c r="CW168" s="7" t="s">
        <v>772</v>
      </c>
      <c r="CX168" s="7"/>
      <c r="CY168" s="7"/>
      <c r="CZ168" s="7" t="s">
        <v>394</v>
      </c>
      <c r="DA168" s="7" t="s">
        <v>395</v>
      </c>
      <c r="DB168" s="6" t="str">
        <f t="shared" si="163"/>
        <v>GAS_INST_ID-809</v>
      </c>
      <c r="DC168" s="7" t="s">
        <v>161</v>
      </c>
      <c r="DD168" s="7"/>
      <c r="DE168" s="7" t="s">
        <v>51</v>
      </c>
      <c r="DF168" s="7" t="s">
        <v>264</v>
      </c>
      <c r="DG168" s="7"/>
      <c r="DH168" s="7" t="s">
        <v>397</v>
      </c>
      <c r="DI168" s="7" t="s">
        <v>399</v>
      </c>
      <c r="DJ168" s="10" t="s">
        <v>778</v>
      </c>
      <c r="DK168" s="7" t="s">
        <v>140</v>
      </c>
      <c r="DL168" s="40"/>
      <c r="DM168" s="40"/>
      <c r="DN168" s="38" t="str">
        <f t="shared" si="164"/>
        <v>DS_Pass-809</v>
      </c>
      <c r="DO168" s="40"/>
      <c r="DP168" s="40"/>
      <c r="DQ168" s="40"/>
      <c r="DR168" s="41"/>
      <c r="DS168" s="41"/>
      <c r="DT168" s="40"/>
      <c r="DU168" s="40"/>
      <c r="DV168" s="40"/>
      <c r="DW168" s="41"/>
      <c r="DX168" s="40"/>
      <c r="DY168" s="40"/>
      <c r="DZ168" s="37" t="s">
        <v>777</v>
      </c>
      <c r="EA168" s="39"/>
      <c r="EB168" s="37"/>
      <c r="EC168" s="37"/>
      <c r="ED168" s="16"/>
      <c r="EE168" s="1"/>
      <c r="EF168" s="55"/>
    </row>
    <row r="169" spans="1:136">
      <c r="A169" s="219" t="s">
        <v>938</v>
      </c>
      <c r="B169" s="219" t="s">
        <v>868</v>
      </c>
      <c r="C169" s="219" t="s">
        <v>865</v>
      </c>
      <c r="D169" s="13">
        <f>'Run Parameters'!$B$1 + ROW()-1</f>
        <v>810</v>
      </c>
      <c r="E169" s="15" t="s">
        <v>47</v>
      </c>
      <c r="F169" s="18" t="s">
        <v>816</v>
      </c>
      <c r="G169" s="13" t="str">
        <f t="shared" si="182"/>
        <v>Access Dtls-810</v>
      </c>
      <c r="H169" s="15" t="s">
        <v>275</v>
      </c>
      <c r="I169" s="13" t="str">
        <f>("MR. Test_160_FLTY17_"&amp;D169&amp;"")</f>
        <v>MR. Test_160_FLTY17_810</v>
      </c>
      <c r="J169" s="18"/>
      <c r="K169" s="19" t="s">
        <v>425</v>
      </c>
      <c r="L169" s="13" t="str">
        <f t="shared" si="183"/>
        <v>Cust. Ref-810</v>
      </c>
      <c r="M169" s="15" t="s">
        <v>48</v>
      </c>
      <c r="N169" s="15" t="s">
        <v>425</v>
      </c>
      <c r="O169" s="13"/>
      <c r="P169" s="13" t="str">
        <f t="shared" si="184"/>
        <v>SN-810</v>
      </c>
      <c r="Q169" s="13" t="str">
        <f t="shared" si="185"/>
        <v>SI-810</v>
      </c>
      <c r="R169" s="13" t="str">
        <f t="shared" si="186"/>
        <v>SE-810</v>
      </c>
      <c r="S169" s="54" t="str">
        <f t="shared" si="187"/>
        <v>Prev_RA-810</v>
      </c>
      <c r="T169" s="54" t="str">
        <f t="shared" si="188"/>
        <v>Prev_Comms-810</v>
      </c>
      <c r="U169" s="17" t="s">
        <v>75</v>
      </c>
      <c r="V169" s="15" t="s">
        <v>401</v>
      </c>
      <c r="W169" s="17" t="s">
        <v>75</v>
      </c>
      <c r="X169" s="15" t="s">
        <v>396</v>
      </c>
      <c r="Y169" s="13" t="str">
        <f t="shared" si="189"/>
        <v>Forward Add-810</v>
      </c>
      <c r="Z169" s="15" t="s">
        <v>401</v>
      </c>
      <c r="AA169" s="136" t="str">
        <f>'Run Parameters'!$B$2</f>
        <v>2018-08-13 08:00</v>
      </c>
      <c r="AB169" s="223" t="str">
        <f>'Run Parameters'!B$3</f>
        <v>2018-08-13 18:00</v>
      </c>
      <c r="AC169" s="26">
        <f>('Run Parameters'!$B$2) - 7</f>
        <v>43318.333333333336</v>
      </c>
      <c r="AD169" s="17" t="s">
        <v>75</v>
      </c>
      <c r="AE169" s="18" t="str">
        <f t="shared" si="190"/>
        <v>LAST_METER-810</v>
      </c>
      <c r="AF169" s="136" t="str">
        <f>'Run Parameters'!$B$2</f>
        <v>2018-08-13 08:00</v>
      </c>
      <c r="AG169" s="13" t="str">
        <f>'Run Parameters'!B$4</f>
        <v>AUTOTEST2</v>
      </c>
      <c r="AH169" s="54" t="str">
        <f t="shared" si="191"/>
        <v>Site_Contact_810</v>
      </c>
      <c r="AI169" s="136" t="str">
        <f>'Run Parameters'!B$2</f>
        <v>2018-08-13 08:00</v>
      </c>
      <c r="AJ169" s="223" t="str">
        <f>'Run Parameters'!B$3</f>
        <v>2018-08-13 18:00</v>
      </c>
      <c r="AK169" s="13" t="s">
        <v>396</v>
      </c>
      <c r="AL169" s="54" t="str">
        <f t="shared" si="192"/>
        <v>01159810</v>
      </c>
      <c r="AM169" s="13" t="str">
        <f t="shared" si="193"/>
        <v>0115810</v>
      </c>
      <c r="AN169" s="15"/>
      <c r="AO169" s="52"/>
      <c r="AP169" s="13">
        <v>1</v>
      </c>
      <c r="AQ169" s="53" t="s">
        <v>49</v>
      </c>
      <c r="AR169" s="15"/>
      <c r="AS169" s="13"/>
      <c r="AT169" s="7" t="s">
        <v>774</v>
      </c>
      <c r="AU169" s="7"/>
      <c r="AV169" s="13">
        <f t="shared" si="194"/>
        <v>810</v>
      </c>
      <c r="AW169" s="13" t="s">
        <v>775</v>
      </c>
      <c r="AX169" s="13" t="s">
        <v>420</v>
      </c>
      <c r="AY169" s="13" t="s">
        <v>421</v>
      </c>
      <c r="AZ169" s="15" t="s">
        <v>334</v>
      </c>
      <c r="BA169" s="14" t="s">
        <v>154</v>
      </c>
      <c r="BB169" s="21">
        <v>1</v>
      </c>
      <c r="BC169" s="20">
        <f t="shared" si="195"/>
        <v>810</v>
      </c>
      <c r="BD169" s="16" t="s">
        <v>776</v>
      </c>
      <c r="BE169" s="16" t="s">
        <v>391</v>
      </c>
      <c r="BF169" s="16" t="s">
        <v>391</v>
      </c>
      <c r="BG169" s="20" t="s">
        <v>773</v>
      </c>
      <c r="BH169" s="20" t="str">
        <f t="shared" si="196"/>
        <v>810_1</v>
      </c>
      <c r="BI169" s="21"/>
      <c r="BJ169" s="21" t="str">
        <f t="shared" si="197"/>
        <v>10000000810</v>
      </c>
      <c r="BK169" s="16" t="s">
        <v>51</v>
      </c>
      <c r="BL169" s="16" t="s">
        <v>54</v>
      </c>
      <c r="BM169" s="20" t="s">
        <v>769</v>
      </c>
      <c r="BN169" s="16" t="s">
        <v>51</v>
      </c>
      <c r="BO169" s="20" t="str">
        <f t="shared" si="198"/>
        <v>S05S810</v>
      </c>
      <c r="BP169" s="16" t="s">
        <v>777</v>
      </c>
      <c r="BQ169" s="16" t="s">
        <v>777</v>
      </c>
      <c r="BR169" s="20" t="s">
        <v>161</v>
      </c>
      <c r="BS169" s="16" t="s">
        <v>50</v>
      </c>
      <c r="BT169" s="16" t="s">
        <v>47</v>
      </c>
      <c r="BU169" s="16" t="s">
        <v>393</v>
      </c>
      <c r="BV169" s="16" t="s">
        <v>51</v>
      </c>
      <c r="BW169" s="16" t="s">
        <v>154</v>
      </c>
      <c r="BX169" s="16"/>
      <c r="BY169" s="16"/>
      <c r="BZ169" s="16" t="s">
        <v>157</v>
      </c>
      <c r="CA169" s="16" t="s">
        <v>269</v>
      </c>
      <c r="CB169" s="16" t="s">
        <v>412</v>
      </c>
      <c r="CC169" s="16" t="s">
        <v>771</v>
      </c>
      <c r="CD169" s="16" t="s">
        <v>392</v>
      </c>
      <c r="CE169" s="16" t="s">
        <v>396</v>
      </c>
      <c r="CF169" s="16" t="s">
        <v>398</v>
      </c>
      <c r="CG169" s="16" t="s">
        <v>778</v>
      </c>
      <c r="CH169" s="16" t="s">
        <v>159</v>
      </c>
      <c r="CI169" s="6">
        <v>1</v>
      </c>
      <c r="CJ169" s="6" t="str">
        <f t="shared" si="199"/>
        <v>GAS_ENQ_NO-810</v>
      </c>
      <c r="CK169" s="7" t="s">
        <v>779</v>
      </c>
      <c r="CL169" s="7" t="s">
        <v>391</v>
      </c>
      <c r="CM169" s="7" t="s">
        <v>391</v>
      </c>
      <c r="CN169" s="6" t="s">
        <v>780</v>
      </c>
      <c r="CO169" s="6" t="str">
        <f t="shared" si="200"/>
        <v>GAS_JOB_ID-810</v>
      </c>
      <c r="CP169" s="7"/>
      <c r="CQ169" s="6" t="str">
        <f t="shared" si="201"/>
        <v>10000810</v>
      </c>
      <c r="CR169" s="6" t="s">
        <v>154</v>
      </c>
      <c r="CS169" s="7" t="s">
        <v>51</v>
      </c>
      <c r="CT169" s="27" t="str">
        <f t="shared" si="202"/>
        <v>GMETER810</v>
      </c>
      <c r="CU169" s="6" t="s">
        <v>161</v>
      </c>
      <c r="CV169" s="7" t="s">
        <v>165</v>
      </c>
      <c r="CW169" s="7" t="s">
        <v>772</v>
      </c>
      <c r="CX169" s="7"/>
      <c r="CY169" s="7"/>
      <c r="CZ169" s="7" t="s">
        <v>394</v>
      </c>
      <c r="DA169" s="7" t="s">
        <v>395</v>
      </c>
      <c r="DB169" s="6" t="str">
        <f t="shared" si="163"/>
        <v>GAS_INST_ID-810</v>
      </c>
      <c r="DC169" s="7" t="s">
        <v>161</v>
      </c>
      <c r="DD169" s="7"/>
      <c r="DE169" s="7" t="s">
        <v>51</v>
      </c>
      <c r="DF169" s="7" t="s">
        <v>264</v>
      </c>
      <c r="DG169" s="7"/>
      <c r="DH169" s="7" t="s">
        <v>397</v>
      </c>
      <c r="DI169" s="7" t="s">
        <v>399</v>
      </c>
      <c r="DJ169" s="10" t="s">
        <v>778</v>
      </c>
      <c r="DK169" s="7" t="s">
        <v>140</v>
      </c>
      <c r="DL169" s="40"/>
      <c r="DM169" s="40"/>
      <c r="DN169" s="38" t="str">
        <f t="shared" si="164"/>
        <v>DS_Pass-810</v>
      </c>
      <c r="DO169" s="40"/>
      <c r="DP169" s="40"/>
      <c r="DQ169" s="40"/>
      <c r="DR169" s="41"/>
      <c r="DS169" s="41"/>
      <c r="DT169" s="40"/>
      <c r="DU169" s="40"/>
      <c r="DV169" s="40"/>
      <c r="DW169" s="41"/>
      <c r="DX169" s="40"/>
      <c r="DY169" s="40"/>
      <c r="DZ169" s="37" t="s">
        <v>777</v>
      </c>
      <c r="EA169" s="39"/>
      <c r="EB169" s="37"/>
      <c r="EC169" s="37"/>
      <c r="ED169" s="16"/>
      <c r="EE169" s="1"/>
      <c r="EF169" s="55"/>
    </row>
    <row r="170" spans="1:136">
      <c r="A170" s="219" t="s">
        <v>939</v>
      </c>
      <c r="B170" s="219" t="s">
        <v>892</v>
      </c>
      <c r="C170" s="219" t="s">
        <v>865</v>
      </c>
      <c r="D170" s="13">
        <f>'Run Parameters'!$B$1 + ROW()-1</f>
        <v>811</v>
      </c>
      <c r="E170" s="15" t="s">
        <v>47</v>
      </c>
      <c r="F170" s="18" t="s">
        <v>816</v>
      </c>
      <c r="G170" s="13" t="str">
        <f t="shared" si="182"/>
        <v>Access Dtls-811</v>
      </c>
      <c r="H170" s="15" t="s">
        <v>275</v>
      </c>
      <c r="I170" s="13" t="str">
        <f>("MR. Test_161_FLTY17_"&amp;D170&amp;"")</f>
        <v>MR. Test_161_FLTY17_811</v>
      </c>
      <c r="J170" s="18"/>
      <c r="K170" s="19" t="s">
        <v>425</v>
      </c>
      <c r="L170" s="13" t="str">
        <f t="shared" si="183"/>
        <v>Cust. Ref-811</v>
      </c>
      <c r="M170" s="15" t="s">
        <v>48</v>
      </c>
      <c r="N170" s="15" t="s">
        <v>425</v>
      </c>
      <c r="O170" s="13"/>
      <c r="P170" s="13" t="str">
        <f t="shared" si="184"/>
        <v>SN-811</v>
      </c>
      <c r="Q170" s="13" t="str">
        <f t="shared" si="185"/>
        <v>SI-811</v>
      </c>
      <c r="R170" s="13" t="str">
        <f t="shared" si="186"/>
        <v>SE-811</v>
      </c>
      <c r="S170" s="54" t="str">
        <f t="shared" si="187"/>
        <v>Prev_RA-811</v>
      </c>
      <c r="T170" s="54" t="str">
        <f t="shared" si="188"/>
        <v>Prev_Comms-811</v>
      </c>
      <c r="U170" s="17" t="s">
        <v>75</v>
      </c>
      <c r="V170" s="15" t="s">
        <v>401</v>
      </c>
      <c r="W170" s="17" t="s">
        <v>75</v>
      </c>
      <c r="X170" s="15" t="s">
        <v>396</v>
      </c>
      <c r="Y170" s="13" t="str">
        <f t="shared" si="189"/>
        <v>Forward Add-811</v>
      </c>
      <c r="Z170" s="15" t="s">
        <v>401</v>
      </c>
      <c r="AA170" s="136" t="str">
        <f>'Run Parameters'!$B$2</f>
        <v>2018-08-13 08:00</v>
      </c>
      <c r="AB170" s="223" t="str">
        <f>'Run Parameters'!B$3</f>
        <v>2018-08-13 18:00</v>
      </c>
      <c r="AC170" s="26">
        <f>('Run Parameters'!$B$2) - 7</f>
        <v>43318.333333333336</v>
      </c>
      <c r="AD170" s="17" t="s">
        <v>75</v>
      </c>
      <c r="AE170" s="18" t="str">
        <f t="shared" si="190"/>
        <v>LAST_METER-811</v>
      </c>
      <c r="AF170" s="136" t="str">
        <f>'Run Parameters'!$B$2</f>
        <v>2018-08-13 08:00</v>
      </c>
      <c r="AG170" s="13" t="str">
        <f>'Run Parameters'!B$4</f>
        <v>AUTOTEST2</v>
      </c>
      <c r="AH170" s="54" t="str">
        <f t="shared" si="191"/>
        <v>Site_Contact_811</v>
      </c>
      <c r="AI170" s="136" t="str">
        <f>'Run Parameters'!B$2</f>
        <v>2018-08-13 08:00</v>
      </c>
      <c r="AJ170" s="223" t="str">
        <f>'Run Parameters'!B$3</f>
        <v>2018-08-13 18:00</v>
      </c>
      <c r="AK170" s="13" t="s">
        <v>396</v>
      </c>
      <c r="AL170" s="54" t="str">
        <f t="shared" si="192"/>
        <v>01159811</v>
      </c>
      <c r="AM170" s="13" t="str">
        <f t="shared" si="193"/>
        <v>0115811</v>
      </c>
      <c r="AN170" s="15"/>
      <c r="AO170" s="52"/>
      <c r="AP170" s="13">
        <v>1</v>
      </c>
      <c r="AQ170" s="53" t="s">
        <v>49</v>
      </c>
      <c r="AR170" s="15"/>
      <c r="AS170" s="13"/>
      <c r="AT170" s="7" t="s">
        <v>774</v>
      </c>
      <c r="AU170" s="7"/>
      <c r="AV170" s="13">
        <f t="shared" si="194"/>
        <v>811</v>
      </c>
      <c r="AW170" s="13" t="s">
        <v>775</v>
      </c>
      <c r="AX170" s="13" t="s">
        <v>420</v>
      </c>
      <c r="AY170" s="13" t="s">
        <v>421</v>
      </c>
      <c r="AZ170" s="15" t="s">
        <v>334</v>
      </c>
      <c r="BA170" s="14" t="s">
        <v>154</v>
      </c>
      <c r="BB170" s="21">
        <v>1</v>
      </c>
      <c r="BC170" s="20">
        <f t="shared" si="195"/>
        <v>811</v>
      </c>
      <c r="BD170" s="16" t="s">
        <v>776</v>
      </c>
      <c r="BE170" s="16" t="s">
        <v>391</v>
      </c>
      <c r="BF170" s="16" t="s">
        <v>391</v>
      </c>
      <c r="BG170" s="20" t="s">
        <v>773</v>
      </c>
      <c r="BH170" s="20" t="str">
        <f t="shared" si="196"/>
        <v>811_1</v>
      </c>
      <c r="BI170" s="21"/>
      <c r="BJ170" s="21" t="str">
        <f t="shared" si="197"/>
        <v>10000000811</v>
      </c>
      <c r="BK170" s="16" t="s">
        <v>51</v>
      </c>
      <c r="BL170" s="16" t="s">
        <v>54</v>
      </c>
      <c r="BM170" s="20" t="s">
        <v>769</v>
      </c>
      <c r="BN170" s="16" t="s">
        <v>51</v>
      </c>
      <c r="BO170" s="20" t="str">
        <f t="shared" si="198"/>
        <v>S05S811</v>
      </c>
      <c r="BP170" s="16" t="s">
        <v>777</v>
      </c>
      <c r="BQ170" s="16" t="s">
        <v>777</v>
      </c>
      <c r="BR170" s="20" t="s">
        <v>161</v>
      </c>
      <c r="BS170" s="16" t="s">
        <v>50</v>
      </c>
      <c r="BT170" s="16" t="s">
        <v>47</v>
      </c>
      <c r="BU170" s="16" t="s">
        <v>393</v>
      </c>
      <c r="BV170" s="16" t="s">
        <v>51</v>
      </c>
      <c r="BW170" s="16" t="s">
        <v>154</v>
      </c>
      <c r="BX170" s="16"/>
      <c r="BY170" s="16"/>
      <c r="BZ170" s="16" t="s">
        <v>157</v>
      </c>
      <c r="CA170" s="16" t="s">
        <v>269</v>
      </c>
      <c r="CB170" s="16" t="s">
        <v>412</v>
      </c>
      <c r="CC170" s="16" t="s">
        <v>771</v>
      </c>
      <c r="CD170" s="16" t="s">
        <v>392</v>
      </c>
      <c r="CE170" s="16" t="s">
        <v>396</v>
      </c>
      <c r="CF170" s="16" t="s">
        <v>398</v>
      </c>
      <c r="CG170" s="16" t="s">
        <v>778</v>
      </c>
      <c r="CH170" s="16" t="s">
        <v>159</v>
      </c>
      <c r="CI170" s="6">
        <v>1</v>
      </c>
      <c r="CJ170" s="6" t="str">
        <f t="shared" si="199"/>
        <v>GAS_ENQ_NO-811</v>
      </c>
      <c r="CK170" s="7" t="s">
        <v>779</v>
      </c>
      <c r="CL170" s="7" t="s">
        <v>391</v>
      </c>
      <c r="CM170" s="7" t="s">
        <v>391</v>
      </c>
      <c r="CN170" s="6" t="s">
        <v>780</v>
      </c>
      <c r="CO170" s="6" t="str">
        <f t="shared" si="200"/>
        <v>GAS_JOB_ID-811</v>
      </c>
      <c r="CP170" s="7"/>
      <c r="CQ170" s="6" t="str">
        <f t="shared" si="201"/>
        <v>10000811</v>
      </c>
      <c r="CR170" s="6" t="s">
        <v>154</v>
      </c>
      <c r="CS170" s="7" t="s">
        <v>51</v>
      </c>
      <c r="CT170" s="27" t="str">
        <f t="shared" si="202"/>
        <v>GMETER811</v>
      </c>
      <c r="CU170" s="6" t="s">
        <v>161</v>
      </c>
      <c r="CV170" s="7" t="s">
        <v>165</v>
      </c>
      <c r="CW170" s="7" t="s">
        <v>772</v>
      </c>
      <c r="CX170" s="7"/>
      <c r="CY170" s="7"/>
      <c r="CZ170" s="7" t="s">
        <v>394</v>
      </c>
      <c r="DA170" s="7" t="s">
        <v>395</v>
      </c>
      <c r="DB170" s="6" t="str">
        <f t="shared" si="163"/>
        <v>GAS_INST_ID-811</v>
      </c>
      <c r="DC170" s="7" t="s">
        <v>161</v>
      </c>
      <c r="DD170" s="7"/>
      <c r="DE170" s="7" t="s">
        <v>51</v>
      </c>
      <c r="DF170" s="7" t="s">
        <v>264</v>
      </c>
      <c r="DG170" s="7"/>
      <c r="DH170" s="7" t="s">
        <v>397</v>
      </c>
      <c r="DI170" s="7" t="s">
        <v>399</v>
      </c>
      <c r="DJ170" s="10" t="s">
        <v>778</v>
      </c>
      <c r="DK170" s="7" t="s">
        <v>140</v>
      </c>
      <c r="DL170" s="40"/>
      <c r="DM170" s="40"/>
      <c r="DN170" s="38" t="str">
        <f t="shared" si="164"/>
        <v>DS_Pass-811</v>
      </c>
      <c r="DO170" s="40"/>
      <c r="DP170" s="40"/>
      <c r="DQ170" s="40"/>
      <c r="DR170" s="41"/>
      <c r="DS170" s="41"/>
      <c r="DT170" s="40"/>
      <c r="DU170" s="40"/>
      <c r="DV170" s="40"/>
      <c r="DW170" s="41"/>
      <c r="DX170" s="40"/>
      <c r="DY170" s="40"/>
      <c r="DZ170" s="37" t="s">
        <v>777</v>
      </c>
      <c r="EA170" s="39"/>
      <c r="EB170" s="37"/>
      <c r="EC170" s="37"/>
      <c r="ED170" s="16"/>
      <c r="EE170" s="1"/>
      <c r="EF170" s="55"/>
    </row>
    <row r="171" spans="1:136">
      <c r="A171" s="219" t="s">
        <v>940</v>
      </c>
      <c r="B171" s="219" t="s">
        <v>868</v>
      </c>
      <c r="C171" s="219" t="s">
        <v>865</v>
      </c>
      <c r="D171" s="13">
        <f>'Run Parameters'!$B$1 + ROW()-1</f>
        <v>812</v>
      </c>
      <c r="E171" s="15" t="s">
        <v>47</v>
      </c>
      <c r="F171" s="18" t="s">
        <v>816</v>
      </c>
      <c r="G171" s="13" t="str">
        <f t="shared" si="182"/>
        <v>Access Dtls-812</v>
      </c>
      <c r="H171" s="15" t="s">
        <v>275</v>
      </c>
      <c r="I171" s="13" t="str">
        <f>("MR. Test_162_FLTY17_"&amp;D171&amp;"")</f>
        <v>MR. Test_162_FLTY17_812</v>
      </c>
      <c r="J171" s="18"/>
      <c r="K171" s="19" t="s">
        <v>425</v>
      </c>
      <c r="L171" s="13" t="str">
        <f t="shared" si="183"/>
        <v>Cust. Ref-812</v>
      </c>
      <c r="M171" s="15" t="s">
        <v>48</v>
      </c>
      <c r="N171" s="15" t="s">
        <v>425</v>
      </c>
      <c r="O171" s="13"/>
      <c r="P171" s="13" t="str">
        <f t="shared" si="184"/>
        <v>SN-812</v>
      </c>
      <c r="Q171" s="13" t="str">
        <f t="shared" si="185"/>
        <v>SI-812</v>
      </c>
      <c r="R171" s="13" t="str">
        <f t="shared" si="186"/>
        <v>SE-812</v>
      </c>
      <c r="S171" s="54" t="str">
        <f t="shared" si="187"/>
        <v>Prev_RA-812</v>
      </c>
      <c r="T171" s="54" t="str">
        <f t="shared" si="188"/>
        <v>Prev_Comms-812</v>
      </c>
      <c r="U171" s="17" t="s">
        <v>75</v>
      </c>
      <c r="V171" s="15" t="s">
        <v>401</v>
      </c>
      <c r="W171" s="17" t="s">
        <v>75</v>
      </c>
      <c r="X171" s="15" t="s">
        <v>396</v>
      </c>
      <c r="Y171" s="13" t="str">
        <f t="shared" si="189"/>
        <v>Forward Add-812</v>
      </c>
      <c r="Z171" s="15" t="s">
        <v>401</v>
      </c>
      <c r="AA171" s="136" t="str">
        <f>'Run Parameters'!$B$2</f>
        <v>2018-08-13 08:00</v>
      </c>
      <c r="AB171" s="223" t="str">
        <f>'Run Parameters'!B$3</f>
        <v>2018-08-13 18:00</v>
      </c>
      <c r="AC171" s="26">
        <f>('Run Parameters'!$B$2) - 7</f>
        <v>43318.333333333336</v>
      </c>
      <c r="AD171" s="17" t="s">
        <v>75</v>
      </c>
      <c r="AE171" s="18" t="str">
        <f t="shared" si="190"/>
        <v>LAST_METER-812</v>
      </c>
      <c r="AF171" s="136" t="str">
        <f>'Run Parameters'!$B$2</f>
        <v>2018-08-13 08:00</v>
      </c>
      <c r="AG171" s="13" t="str">
        <f>'Run Parameters'!B$4</f>
        <v>AUTOTEST2</v>
      </c>
      <c r="AH171" s="54" t="str">
        <f t="shared" si="191"/>
        <v>Site_Contact_812</v>
      </c>
      <c r="AI171" s="136" t="str">
        <f>'Run Parameters'!B$2</f>
        <v>2018-08-13 08:00</v>
      </c>
      <c r="AJ171" s="223" t="str">
        <f>'Run Parameters'!B$3</f>
        <v>2018-08-13 18:00</v>
      </c>
      <c r="AK171" s="13" t="s">
        <v>396</v>
      </c>
      <c r="AL171" s="54" t="str">
        <f t="shared" si="192"/>
        <v>01159812</v>
      </c>
      <c r="AM171" s="13" t="str">
        <f t="shared" si="193"/>
        <v>0115812</v>
      </c>
      <c r="AN171" s="15"/>
      <c r="AO171" s="52"/>
      <c r="AP171" s="13">
        <v>1</v>
      </c>
      <c r="AQ171" s="53" t="s">
        <v>49</v>
      </c>
      <c r="AR171" s="15"/>
      <c r="AS171" s="13"/>
      <c r="AT171" s="7" t="s">
        <v>774</v>
      </c>
      <c r="AU171" s="7"/>
      <c r="AV171" s="13">
        <f t="shared" si="194"/>
        <v>812</v>
      </c>
      <c r="AW171" s="13" t="s">
        <v>775</v>
      </c>
      <c r="AX171" s="13" t="s">
        <v>420</v>
      </c>
      <c r="AY171" s="13" t="s">
        <v>421</v>
      </c>
      <c r="AZ171" s="15" t="s">
        <v>334</v>
      </c>
      <c r="BA171" s="14" t="s">
        <v>154</v>
      </c>
      <c r="BB171" s="21">
        <v>1</v>
      </c>
      <c r="BC171" s="20">
        <f t="shared" si="195"/>
        <v>812</v>
      </c>
      <c r="BD171" s="16" t="s">
        <v>776</v>
      </c>
      <c r="BE171" s="16" t="s">
        <v>391</v>
      </c>
      <c r="BF171" s="16" t="s">
        <v>391</v>
      </c>
      <c r="BG171" s="20" t="s">
        <v>773</v>
      </c>
      <c r="BH171" s="20" t="str">
        <f t="shared" si="196"/>
        <v>812_1</v>
      </c>
      <c r="BI171" s="21"/>
      <c r="BJ171" s="21" t="str">
        <f t="shared" si="197"/>
        <v>10000000812</v>
      </c>
      <c r="BK171" s="16" t="s">
        <v>51</v>
      </c>
      <c r="BL171" s="16" t="s">
        <v>54</v>
      </c>
      <c r="BM171" s="20" t="s">
        <v>769</v>
      </c>
      <c r="BN171" s="16" t="s">
        <v>51</v>
      </c>
      <c r="BO171" s="20" t="str">
        <f t="shared" si="198"/>
        <v>S05S812</v>
      </c>
      <c r="BP171" s="16" t="s">
        <v>777</v>
      </c>
      <c r="BQ171" s="16" t="s">
        <v>777</v>
      </c>
      <c r="BR171" s="20" t="s">
        <v>161</v>
      </c>
      <c r="BS171" s="16" t="s">
        <v>50</v>
      </c>
      <c r="BT171" s="16" t="s">
        <v>47</v>
      </c>
      <c r="BU171" s="16" t="s">
        <v>393</v>
      </c>
      <c r="BV171" s="16" t="s">
        <v>51</v>
      </c>
      <c r="BW171" s="16" t="s">
        <v>154</v>
      </c>
      <c r="BX171" s="16"/>
      <c r="BY171" s="16"/>
      <c r="BZ171" s="16" t="s">
        <v>157</v>
      </c>
      <c r="CA171" s="16" t="s">
        <v>269</v>
      </c>
      <c r="CB171" s="16" t="s">
        <v>412</v>
      </c>
      <c r="CC171" s="16" t="s">
        <v>771</v>
      </c>
      <c r="CD171" s="16" t="s">
        <v>392</v>
      </c>
      <c r="CE171" s="16" t="s">
        <v>396</v>
      </c>
      <c r="CF171" s="16" t="s">
        <v>398</v>
      </c>
      <c r="CG171" s="16" t="s">
        <v>778</v>
      </c>
      <c r="CH171" s="16" t="s">
        <v>159</v>
      </c>
      <c r="CI171" s="6">
        <v>1</v>
      </c>
      <c r="CJ171" s="6" t="str">
        <f t="shared" si="199"/>
        <v>GAS_ENQ_NO-812</v>
      </c>
      <c r="CK171" s="7" t="s">
        <v>779</v>
      </c>
      <c r="CL171" s="7" t="s">
        <v>391</v>
      </c>
      <c r="CM171" s="7" t="s">
        <v>391</v>
      </c>
      <c r="CN171" s="6" t="s">
        <v>780</v>
      </c>
      <c r="CO171" s="6" t="str">
        <f t="shared" si="200"/>
        <v>GAS_JOB_ID-812</v>
      </c>
      <c r="CP171" s="7"/>
      <c r="CQ171" s="6" t="str">
        <f t="shared" si="201"/>
        <v>10000812</v>
      </c>
      <c r="CR171" s="6" t="s">
        <v>154</v>
      </c>
      <c r="CS171" s="7" t="s">
        <v>51</v>
      </c>
      <c r="CT171" s="27" t="str">
        <f t="shared" si="202"/>
        <v>GMETER812</v>
      </c>
      <c r="CU171" s="6" t="s">
        <v>161</v>
      </c>
      <c r="CV171" s="7" t="s">
        <v>165</v>
      </c>
      <c r="CW171" s="7" t="s">
        <v>772</v>
      </c>
      <c r="CX171" s="7"/>
      <c r="CY171" s="7"/>
      <c r="CZ171" s="7" t="s">
        <v>394</v>
      </c>
      <c r="DA171" s="7" t="s">
        <v>395</v>
      </c>
      <c r="DB171" s="6" t="str">
        <f t="shared" si="163"/>
        <v>GAS_INST_ID-812</v>
      </c>
      <c r="DC171" s="7" t="s">
        <v>161</v>
      </c>
      <c r="DD171" s="7"/>
      <c r="DE171" s="7" t="s">
        <v>51</v>
      </c>
      <c r="DF171" s="7" t="s">
        <v>264</v>
      </c>
      <c r="DG171" s="7"/>
      <c r="DH171" s="7" t="s">
        <v>397</v>
      </c>
      <c r="DI171" s="7" t="s">
        <v>399</v>
      </c>
      <c r="DJ171" s="10" t="s">
        <v>778</v>
      </c>
      <c r="DK171" s="7" t="s">
        <v>140</v>
      </c>
      <c r="DL171" s="40"/>
      <c r="DM171" s="40"/>
      <c r="DN171" s="38" t="str">
        <f t="shared" si="164"/>
        <v>DS_Pass-812</v>
      </c>
      <c r="DO171" s="40"/>
      <c r="DP171" s="40"/>
      <c r="DQ171" s="40"/>
      <c r="DR171" s="41"/>
      <c r="DS171" s="41"/>
      <c r="DT171" s="40"/>
      <c r="DU171" s="40"/>
      <c r="DV171" s="40"/>
      <c r="DW171" s="41"/>
      <c r="DX171" s="40"/>
      <c r="DY171" s="40"/>
      <c r="DZ171" s="37" t="s">
        <v>777</v>
      </c>
      <c r="EA171" s="39"/>
      <c r="EB171" s="37"/>
      <c r="EC171" s="37"/>
      <c r="ED171" s="16"/>
      <c r="EE171" s="1"/>
      <c r="EF171" s="55"/>
    </row>
    <row r="172" spans="1:136">
      <c r="A172" s="219" t="s">
        <v>941</v>
      </c>
      <c r="B172" s="219" t="s">
        <v>892</v>
      </c>
      <c r="C172" s="219" t="s">
        <v>865</v>
      </c>
      <c r="D172" s="13">
        <f>'Run Parameters'!$B$1 + ROW()-1</f>
        <v>813</v>
      </c>
      <c r="E172" s="15" t="s">
        <v>47</v>
      </c>
      <c r="F172" s="18" t="s">
        <v>816</v>
      </c>
      <c r="G172" s="13" t="str">
        <f t="shared" si="182"/>
        <v>Access Dtls-813</v>
      </c>
      <c r="H172" s="15" t="s">
        <v>275</v>
      </c>
      <c r="I172" s="13" t="str">
        <f>("MR. Test_163_FLTY17_"&amp;D172&amp;"")</f>
        <v>MR. Test_163_FLTY17_813</v>
      </c>
      <c r="J172" s="18"/>
      <c r="K172" s="19" t="s">
        <v>425</v>
      </c>
      <c r="L172" s="13" t="str">
        <f t="shared" si="183"/>
        <v>Cust. Ref-813</v>
      </c>
      <c r="M172" s="15" t="s">
        <v>48</v>
      </c>
      <c r="N172" s="15" t="s">
        <v>425</v>
      </c>
      <c r="O172" s="13"/>
      <c r="P172" s="13" t="str">
        <f t="shared" si="184"/>
        <v>SN-813</v>
      </c>
      <c r="Q172" s="13" t="str">
        <f t="shared" si="185"/>
        <v>SI-813</v>
      </c>
      <c r="R172" s="13" t="str">
        <f t="shared" si="186"/>
        <v>SE-813</v>
      </c>
      <c r="S172" s="54" t="str">
        <f t="shared" si="187"/>
        <v>Prev_RA-813</v>
      </c>
      <c r="T172" s="54" t="str">
        <f t="shared" si="188"/>
        <v>Prev_Comms-813</v>
      </c>
      <c r="U172" s="17" t="s">
        <v>75</v>
      </c>
      <c r="V172" s="15" t="s">
        <v>401</v>
      </c>
      <c r="W172" s="17" t="s">
        <v>75</v>
      </c>
      <c r="X172" s="15" t="s">
        <v>396</v>
      </c>
      <c r="Y172" s="13" t="str">
        <f t="shared" si="189"/>
        <v>Forward Add-813</v>
      </c>
      <c r="Z172" s="15" t="s">
        <v>401</v>
      </c>
      <c r="AA172" s="136" t="str">
        <f>'Run Parameters'!$B$2</f>
        <v>2018-08-13 08:00</v>
      </c>
      <c r="AB172" s="223" t="str">
        <f>'Run Parameters'!B$3</f>
        <v>2018-08-13 18:00</v>
      </c>
      <c r="AC172" s="26">
        <f>('Run Parameters'!$B$2) - 7</f>
        <v>43318.333333333336</v>
      </c>
      <c r="AD172" s="17" t="s">
        <v>75</v>
      </c>
      <c r="AE172" s="18" t="str">
        <f t="shared" si="190"/>
        <v>LAST_METER-813</v>
      </c>
      <c r="AF172" s="136" t="str">
        <f>'Run Parameters'!$B$2</f>
        <v>2018-08-13 08:00</v>
      </c>
      <c r="AG172" s="13" t="str">
        <f>'Run Parameters'!B$4</f>
        <v>AUTOTEST2</v>
      </c>
      <c r="AH172" s="54" t="str">
        <f t="shared" si="191"/>
        <v>Site_Contact_813</v>
      </c>
      <c r="AI172" s="136" t="str">
        <f>'Run Parameters'!B$2</f>
        <v>2018-08-13 08:00</v>
      </c>
      <c r="AJ172" s="223" t="str">
        <f>'Run Parameters'!B$3</f>
        <v>2018-08-13 18:00</v>
      </c>
      <c r="AK172" s="13" t="s">
        <v>396</v>
      </c>
      <c r="AL172" s="54" t="str">
        <f t="shared" si="192"/>
        <v>01159813</v>
      </c>
      <c r="AM172" s="13" t="str">
        <f t="shared" si="193"/>
        <v>0115813</v>
      </c>
      <c r="AN172" s="15"/>
      <c r="AO172" s="52"/>
      <c r="AP172" s="13">
        <v>1</v>
      </c>
      <c r="AQ172" s="53" t="s">
        <v>49</v>
      </c>
      <c r="AR172" s="15"/>
      <c r="AS172" s="13"/>
      <c r="AT172" s="7" t="s">
        <v>774</v>
      </c>
      <c r="AU172" s="7"/>
      <c r="AV172" s="13">
        <f t="shared" si="194"/>
        <v>813</v>
      </c>
      <c r="AW172" s="13" t="s">
        <v>775</v>
      </c>
      <c r="AX172" s="13" t="s">
        <v>420</v>
      </c>
      <c r="AY172" s="13" t="s">
        <v>421</v>
      </c>
      <c r="AZ172" s="15" t="s">
        <v>334</v>
      </c>
      <c r="BA172" s="14" t="s">
        <v>154</v>
      </c>
      <c r="BB172" s="21">
        <v>1</v>
      </c>
      <c r="BC172" s="20">
        <f t="shared" si="195"/>
        <v>813</v>
      </c>
      <c r="BD172" s="16" t="s">
        <v>776</v>
      </c>
      <c r="BE172" s="16" t="s">
        <v>391</v>
      </c>
      <c r="BF172" s="16" t="s">
        <v>391</v>
      </c>
      <c r="BG172" s="20" t="s">
        <v>773</v>
      </c>
      <c r="BH172" s="20" t="str">
        <f t="shared" si="196"/>
        <v>813_1</v>
      </c>
      <c r="BI172" s="21"/>
      <c r="BJ172" s="21" t="str">
        <f t="shared" si="197"/>
        <v>10000000813</v>
      </c>
      <c r="BK172" s="16" t="s">
        <v>51</v>
      </c>
      <c r="BL172" s="16" t="s">
        <v>54</v>
      </c>
      <c r="BM172" s="20" t="s">
        <v>769</v>
      </c>
      <c r="BN172" s="16" t="s">
        <v>51</v>
      </c>
      <c r="BO172" s="20" t="str">
        <f t="shared" si="198"/>
        <v>S05S813</v>
      </c>
      <c r="BP172" s="16" t="s">
        <v>777</v>
      </c>
      <c r="BQ172" s="16" t="s">
        <v>777</v>
      </c>
      <c r="BR172" s="20" t="s">
        <v>161</v>
      </c>
      <c r="BS172" s="16" t="s">
        <v>50</v>
      </c>
      <c r="BT172" s="16" t="s">
        <v>47</v>
      </c>
      <c r="BU172" s="16" t="s">
        <v>393</v>
      </c>
      <c r="BV172" s="16" t="s">
        <v>51</v>
      </c>
      <c r="BW172" s="16" t="s">
        <v>154</v>
      </c>
      <c r="BX172" s="16"/>
      <c r="BY172" s="16"/>
      <c r="BZ172" s="16" t="s">
        <v>157</v>
      </c>
      <c r="CA172" s="16" t="s">
        <v>269</v>
      </c>
      <c r="CB172" s="16" t="s">
        <v>412</v>
      </c>
      <c r="CC172" s="16" t="s">
        <v>771</v>
      </c>
      <c r="CD172" s="16" t="s">
        <v>392</v>
      </c>
      <c r="CE172" s="16" t="s">
        <v>396</v>
      </c>
      <c r="CF172" s="16" t="s">
        <v>398</v>
      </c>
      <c r="CG172" s="16" t="s">
        <v>778</v>
      </c>
      <c r="CH172" s="16" t="s">
        <v>159</v>
      </c>
      <c r="CI172" s="6">
        <v>1</v>
      </c>
      <c r="CJ172" s="6" t="str">
        <f t="shared" si="199"/>
        <v>GAS_ENQ_NO-813</v>
      </c>
      <c r="CK172" s="7" t="s">
        <v>779</v>
      </c>
      <c r="CL172" s="7" t="s">
        <v>391</v>
      </c>
      <c r="CM172" s="7" t="s">
        <v>391</v>
      </c>
      <c r="CN172" s="6" t="s">
        <v>780</v>
      </c>
      <c r="CO172" s="6" t="str">
        <f t="shared" si="200"/>
        <v>GAS_JOB_ID-813</v>
      </c>
      <c r="CP172" s="7"/>
      <c r="CQ172" s="6" t="str">
        <f t="shared" si="201"/>
        <v>10000813</v>
      </c>
      <c r="CR172" s="6" t="s">
        <v>154</v>
      </c>
      <c r="CS172" s="7" t="s">
        <v>51</v>
      </c>
      <c r="CT172" s="27" t="str">
        <f t="shared" si="202"/>
        <v>GMETER813</v>
      </c>
      <c r="CU172" s="6" t="s">
        <v>161</v>
      </c>
      <c r="CV172" s="7" t="s">
        <v>165</v>
      </c>
      <c r="CW172" s="7" t="s">
        <v>772</v>
      </c>
      <c r="CX172" s="7"/>
      <c r="CY172" s="7"/>
      <c r="CZ172" s="7" t="s">
        <v>394</v>
      </c>
      <c r="DA172" s="7" t="s">
        <v>395</v>
      </c>
      <c r="DB172" s="6" t="str">
        <f t="shared" si="163"/>
        <v>GAS_INST_ID-813</v>
      </c>
      <c r="DC172" s="7" t="s">
        <v>161</v>
      </c>
      <c r="DD172" s="7"/>
      <c r="DE172" s="7" t="s">
        <v>51</v>
      </c>
      <c r="DF172" s="7" t="s">
        <v>264</v>
      </c>
      <c r="DG172" s="7"/>
      <c r="DH172" s="7" t="s">
        <v>397</v>
      </c>
      <c r="DI172" s="7" t="s">
        <v>399</v>
      </c>
      <c r="DJ172" s="10" t="s">
        <v>778</v>
      </c>
      <c r="DK172" s="7" t="s">
        <v>140</v>
      </c>
      <c r="DL172" s="40"/>
      <c r="DM172" s="40"/>
      <c r="DN172" s="38" t="str">
        <f t="shared" si="164"/>
        <v>DS_Pass-813</v>
      </c>
      <c r="DO172" s="40"/>
      <c r="DP172" s="40"/>
      <c r="DQ172" s="40"/>
      <c r="DR172" s="41"/>
      <c r="DS172" s="41"/>
      <c r="DT172" s="40"/>
      <c r="DU172" s="40"/>
      <c r="DV172" s="40"/>
      <c r="DW172" s="41"/>
      <c r="DX172" s="40"/>
      <c r="DY172" s="40"/>
      <c r="DZ172" s="37" t="s">
        <v>777</v>
      </c>
      <c r="EA172" s="39"/>
      <c r="EB172" s="37"/>
      <c r="EC172" s="37"/>
      <c r="ED172" s="16"/>
      <c r="EE172" s="1"/>
      <c r="EF172" s="55"/>
    </row>
    <row r="173" spans="1:136">
      <c r="A173" s="219" t="s">
        <v>942</v>
      </c>
      <c r="B173" s="219" t="s">
        <v>868</v>
      </c>
      <c r="C173" s="219" t="s">
        <v>865</v>
      </c>
      <c r="D173" s="13">
        <f>'Run Parameters'!$B$1 + ROW()-1</f>
        <v>814</v>
      </c>
      <c r="E173" s="15" t="s">
        <v>47</v>
      </c>
      <c r="F173" s="18" t="s">
        <v>816</v>
      </c>
      <c r="G173" s="13" t="str">
        <f t="shared" si="182"/>
        <v>Access Dtls-814</v>
      </c>
      <c r="H173" s="15" t="s">
        <v>275</v>
      </c>
      <c r="I173" s="13" t="str">
        <f>("MR. Test_164_FLTY17_"&amp;D173&amp;"")</f>
        <v>MR. Test_164_FLTY17_814</v>
      </c>
      <c r="J173" s="18"/>
      <c r="K173" s="19" t="s">
        <v>425</v>
      </c>
      <c r="L173" s="13" t="str">
        <f t="shared" si="183"/>
        <v>Cust. Ref-814</v>
      </c>
      <c r="M173" s="15" t="s">
        <v>48</v>
      </c>
      <c r="N173" s="15" t="s">
        <v>425</v>
      </c>
      <c r="O173" s="13"/>
      <c r="P173" s="13" t="str">
        <f t="shared" si="184"/>
        <v>SN-814</v>
      </c>
      <c r="Q173" s="13" t="str">
        <f t="shared" si="185"/>
        <v>SI-814</v>
      </c>
      <c r="R173" s="13" t="str">
        <f t="shared" si="186"/>
        <v>SE-814</v>
      </c>
      <c r="S173" s="54" t="str">
        <f t="shared" si="187"/>
        <v>Prev_RA-814</v>
      </c>
      <c r="T173" s="54" t="str">
        <f t="shared" si="188"/>
        <v>Prev_Comms-814</v>
      </c>
      <c r="U173" s="17" t="s">
        <v>75</v>
      </c>
      <c r="V173" s="15" t="s">
        <v>401</v>
      </c>
      <c r="W173" s="17" t="s">
        <v>75</v>
      </c>
      <c r="X173" s="15" t="s">
        <v>396</v>
      </c>
      <c r="Y173" s="13" t="str">
        <f t="shared" si="189"/>
        <v>Forward Add-814</v>
      </c>
      <c r="Z173" s="15" t="s">
        <v>401</v>
      </c>
      <c r="AA173" s="136" t="str">
        <f>'Run Parameters'!$B$2</f>
        <v>2018-08-13 08:00</v>
      </c>
      <c r="AB173" s="223" t="str">
        <f>'Run Parameters'!B$3</f>
        <v>2018-08-13 18:00</v>
      </c>
      <c r="AC173" s="26">
        <f>('Run Parameters'!$B$2) - 7</f>
        <v>43318.333333333336</v>
      </c>
      <c r="AD173" s="17" t="s">
        <v>75</v>
      </c>
      <c r="AE173" s="18" t="str">
        <f t="shared" si="190"/>
        <v>LAST_METER-814</v>
      </c>
      <c r="AF173" s="136" t="str">
        <f>'Run Parameters'!$B$2</f>
        <v>2018-08-13 08:00</v>
      </c>
      <c r="AG173" s="13" t="str">
        <f>'Run Parameters'!B$4</f>
        <v>AUTOTEST2</v>
      </c>
      <c r="AH173" s="54" t="str">
        <f t="shared" si="191"/>
        <v>Site_Contact_814</v>
      </c>
      <c r="AI173" s="136" t="str">
        <f>'Run Parameters'!B$2</f>
        <v>2018-08-13 08:00</v>
      </c>
      <c r="AJ173" s="223" t="str">
        <f>'Run Parameters'!B$3</f>
        <v>2018-08-13 18:00</v>
      </c>
      <c r="AK173" s="13" t="s">
        <v>396</v>
      </c>
      <c r="AL173" s="54" t="str">
        <f t="shared" si="192"/>
        <v>01159814</v>
      </c>
      <c r="AM173" s="13" t="str">
        <f t="shared" si="193"/>
        <v>0115814</v>
      </c>
      <c r="AN173" s="15"/>
      <c r="AO173" s="52"/>
      <c r="AP173" s="13">
        <v>1</v>
      </c>
      <c r="AQ173" s="53" t="s">
        <v>49</v>
      </c>
      <c r="AR173" s="15"/>
      <c r="AS173" s="13"/>
      <c r="AT173" s="7" t="s">
        <v>774</v>
      </c>
      <c r="AU173" s="7"/>
      <c r="AV173" s="13">
        <f t="shared" si="194"/>
        <v>814</v>
      </c>
      <c r="AW173" s="13" t="s">
        <v>775</v>
      </c>
      <c r="AX173" s="13" t="s">
        <v>420</v>
      </c>
      <c r="AY173" s="13" t="s">
        <v>421</v>
      </c>
      <c r="AZ173" s="15" t="s">
        <v>334</v>
      </c>
      <c r="BA173" s="14" t="s">
        <v>154</v>
      </c>
      <c r="BB173" s="21">
        <v>1</v>
      </c>
      <c r="BC173" s="20">
        <f t="shared" si="195"/>
        <v>814</v>
      </c>
      <c r="BD173" s="16" t="s">
        <v>776</v>
      </c>
      <c r="BE173" s="16" t="s">
        <v>391</v>
      </c>
      <c r="BF173" s="16" t="s">
        <v>391</v>
      </c>
      <c r="BG173" s="20" t="s">
        <v>773</v>
      </c>
      <c r="BH173" s="20" t="str">
        <f t="shared" si="196"/>
        <v>814_1</v>
      </c>
      <c r="BI173" s="21"/>
      <c r="BJ173" s="21" t="str">
        <f t="shared" si="197"/>
        <v>10000000814</v>
      </c>
      <c r="BK173" s="16" t="s">
        <v>51</v>
      </c>
      <c r="BL173" s="16" t="s">
        <v>54</v>
      </c>
      <c r="BM173" s="20" t="s">
        <v>769</v>
      </c>
      <c r="BN173" s="16" t="s">
        <v>51</v>
      </c>
      <c r="BO173" s="20" t="str">
        <f t="shared" si="198"/>
        <v>S05S814</v>
      </c>
      <c r="BP173" s="16" t="s">
        <v>777</v>
      </c>
      <c r="BQ173" s="16" t="s">
        <v>777</v>
      </c>
      <c r="BR173" s="20" t="s">
        <v>161</v>
      </c>
      <c r="BS173" s="16" t="s">
        <v>50</v>
      </c>
      <c r="BT173" s="16" t="s">
        <v>47</v>
      </c>
      <c r="BU173" s="16" t="s">
        <v>393</v>
      </c>
      <c r="BV173" s="16" t="s">
        <v>51</v>
      </c>
      <c r="BW173" s="16" t="s">
        <v>154</v>
      </c>
      <c r="BX173" s="16"/>
      <c r="BY173" s="16"/>
      <c r="BZ173" s="16" t="s">
        <v>157</v>
      </c>
      <c r="CA173" s="16" t="s">
        <v>269</v>
      </c>
      <c r="CB173" s="16" t="s">
        <v>412</v>
      </c>
      <c r="CC173" s="16" t="s">
        <v>771</v>
      </c>
      <c r="CD173" s="16" t="s">
        <v>392</v>
      </c>
      <c r="CE173" s="16" t="s">
        <v>396</v>
      </c>
      <c r="CF173" s="16" t="s">
        <v>398</v>
      </c>
      <c r="CG173" s="16" t="s">
        <v>778</v>
      </c>
      <c r="CH173" s="16" t="s">
        <v>159</v>
      </c>
      <c r="CI173" s="6">
        <v>1</v>
      </c>
      <c r="CJ173" s="6" t="str">
        <f t="shared" si="199"/>
        <v>GAS_ENQ_NO-814</v>
      </c>
      <c r="CK173" s="7" t="s">
        <v>779</v>
      </c>
      <c r="CL173" s="7" t="s">
        <v>391</v>
      </c>
      <c r="CM173" s="7" t="s">
        <v>391</v>
      </c>
      <c r="CN173" s="6" t="s">
        <v>780</v>
      </c>
      <c r="CO173" s="6" t="str">
        <f t="shared" si="200"/>
        <v>GAS_JOB_ID-814</v>
      </c>
      <c r="CP173" s="7"/>
      <c r="CQ173" s="6" t="str">
        <f t="shared" si="201"/>
        <v>10000814</v>
      </c>
      <c r="CR173" s="6" t="s">
        <v>154</v>
      </c>
      <c r="CS173" s="7" t="s">
        <v>51</v>
      </c>
      <c r="CT173" s="27" t="str">
        <f t="shared" si="202"/>
        <v>GMETER814</v>
      </c>
      <c r="CU173" s="6" t="s">
        <v>161</v>
      </c>
      <c r="CV173" s="7" t="s">
        <v>165</v>
      </c>
      <c r="CW173" s="7" t="s">
        <v>772</v>
      </c>
      <c r="CX173" s="7"/>
      <c r="CY173" s="7"/>
      <c r="CZ173" s="7" t="s">
        <v>394</v>
      </c>
      <c r="DA173" s="7" t="s">
        <v>395</v>
      </c>
      <c r="DB173" s="6" t="str">
        <f t="shared" si="163"/>
        <v>GAS_INST_ID-814</v>
      </c>
      <c r="DC173" s="7" t="s">
        <v>161</v>
      </c>
      <c r="DD173" s="7"/>
      <c r="DE173" s="7" t="s">
        <v>51</v>
      </c>
      <c r="DF173" s="7" t="s">
        <v>264</v>
      </c>
      <c r="DG173" s="7"/>
      <c r="DH173" s="7" t="s">
        <v>397</v>
      </c>
      <c r="DI173" s="7" t="s">
        <v>399</v>
      </c>
      <c r="DJ173" s="10" t="s">
        <v>778</v>
      </c>
      <c r="DK173" s="7" t="s">
        <v>140</v>
      </c>
      <c r="DL173" s="40"/>
      <c r="DM173" s="40"/>
      <c r="DN173" s="38" t="str">
        <f t="shared" si="164"/>
        <v>DS_Pass-814</v>
      </c>
      <c r="DO173" s="40"/>
      <c r="DP173" s="40"/>
      <c r="DQ173" s="40"/>
      <c r="DR173" s="41"/>
      <c r="DS173" s="41"/>
      <c r="DT173" s="40"/>
      <c r="DU173" s="40"/>
      <c r="DV173" s="40"/>
      <c r="DW173" s="41"/>
      <c r="DX173" s="40"/>
      <c r="DY173" s="40"/>
      <c r="DZ173" s="37" t="s">
        <v>777</v>
      </c>
      <c r="EA173" s="39"/>
      <c r="EB173" s="37"/>
      <c r="EC173" s="37"/>
      <c r="ED173" s="16"/>
      <c r="EE173" s="1"/>
      <c r="EF173" s="55"/>
    </row>
    <row r="174" spans="1:136">
      <c r="A174" s="219" t="s">
        <v>943</v>
      </c>
      <c r="B174" s="219" t="s">
        <v>892</v>
      </c>
      <c r="C174" s="219" t="s">
        <v>865</v>
      </c>
      <c r="D174" s="13">
        <f>'Run Parameters'!$B$1 + ROW()-1</f>
        <v>815</v>
      </c>
      <c r="E174" s="15" t="s">
        <v>47</v>
      </c>
      <c r="F174" s="18" t="s">
        <v>816</v>
      </c>
      <c r="G174" s="13" t="str">
        <f>("Access Dtls-" &amp; D174)</f>
        <v>Access Dtls-815</v>
      </c>
      <c r="H174" s="15" t="s">
        <v>275</v>
      </c>
      <c r="I174" s="13" t="str">
        <f>("MR. Test_165_FLTY17_"&amp;D174&amp;"")</f>
        <v>MR. Test_165_FLTY17_815</v>
      </c>
      <c r="J174" s="18"/>
      <c r="K174" s="19" t="s">
        <v>425</v>
      </c>
      <c r="L174" s="13" t="str">
        <f>("Cust. Ref-" &amp; D174)</f>
        <v>Cust. Ref-815</v>
      </c>
      <c r="M174" s="15" t="s">
        <v>48</v>
      </c>
      <c r="N174" s="15" t="s">
        <v>425</v>
      </c>
      <c r="O174" s="13"/>
      <c r="P174" s="13" t="str">
        <f>("SN-" &amp; D174)</f>
        <v>SN-815</v>
      </c>
      <c r="Q174" s="13" t="str">
        <f>("SI-" &amp; D174)</f>
        <v>SI-815</v>
      </c>
      <c r="R174" s="13" t="str">
        <f>("SE-" &amp; D174)</f>
        <v>SE-815</v>
      </c>
      <c r="S174" s="54" t="str">
        <f>("Prev_RA-" &amp; D174)</f>
        <v>Prev_RA-815</v>
      </c>
      <c r="T174" s="54" t="str">
        <f>("Prev_Comms-" &amp; D174)</f>
        <v>Prev_Comms-815</v>
      </c>
      <c r="U174" s="17" t="s">
        <v>75</v>
      </c>
      <c r="V174" s="15" t="s">
        <v>401</v>
      </c>
      <c r="W174" s="17" t="s">
        <v>75</v>
      </c>
      <c r="X174" s="15" t="s">
        <v>396</v>
      </c>
      <c r="Y174" s="13" t="str">
        <f>("Forward Add-" &amp; D174)</f>
        <v>Forward Add-815</v>
      </c>
      <c r="Z174" s="15" t="s">
        <v>401</v>
      </c>
      <c r="AA174" s="136" t="str">
        <f>'Run Parameters'!$B$2</f>
        <v>2018-08-13 08:00</v>
      </c>
      <c r="AB174" s="223" t="str">
        <f>'Run Parameters'!B$3</f>
        <v>2018-08-13 18:00</v>
      </c>
      <c r="AC174" s="26">
        <f>('Run Parameters'!$B$2) - 7</f>
        <v>43318.333333333336</v>
      </c>
      <c r="AD174" s="17" t="s">
        <v>75</v>
      </c>
      <c r="AE174" s="18" t="str">
        <f>("LAST_METER-" &amp; D174)</f>
        <v>LAST_METER-815</v>
      </c>
      <c r="AF174" s="136" t="str">
        <f>'Run Parameters'!$B$2</f>
        <v>2018-08-13 08:00</v>
      </c>
      <c r="AG174" s="13" t="str">
        <f>'Run Parameters'!B$4</f>
        <v>AUTOTEST2</v>
      </c>
      <c r="AH174" s="54" t="str">
        <f>("Site_Contact_" &amp; D174)</f>
        <v>Site_Contact_815</v>
      </c>
      <c r="AI174" s="136" t="str">
        <f>'Run Parameters'!B$2</f>
        <v>2018-08-13 08:00</v>
      </c>
      <c r="AJ174" s="223" t="str">
        <f>'Run Parameters'!B$3</f>
        <v>2018-08-13 18:00</v>
      </c>
      <c r="AK174" s="13" t="s">
        <v>396</v>
      </c>
      <c r="AL174" s="54" t="str">
        <f>"01159" &amp; D174</f>
        <v>01159815</v>
      </c>
      <c r="AM174" s="13" t="str">
        <f>("0115" &amp; D174)</f>
        <v>0115815</v>
      </c>
      <c r="AN174" s="15"/>
      <c r="AO174" s="52"/>
      <c r="AP174" s="13">
        <v>1</v>
      </c>
      <c r="AQ174" s="53" t="s">
        <v>49</v>
      </c>
      <c r="AR174" s="15"/>
      <c r="AS174" s="13"/>
      <c r="AT174" s="7" t="s">
        <v>774</v>
      </c>
      <c r="AU174" s="7"/>
      <c r="AV174" s="13">
        <f>D174</f>
        <v>815</v>
      </c>
      <c r="AW174" s="13" t="s">
        <v>775</v>
      </c>
      <c r="AX174" s="13" t="s">
        <v>420</v>
      </c>
      <c r="AY174" s="13" t="s">
        <v>421</v>
      </c>
      <c r="AZ174" s="15" t="s">
        <v>334</v>
      </c>
      <c r="BA174" s="14" t="s">
        <v>154</v>
      </c>
      <c r="BB174" s="21">
        <v>1</v>
      </c>
      <c r="BC174" s="20">
        <f>D174</f>
        <v>815</v>
      </c>
      <c r="BD174" s="16" t="s">
        <v>776</v>
      </c>
      <c r="BE174" s="16" t="s">
        <v>391</v>
      </c>
      <c r="BF174" s="16" t="s">
        <v>391</v>
      </c>
      <c r="BG174" s="20" t="s">
        <v>773</v>
      </c>
      <c r="BH174" s="20" t="str">
        <f>BC174&amp;"_"&amp;BB174</f>
        <v>815_1</v>
      </c>
      <c r="BI174" s="21"/>
      <c r="BJ174" s="21" t="str">
        <f>"10000000" &amp; D174</f>
        <v>10000000815</v>
      </c>
      <c r="BK174" s="16" t="s">
        <v>51</v>
      </c>
      <c r="BL174" s="16" t="s">
        <v>54</v>
      </c>
      <c r="BM174" s="20" t="s">
        <v>769</v>
      </c>
      <c r="BN174" s="16" t="s">
        <v>51</v>
      </c>
      <c r="BO174" s="20" t="str">
        <f>"S05S" &amp; D174</f>
        <v>S05S815</v>
      </c>
      <c r="BP174" s="16" t="s">
        <v>777</v>
      </c>
      <c r="BQ174" s="16" t="s">
        <v>777</v>
      </c>
      <c r="BR174" s="20" t="s">
        <v>161</v>
      </c>
      <c r="BS174" s="16" t="s">
        <v>50</v>
      </c>
      <c r="BT174" s="16" t="s">
        <v>47</v>
      </c>
      <c r="BU174" s="16" t="s">
        <v>393</v>
      </c>
      <c r="BV174" s="16" t="s">
        <v>51</v>
      </c>
      <c r="BW174" s="16" t="s">
        <v>154</v>
      </c>
      <c r="BX174" s="16"/>
      <c r="BY174" s="16"/>
      <c r="BZ174" s="16" t="s">
        <v>157</v>
      </c>
      <c r="CA174" s="16" t="s">
        <v>269</v>
      </c>
      <c r="CB174" s="16" t="s">
        <v>412</v>
      </c>
      <c r="CC174" s="16" t="s">
        <v>771</v>
      </c>
      <c r="CD174" s="16" t="s">
        <v>392</v>
      </c>
      <c r="CE174" s="16" t="s">
        <v>396</v>
      </c>
      <c r="CF174" s="16" t="s">
        <v>398</v>
      </c>
      <c r="CG174" s="16" t="s">
        <v>778</v>
      </c>
      <c r="CH174" s="16" t="s">
        <v>159</v>
      </c>
      <c r="CI174" s="6">
        <v>1</v>
      </c>
      <c r="CJ174" s="6" t="str">
        <f>("GAS_ENQ_NO-" &amp; D174)</f>
        <v>GAS_ENQ_NO-815</v>
      </c>
      <c r="CK174" s="7" t="s">
        <v>779</v>
      </c>
      <c r="CL174" s="7" t="s">
        <v>391</v>
      </c>
      <c r="CM174" s="7" t="s">
        <v>391</v>
      </c>
      <c r="CN174" s="6" t="s">
        <v>780</v>
      </c>
      <c r="CO174" s="6" t="str">
        <f>("GAS_JOB_ID-" &amp; D174)</f>
        <v>GAS_JOB_ID-815</v>
      </c>
      <c r="CP174" s="7"/>
      <c r="CQ174" s="6" t="str">
        <f>"10000" &amp; D174</f>
        <v>10000815</v>
      </c>
      <c r="CR174" s="6" t="s">
        <v>154</v>
      </c>
      <c r="CS174" s="7" t="s">
        <v>51</v>
      </c>
      <c r="CT174" s="27" t="str">
        <f>"GMETER" &amp; D174</f>
        <v>GMETER815</v>
      </c>
      <c r="CU174" s="6" t="s">
        <v>161</v>
      </c>
      <c r="CV174" s="7" t="s">
        <v>165</v>
      </c>
      <c r="CW174" s="7" t="s">
        <v>772</v>
      </c>
      <c r="CX174" s="7"/>
      <c r="CY174" s="7"/>
      <c r="CZ174" s="7" t="s">
        <v>394</v>
      </c>
      <c r="DA174" s="7" t="s">
        <v>395</v>
      </c>
      <c r="DB174" s="6" t="str">
        <f t="shared" si="163"/>
        <v>GAS_INST_ID-815</v>
      </c>
      <c r="DC174" s="7" t="s">
        <v>161</v>
      </c>
      <c r="DD174" s="7"/>
      <c r="DE174" s="7" t="s">
        <v>51</v>
      </c>
      <c r="DF174" s="7" t="s">
        <v>264</v>
      </c>
      <c r="DG174" s="7"/>
      <c r="DH174" s="7" t="s">
        <v>397</v>
      </c>
      <c r="DI174" s="7" t="s">
        <v>399</v>
      </c>
      <c r="DJ174" s="10" t="s">
        <v>778</v>
      </c>
      <c r="DK174" s="7" t="s">
        <v>140</v>
      </c>
      <c r="DL174" s="40"/>
      <c r="DM174" s="40"/>
      <c r="DN174" s="38" t="str">
        <f t="shared" si="164"/>
        <v>DS_Pass-815</v>
      </c>
      <c r="DO174" s="40"/>
      <c r="DP174" s="40"/>
      <c r="DQ174" s="40"/>
      <c r="DR174" s="41"/>
      <c r="DS174" s="41"/>
      <c r="DT174" s="40"/>
      <c r="DU174" s="40"/>
      <c r="DV174" s="40"/>
      <c r="DW174" s="41"/>
      <c r="DX174" s="40"/>
      <c r="DY174" s="40"/>
      <c r="DZ174" s="37" t="s">
        <v>777</v>
      </c>
      <c r="EA174" s="39"/>
      <c r="EB174" s="37"/>
      <c r="EC174" s="37"/>
      <c r="ED174" s="16"/>
      <c r="EE174" s="1"/>
      <c r="EF174" s="55"/>
    </row>
    <row r="175" spans="1:136">
      <c r="A175" s="219" t="s">
        <v>944</v>
      </c>
      <c r="B175" s="219" t="s">
        <v>868</v>
      </c>
      <c r="C175" s="219" t="s">
        <v>865</v>
      </c>
      <c r="D175" s="13">
        <f>'Run Parameters'!$B$1 + ROW()-1</f>
        <v>816</v>
      </c>
      <c r="E175" s="15" t="s">
        <v>47</v>
      </c>
      <c r="F175" s="18" t="s">
        <v>816</v>
      </c>
      <c r="G175" s="13" t="str">
        <f>("Access Dtls-" &amp; D175)</f>
        <v>Access Dtls-816</v>
      </c>
      <c r="H175" s="15" t="s">
        <v>275</v>
      </c>
      <c r="I175" s="13" t="str">
        <f>("MR. Test_166_FLTY17_"&amp;D175&amp;"")</f>
        <v>MR. Test_166_FLTY17_816</v>
      </c>
      <c r="J175" s="18"/>
      <c r="K175" s="19" t="s">
        <v>425</v>
      </c>
      <c r="L175" s="13" t="str">
        <f>("Cust. Ref-" &amp; D175)</f>
        <v>Cust. Ref-816</v>
      </c>
      <c r="M175" s="15" t="s">
        <v>48</v>
      </c>
      <c r="N175" s="15" t="s">
        <v>425</v>
      </c>
      <c r="O175" s="13"/>
      <c r="P175" s="13" t="str">
        <f>("SN-" &amp; D175)</f>
        <v>SN-816</v>
      </c>
      <c r="Q175" s="13" t="str">
        <f>("SI-" &amp; D175)</f>
        <v>SI-816</v>
      </c>
      <c r="R175" s="13" t="str">
        <f>("SE-" &amp; D175)</f>
        <v>SE-816</v>
      </c>
      <c r="S175" s="54" t="str">
        <f>("Prev_RA-" &amp; D175)</f>
        <v>Prev_RA-816</v>
      </c>
      <c r="T175" s="54" t="str">
        <f>("Prev_Comms-" &amp; D175)</f>
        <v>Prev_Comms-816</v>
      </c>
      <c r="U175" s="17" t="s">
        <v>75</v>
      </c>
      <c r="V175" s="15" t="s">
        <v>401</v>
      </c>
      <c r="W175" s="17" t="s">
        <v>75</v>
      </c>
      <c r="X175" s="15" t="s">
        <v>396</v>
      </c>
      <c r="Y175" s="13" t="str">
        <f>("Forward Add-" &amp; D175)</f>
        <v>Forward Add-816</v>
      </c>
      <c r="Z175" s="15" t="s">
        <v>401</v>
      </c>
      <c r="AA175" s="136" t="str">
        <f>'Run Parameters'!$B$2</f>
        <v>2018-08-13 08:00</v>
      </c>
      <c r="AB175" s="223" t="str">
        <f>'Run Parameters'!B$3</f>
        <v>2018-08-13 18:00</v>
      </c>
      <c r="AC175" s="26">
        <f>('Run Parameters'!$B$2) - 7</f>
        <v>43318.333333333336</v>
      </c>
      <c r="AD175" s="17" t="s">
        <v>75</v>
      </c>
      <c r="AE175" s="18" t="str">
        <f>("LAST_METER-" &amp; D175)</f>
        <v>LAST_METER-816</v>
      </c>
      <c r="AF175" s="136" t="str">
        <f>'Run Parameters'!$B$2</f>
        <v>2018-08-13 08:00</v>
      </c>
      <c r="AG175" s="13" t="str">
        <f>'Run Parameters'!B$4</f>
        <v>AUTOTEST2</v>
      </c>
      <c r="AH175" s="54" t="str">
        <f>("Site_Contact_" &amp; D175)</f>
        <v>Site_Contact_816</v>
      </c>
      <c r="AI175" s="136" t="str">
        <f>'Run Parameters'!B$2</f>
        <v>2018-08-13 08:00</v>
      </c>
      <c r="AJ175" s="223" t="str">
        <f>'Run Parameters'!B$3</f>
        <v>2018-08-13 18:00</v>
      </c>
      <c r="AK175" s="13" t="s">
        <v>396</v>
      </c>
      <c r="AL175" s="54" t="str">
        <f>"01159" &amp; D175</f>
        <v>01159816</v>
      </c>
      <c r="AM175" s="13" t="str">
        <f>("0115" &amp; D175)</f>
        <v>0115816</v>
      </c>
      <c r="AN175" s="15"/>
      <c r="AO175" s="52"/>
      <c r="AP175" s="13">
        <v>1</v>
      </c>
      <c r="AQ175" s="53" t="s">
        <v>49</v>
      </c>
      <c r="AR175" s="15"/>
      <c r="AS175" s="13"/>
      <c r="AT175" s="7" t="s">
        <v>774</v>
      </c>
      <c r="AU175" s="7"/>
      <c r="AV175" s="13">
        <f>D175</f>
        <v>816</v>
      </c>
      <c r="AW175" s="13" t="s">
        <v>775</v>
      </c>
      <c r="AX175" s="13" t="s">
        <v>420</v>
      </c>
      <c r="AY175" s="13" t="s">
        <v>421</v>
      </c>
      <c r="AZ175" s="15" t="s">
        <v>334</v>
      </c>
      <c r="BA175" s="14" t="s">
        <v>154</v>
      </c>
      <c r="BB175" s="21">
        <v>1</v>
      </c>
      <c r="BC175" s="20">
        <f>D175</f>
        <v>816</v>
      </c>
      <c r="BD175" s="16" t="s">
        <v>776</v>
      </c>
      <c r="BE175" s="16" t="s">
        <v>391</v>
      </c>
      <c r="BF175" s="16" t="s">
        <v>391</v>
      </c>
      <c r="BG175" s="20" t="s">
        <v>773</v>
      </c>
      <c r="BH175" s="20" t="str">
        <f>BC175&amp;"_"&amp;BB175</f>
        <v>816_1</v>
      </c>
      <c r="BI175" s="21"/>
      <c r="BJ175" s="21" t="str">
        <f>"10000000" &amp; D175</f>
        <v>10000000816</v>
      </c>
      <c r="BK175" s="16" t="s">
        <v>51</v>
      </c>
      <c r="BL175" s="16" t="s">
        <v>54</v>
      </c>
      <c r="BM175" s="20" t="s">
        <v>769</v>
      </c>
      <c r="BN175" s="16" t="s">
        <v>51</v>
      </c>
      <c r="BO175" s="20" t="str">
        <f>"S05S" &amp; D175</f>
        <v>S05S816</v>
      </c>
      <c r="BP175" s="16" t="s">
        <v>777</v>
      </c>
      <c r="BQ175" s="16" t="s">
        <v>777</v>
      </c>
      <c r="BR175" s="20" t="s">
        <v>161</v>
      </c>
      <c r="BS175" s="16" t="s">
        <v>50</v>
      </c>
      <c r="BT175" s="16" t="s">
        <v>47</v>
      </c>
      <c r="BU175" s="16" t="s">
        <v>393</v>
      </c>
      <c r="BV175" s="16" t="s">
        <v>51</v>
      </c>
      <c r="BW175" s="16" t="s">
        <v>154</v>
      </c>
      <c r="BX175" s="16"/>
      <c r="BY175" s="16"/>
      <c r="BZ175" s="16" t="s">
        <v>157</v>
      </c>
      <c r="CA175" s="16" t="s">
        <v>269</v>
      </c>
      <c r="CB175" s="16" t="s">
        <v>412</v>
      </c>
      <c r="CC175" s="16" t="s">
        <v>771</v>
      </c>
      <c r="CD175" s="16" t="s">
        <v>392</v>
      </c>
      <c r="CE175" s="16" t="s">
        <v>396</v>
      </c>
      <c r="CF175" s="16" t="s">
        <v>398</v>
      </c>
      <c r="CG175" s="16" t="s">
        <v>778</v>
      </c>
      <c r="CH175" s="16" t="s">
        <v>159</v>
      </c>
      <c r="CI175" s="6">
        <v>1</v>
      </c>
      <c r="CJ175" s="6" t="str">
        <f>("GAS_ENQ_NO-" &amp; D175)</f>
        <v>GAS_ENQ_NO-816</v>
      </c>
      <c r="CK175" s="7" t="s">
        <v>779</v>
      </c>
      <c r="CL175" s="7" t="s">
        <v>391</v>
      </c>
      <c r="CM175" s="7" t="s">
        <v>391</v>
      </c>
      <c r="CN175" s="6" t="s">
        <v>780</v>
      </c>
      <c r="CO175" s="6" t="str">
        <f>("GAS_JOB_ID-" &amp; D175)</f>
        <v>GAS_JOB_ID-816</v>
      </c>
      <c r="CP175" s="7"/>
      <c r="CQ175" s="6" t="str">
        <f>"10000" &amp; D175</f>
        <v>10000816</v>
      </c>
      <c r="CR175" s="6" t="s">
        <v>154</v>
      </c>
      <c r="CS175" s="7" t="s">
        <v>51</v>
      </c>
      <c r="CT175" s="27" t="str">
        <f>"GMETER" &amp; D175</f>
        <v>GMETER816</v>
      </c>
      <c r="CU175" s="6" t="s">
        <v>161</v>
      </c>
      <c r="CV175" s="7" t="s">
        <v>165</v>
      </c>
      <c r="CW175" s="7" t="s">
        <v>772</v>
      </c>
      <c r="CX175" s="7"/>
      <c r="CY175" s="7"/>
      <c r="CZ175" s="7" t="s">
        <v>394</v>
      </c>
      <c r="DA175" s="7" t="s">
        <v>395</v>
      </c>
      <c r="DB175" s="6" t="str">
        <f t="shared" si="163"/>
        <v>GAS_INST_ID-816</v>
      </c>
      <c r="DC175" s="7" t="s">
        <v>161</v>
      </c>
      <c r="DD175" s="7"/>
      <c r="DE175" s="7" t="s">
        <v>51</v>
      </c>
      <c r="DF175" s="7" t="s">
        <v>264</v>
      </c>
      <c r="DG175" s="7"/>
      <c r="DH175" s="7" t="s">
        <v>397</v>
      </c>
      <c r="DI175" s="7" t="s">
        <v>399</v>
      </c>
      <c r="DJ175" s="10" t="s">
        <v>778</v>
      </c>
      <c r="DK175" s="7" t="s">
        <v>140</v>
      </c>
      <c r="DL175" s="40"/>
      <c r="DM175" s="40"/>
      <c r="DN175" s="38" t="str">
        <f t="shared" si="164"/>
        <v>DS_Pass-816</v>
      </c>
      <c r="DO175" s="40"/>
      <c r="DP175" s="40"/>
      <c r="DQ175" s="40"/>
      <c r="DR175" s="41"/>
      <c r="DS175" s="41"/>
      <c r="DT175" s="40"/>
      <c r="DU175" s="40"/>
      <c r="DV175" s="40"/>
      <c r="DW175" s="41"/>
      <c r="DX175" s="40"/>
      <c r="DY175" s="40"/>
      <c r="DZ175" s="37" t="s">
        <v>777</v>
      </c>
      <c r="EA175" s="39"/>
      <c r="EB175" s="37"/>
      <c r="EC175" s="37"/>
      <c r="ED175" s="16"/>
      <c r="EE175" s="1"/>
      <c r="EF175" s="55"/>
    </row>
    <row r="176" spans="1:136" s="229" customFormat="1">
      <c r="A176" s="219" t="s">
        <v>995</v>
      </c>
      <c r="B176" s="219" t="s">
        <v>892</v>
      </c>
      <c r="C176" s="219" t="s">
        <v>865</v>
      </c>
      <c r="D176" s="13">
        <f>'Run Parameters'!$B$1 + ROW()-1</f>
        <v>817</v>
      </c>
      <c r="E176" s="15" t="s">
        <v>47</v>
      </c>
      <c r="F176" s="13" t="s">
        <v>857</v>
      </c>
      <c r="G176" s="13" t="str">
        <f>("Access Dtls-" &amp; D176)</f>
        <v>Access Dtls-817</v>
      </c>
      <c r="H176" s="15" t="s">
        <v>275</v>
      </c>
      <c r="I176" s="13" t="str">
        <f>("MR. Test_167_EXCH9_"&amp;D176&amp;"")</f>
        <v>MR. Test_167_EXCH9_817</v>
      </c>
      <c r="J176" s="13"/>
      <c r="K176" s="19" t="s">
        <v>425</v>
      </c>
      <c r="L176" s="13" t="str">
        <f>("Cust. Ref-" &amp; D176)</f>
        <v>Cust. Ref-817</v>
      </c>
      <c r="M176" s="15" t="s">
        <v>48</v>
      </c>
      <c r="N176" s="15" t="s">
        <v>425</v>
      </c>
      <c r="O176" s="13"/>
      <c r="P176" s="13" t="str">
        <f>("SN-" &amp; D176)</f>
        <v>SN-817</v>
      </c>
      <c r="Q176" s="13" t="str">
        <f>("SI-" &amp; D176)</f>
        <v>SI-817</v>
      </c>
      <c r="R176" s="13" t="str">
        <f>("SE-" &amp; D176)</f>
        <v>SE-817</v>
      </c>
      <c r="S176" s="135" t="str">
        <f>("Prev_RA-" &amp; D176)</f>
        <v>Prev_RA-817</v>
      </c>
      <c r="T176" s="135" t="str">
        <f>("Prev_Comms-" &amp; D176)</f>
        <v>Prev_Comms-817</v>
      </c>
      <c r="U176" s="15" t="s">
        <v>75</v>
      </c>
      <c r="V176" s="15" t="s">
        <v>401</v>
      </c>
      <c r="W176" s="15" t="s">
        <v>75</v>
      </c>
      <c r="X176" s="15" t="s">
        <v>396</v>
      </c>
      <c r="Y176" s="13" t="str">
        <f>("Forward Add-" &amp; D176)</f>
        <v>Forward Add-817</v>
      </c>
      <c r="Z176" s="15" t="s">
        <v>401</v>
      </c>
      <c r="AA176" s="136" t="str">
        <f>'Run Parameters'!$B$2</f>
        <v>2018-08-13 08:00</v>
      </c>
      <c r="AB176" s="223" t="str">
        <f>'Run Parameters'!B$3</f>
        <v>2018-08-13 18:00</v>
      </c>
      <c r="AC176" s="26">
        <f>('Run Parameters'!$B$2) - 7</f>
        <v>43318.333333333336</v>
      </c>
      <c r="AD176" s="15" t="s">
        <v>75</v>
      </c>
      <c r="AE176" s="13" t="str">
        <f>("LAST_METER-" &amp; D176)</f>
        <v>LAST_METER-817</v>
      </c>
      <c r="AF176" s="136" t="str">
        <f>'Run Parameters'!$B$2</f>
        <v>2018-08-13 08:00</v>
      </c>
      <c r="AG176" s="13" t="str">
        <f>'Run Parameters'!B$4</f>
        <v>AUTOTEST2</v>
      </c>
      <c r="AH176" s="135" t="str">
        <f>("Site_Contact_" &amp; D176)</f>
        <v>Site_Contact_817</v>
      </c>
      <c r="AI176" s="136" t="str">
        <f>'Run Parameters'!B$2</f>
        <v>2018-08-13 08:00</v>
      </c>
      <c r="AJ176" s="223" t="str">
        <f>'Run Parameters'!B$3</f>
        <v>2018-08-13 18:00</v>
      </c>
      <c r="AK176" s="13" t="s">
        <v>396</v>
      </c>
      <c r="AL176" s="135" t="str">
        <f>"01159" &amp; D176</f>
        <v>01159817</v>
      </c>
      <c r="AM176" s="13" t="str">
        <f>("0115" &amp; D176)</f>
        <v>0115817</v>
      </c>
      <c r="AN176" s="15"/>
      <c r="AO176" s="15"/>
      <c r="AP176" s="13">
        <v>1</v>
      </c>
      <c r="AQ176" s="15" t="s">
        <v>49</v>
      </c>
      <c r="AR176" s="15"/>
      <c r="AS176" s="13"/>
      <c r="AT176" s="15" t="s">
        <v>400</v>
      </c>
      <c r="AU176" s="15"/>
      <c r="AV176" s="13">
        <f>D176</f>
        <v>817</v>
      </c>
      <c r="AW176" s="13" t="s">
        <v>858</v>
      </c>
      <c r="AX176" s="13" t="s">
        <v>420</v>
      </c>
      <c r="AY176" s="13" t="s">
        <v>421</v>
      </c>
      <c r="AZ176" s="15" t="s">
        <v>334</v>
      </c>
      <c r="BA176" s="15" t="s">
        <v>154</v>
      </c>
      <c r="BB176" s="13">
        <v>1</v>
      </c>
      <c r="BC176" s="13">
        <f>D176</f>
        <v>817</v>
      </c>
      <c r="BD176" s="15" t="s">
        <v>962</v>
      </c>
      <c r="BE176" s="15" t="s">
        <v>390</v>
      </c>
      <c r="BF176" s="15" t="s">
        <v>390</v>
      </c>
      <c r="BG176" s="13" t="s">
        <v>857</v>
      </c>
      <c r="BH176" s="13" t="str">
        <f>BC176&amp;"_"&amp;BB176</f>
        <v>817_1</v>
      </c>
      <c r="BI176" s="13"/>
      <c r="BJ176" s="13" t="str">
        <f>"10000000" &amp; D176</f>
        <v>10000000817</v>
      </c>
      <c r="BK176" s="15" t="s">
        <v>51</v>
      </c>
      <c r="BL176" s="15" t="s">
        <v>54</v>
      </c>
      <c r="BM176" s="13" t="s">
        <v>277</v>
      </c>
      <c r="BN176" s="15" t="s">
        <v>51</v>
      </c>
      <c r="BO176" s="13" t="str">
        <f>"S05S" &amp; D176</f>
        <v>S05S817</v>
      </c>
      <c r="BP176" s="15" t="s">
        <v>392</v>
      </c>
      <c r="BQ176" s="15" t="s">
        <v>392</v>
      </c>
      <c r="BR176" s="13" t="s">
        <v>159</v>
      </c>
      <c r="BS176" s="15" t="s">
        <v>963</v>
      </c>
      <c r="BT176" s="15" t="s">
        <v>964</v>
      </c>
      <c r="BU176" s="15" t="s">
        <v>393</v>
      </c>
      <c r="BV176" s="15" t="s">
        <v>51</v>
      </c>
      <c r="BW176" s="15" t="s">
        <v>154</v>
      </c>
      <c r="BX176" s="15"/>
      <c r="BY176" s="15"/>
      <c r="BZ176" s="15" t="s">
        <v>157</v>
      </c>
      <c r="CA176" s="15" t="s">
        <v>269</v>
      </c>
      <c r="CB176" s="15" t="s">
        <v>51</v>
      </c>
      <c r="CC176" s="15" t="s">
        <v>965</v>
      </c>
      <c r="CD176" s="15" t="s">
        <v>392</v>
      </c>
      <c r="CE176" s="15" t="s">
        <v>396</v>
      </c>
      <c r="CF176" s="15" t="s">
        <v>398</v>
      </c>
      <c r="CG176" s="15" t="s">
        <v>856</v>
      </c>
      <c r="CH176" s="15" t="s">
        <v>159</v>
      </c>
      <c r="CI176" s="13">
        <v>1</v>
      </c>
      <c r="CJ176" s="13" t="str">
        <f>("GAS_ENQ_NO-" &amp; D176)</f>
        <v>GAS_ENQ_NO-817</v>
      </c>
      <c r="CK176" s="15" t="s">
        <v>779</v>
      </c>
      <c r="CL176" s="15" t="s">
        <v>391</v>
      </c>
      <c r="CM176" s="15" t="s">
        <v>390</v>
      </c>
      <c r="CN176" s="13" t="s">
        <v>780</v>
      </c>
      <c r="CO176" s="13" t="str">
        <f>("GAS_JOB_ID-" &amp; D176)</f>
        <v>GAS_JOB_ID-817</v>
      </c>
      <c r="CP176" s="15"/>
      <c r="CQ176" s="13" t="str">
        <f>"10000" &amp; D176</f>
        <v>10000817</v>
      </c>
      <c r="CR176" s="13" t="s">
        <v>154</v>
      </c>
      <c r="CS176" s="15" t="s">
        <v>51</v>
      </c>
      <c r="CT176" s="227" t="str">
        <f>"GMETER" &amp; D176</f>
        <v>GMETER817</v>
      </c>
      <c r="CU176" s="13" t="s">
        <v>161</v>
      </c>
      <c r="CV176" s="15" t="s">
        <v>165</v>
      </c>
      <c r="CW176" s="15" t="s">
        <v>414</v>
      </c>
      <c r="CX176" s="15"/>
      <c r="CY176" s="15"/>
      <c r="CZ176" s="15" t="s">
        <v>394</v>
      </c>
      <c r="DA176" s="15" t="s">
        <v>395</v>
      </c>
      <c r="DB176" s="13" t="str">
        <f t="shared" si="163"/>
        <v>GAS_INST_ID-817</v>
      </c>
      <c r="DC176" s="15" t="s">
        <v>161</v>
      </c>
      <c r="DD176" s="15"/>
      <c r="DE176" s="15" t="s">
        <v>51</v>
      </c>
      <c r="DF176" s="15" t="s">
        <v>264</v>
      </c>
      <c r="DG176" s="15"/>
      <c r="DH176" s="15" t="s">
        <v>397</v>
      </c>
      <c r="DI176" s="15" t="s">
        <v>399</v>
      </c>
      <c r="DJ176" s="15" t="s">
        <v>856</v>
      </c>
      <c r="DK176" s="15" t="s">
        <v>140</v>
      </c>
      <c r="DL176" s="228"/>
      <c r="DM176" s="228"/>
      <c r="DN176" s="13" t="str">
        <f t="shared" si="164"/>
        <v>DS_Pass-817</v>
      </c>
      <c r="DO176" s="15"/>
      <c r="DP176" s="15"/>
      <c r="DQ176" s="15"/>
      <c r="DR176" s="13"/>
      <c r="DS176" s="13"/>
      <c r="DT176" s="15" t="s">
        <v>52</v>
      </c>
      <c r="DU176" s="15"/>
      <c r="DV176" s="15"/>
      <c r="DW176" s="13"/>
      <c r="DX176" s="15" t="s">
        <v>54</v>
      </c>
      <c r="DY176" s="15" t="s">
        <v>61</v>
      </c>
      <c r="DZ176" s="15" t="s">
        <v>402</v>
      </c>
      <c r="EA176" s="135" t="str">
        <f>CONCATENATE(AV176, $EA$1, AW176, $EA$1, AX176, $EA$1, AY176)</f>
        <v>817CUSTOMER_ADDRESSEXCH9 ROADCUSTOMER_ADDRESSTESTINGHAMCUSTOMER_ADDRESSTESTINGHAMSHIRE</v>
      </c>
      <c r="EB176" s="15" t="s">
        <v>856</v>
      </c>
      <c r="EC176" s="228"/>
      <c r="ED176" s="228"/>
      <c r="EE176" s="228"/>
    </row>
    <row r="177" spans="1:135" s="229" customFormat="1">
      <c r="A177" s="219" t="s">
        <v>996</v>
      </c>
      <c r="B177" s="219" t="s">
        <v>868</v>
      </c>
      <c r="C177" s="219" t="s">
        <v>865</v>
      </c>
      <c r="D177" s="13">
        <f>'Run Parameters'!$B$1 + ROW()-1</f>
        <v>818</v>
      </c>
      <c r="E177" s="15" t="s">
        <v>47</v>
      </c>
      <c r="F177" s="13" t="s">
        <v>857</v>
      </c>
      <c r="G177" s="13" t="str">
        <f t="shared" ref="G177:G203" si="203">("Access Dtls-" &amp; D177)</f>
        <v>Access Dtls-818</v>
      </c>
      <c r="H177" s="15" t="s">
        <v>275</v>
      </c>
      <c r="I177" s="13" t="str">
        <f>("MR. Test_168_EXCH9_"&amp;D177&amp;"")</f>
        <v>MR. Test_168_EXCH9_818</v>
      </c>
      <c r="J177" s="13"/>
      <c r="K177" s="19" t="s">
        <v>425</v>
      </c>
      <c r="L177" s="13" t="str">
        <f t="shared" ref="L177:L203" si="204">("Cust. Ref-" &amp; D177)</f>
        <v>Cust. Ref-818</v>
      </c>
      <c r="M177" s="15" t="s">
        <v>48</v>
      </c>
      <c r="N177" s="15" t="s">
        <v>425</v>
      </c>
      <c r="O177" s="13"/>
      <c r="P177" s="13" t="str">
        <f t="shared" ref="P177:P203" si="205">("SN-" &amp; D177)</f>
        <v>SN-818</v>
      </c>
      <c r="Q177" s="13" t="str">
        <f t="shared" ref="Q177:Q203" si="206">("SI-" &amp; D177)</f>
        <v>SI-818</v>
      </c>
      <c r="R177" s="13" t="str">
        <f t="shared" ref="R177:R203" si="207">("SE-" &amp; D177)</f>
        <v>SE-818</v>
      </c>
      <c r="S177" s="135" t="str">
        <f t="shared" ref="S177:S203" si="208">("Prev_RA-" &amp; D177)</f>
        <v>Prev_RA-818</v>
      </c>
      <c r="T177" s="135" t="str">
        <f t="shared" ref="T177:T203" si="209">("Prev_Comms-" &amp; D177)</f>
        <v>Prev_Comms-818</v>
      </c>
      <c r="U177" s="15" t="s">
        <v>75</v>
      </c>
      <c r="V177" s="15" t="s">
        <v>401</v>
      </c>
      <c r="W177" s="15" t="s">
        <v>75</v>
      </c>
      <c r="X177" s="15" t="s">
        <v>396</v>
      </c>
      <c r="Y177" s="13" t="str">
        <f t="shared" ref="Y177:Y203" si="210">("Forward Add-" &amp; D177)</f>
        <v>Forward Add-818</v>
      </c>
      <c r="Z177" s="15" t="s">
        <v>401</v>
      </c>
      <c r="AA177" s="136" t="str">
        <f>'Run Parameters'!$B$2</f>
        <v>2018-08-13 08:00</v>
      </c>
      <c r="AB177" s="223" t="str">
        <f>'Run Parameters'!B$3</f>
        <v>2018-08-13 18:00</v>
      </c>
      <c r="AC177" s="26">
        <f>('Run Parameters'!$B$2) - 7</f>
        <v>43318.333333333336</v>
      </c>
      <c r="AD177" s="15" t="s">
        <v>75</v>
      </c>
      <c r="AE177" s="13" t="str">
        <f t="shared" ref="AE177:AE203" si="211">("LAST_METER-" &amp; D177)</f>
        <v>LAST_METER-818</v>
      </c>
      <c r="AF177" s="136" t="str">
        <f>'Run Parameters'!$B$2</f>
        <v>2018-08-13 08:00</v>
      </c>
      <c r="AG177" s="13" t="str">
        <f>'Run Parameters'!B$4</f>
        <v>AUTOTEST2</v>
      </c>
      <c r="AH177" s="135" t="str">
        <f t="shared" ref="AH177:AH203" si="212">("Site_Contact_" &amp; D177)</f>
        <v>Site_Contact_818</v>
      </c>
      <c r="AI177" s="136" t="str">
        <f>'Run Parameters'!B$2</f>
        <v>2018-08-13 08:00</v>
      </c>
      <c r="AJ177" s="223" t="str">
        <f>'Run Parameters'!B$3</f>
        <v>2018-08-13 18:00</v>
      </c>
      <c r="AK177" s="13" t="s">
        <v>396</v>
      </c>
      <c r="AL177" s="135" t="str">
        <f t="shared" ref="AL177:AL203" si="213">"01159" &amp; D177</f>
        <v>01159818</v>
      </c>
      <c r="AM177" s="13" t="str">
        <f t="shared" ref="AM177:AM203" si="214">("0115" &amp; D177)</f>
        <v>0115818</v>
      </c>
      <c r="AN177" s="15"/>
      <c r="AO177" s="15"/>
      <c r="AP177" s="13">
        <v>1</v>
      </c>
      <c r="AQ177" s="15" t="s">
        <v>49</v>
      </c>
      <c r="AR177" s="15"/>
      <c r="AS177" s="13"/>
      <c r="AT177" s="15" t="s">
        <v>400</v>
      </c>
      <c r="AU177" s="15"/>
      <c r="AV177" s="13">
        <f t="shared" ref="AV177:AV203" si="215">D177</f>
        <v>818</v>
      </c>
      <c r="AW177" s="13" t="s">
        <v>858</v>
      </c>
      <c r="AX177" s="13" t="s">
        <v>420</v>
      </c>
      <c r="AY177" s="13" t="s">
        <v>421</v>
      </c>
      <c r="AZ177" s="15" t="s">
        <v>334</v>
      </c>
      <c r="BA177" s="15" t="s">
        <v>154</v>
      </c>
      <c r="BB177" s="13">
        <v>1</v>
      </c>
      <c r="BC177" s="13">
        <f t="shared" ref="BC177:BC203" si="216">D177</f>
        <v>818</v>
      </c>
      <c r="BD177" s="15" t="s">
        <v>962</v>
      </c>
      <c r="BE177" s="15" t="s">
        <v>390</v>
      </c>
      <c r="BF177" s="15" t="s">
        <v>390</v>
      </c>
      <c r="BG177" s="13" t="s">
        <v>857</v>
      </c>
      <c r="BH177" s="13" t="str">
        <f t="shared" ref="BH177:BH203" si="217">BC177&amp;"_"&amp;BB177</f>
        <v>818_1</v>
      </c>
      <c r="BI177" s="13"/>
      <c r="BJ177" s="13" t="str">
        <f t="shared" ref="BJ177:BJ203" si="218">"10000000" &amp; D177</f>
        <v>10000000818</v>
      </c>
      <c r="BK177" s="15" t="s">
        <v>51</v>
      </c>
      <c r="BL177" s="15" t="s">
        <v>54</v>
      </c>
      <c r="BM177" s="13" t="s">
        <v>277</v>
      </c>
      <c r="BN177" s="15" t="s">
        <v>51</v>
      </c>
      <c r="BO177" s="13" t="str">
        <f t="shared" ref="BO177:BO203" si="219">"S05S" &amp; D177</f>
        <v>S05S818</v>
      </c>
      <c r="BP177" s="15" t="s">
        <v>392</v>
      </c>
      <c r="BQ177" s="15" t="s">
        <v>392</v>
      </c>
      <c r="BR177" s="13" t="s">
        <v>159</v>
      </c>
      <c r="BS177" s="15" t="s">
        <v>963</v>
      </c>
      <c r="BT177" s="15" t="s">
        <v>964</v>
      </c>
      <c r="BU177" s="15" t="s">
        <v>393</v>
      </c>
      <c r="BV177" s="15" t="s">
        <v>51</v>
      </c>
      <c r="BW177" s="15" t="s">
        <v>154</v>
      </c>
      <c r="BX177" s="15"/>
      <c r="BY177" s="15"/>
      <c r="BZ177" s="15" t="s">
        <v>157</v>
      </c>
      <c r="CA177" s="15" t="s">
        <v>269</v>
      </c>
      <c r="CB177" s="15" t="s">
        <v>51</v>
      </c>
      <c r="CC177" s="15" t="s">
        <v>965</v>
      </c>
      <c r="CD177" s="15" t="s">
        <v>392</v>
      </c>
      <c r="CE177" s="15" t="s">
        <v>396</v>
      </c>
      <c r="CF177" s="15" t="s">
        <v>398</v>
      </c>
      <c r="CG177" s="15" t="s">
        <v>856</v>
      </c>
      <c r="CH177" s="15" t="s">
        <v>159</v>
      </c>
      <c r="CI177" s="13">
        <v>1</v>
      </c>
      <c r="CJ177" s="13" t="str">
        <f t="shared" ref="CJ177:CJ203" si="220">("GAS_ENQ_NO-" &amp; D177)</f>
        <v>GAS_ENQ_NO-818</v>
      </c>
      <c r="CK177" s="15" t="s">
        <v>779</v>
      </c>
      <c r="CL177" s="15" t="s">
        <v>391</v>
      </c>
      <c r="CM177" s="15" t="s">
        <v>390</v>
      </c>
      <c r="CN177" s="13" t="s">
        <v>780</v>
      </c>
      <c r="CO177" s="13" t="str">
        <f t="shared" ref="CO177:CO203" si="221">("GAS_JOB_ID-" &amp; D177)</f>
        <v>GAS_JOB_ID-818</v>
      </c>
      <c r="CP177" s="15"/>
      <c r="CQ177" s="13" t="str">
        <f t="shared" ref="CQ177:CQ203" si="222">"10000" &amp; D177</f>
        <v>10000818</v>
      </c>
      <c r="CR177" s="13" t="s">
        <v>154</v>
      </c>
      <c r="CS177" s="15" t="s">
        <v>51</v>
      </c>
      <c r="CT177" s="227" t="str">
        <f t="shared" ref="CT177:CT203" si="223">"GMETER" &amp; D177</f>
        <v>GMETER818</v>
      </c>
      <c r="CU177" s="13" t="s">
        <v>161</v>
      </c>
      <c r="CV177" s="15" t="s">
        <v>165</v>
      </c>
      <c r="CW177" s="15" t="s">
        <v>414</v>
      </c>
      <c r="CX177" s="15"/>
      <c r="CY177" s="15"/>
      <c r="CZ177" s="15" t="s">
        <v>394</v>
      </c>
      <c r="DA177" s="15" t="s">
        <v>395</v>
      </c>
      <c r="DB177" s="13" t="str">
        <f t="shared" si="163"/>
        <v>GAS_INST_ID-818</v>
      </c>
      <c r="DC177" s="15" t="s">
        <v>161</v>
      </c>
      <c r="DD177" s="15"/>
      <c r="DE177" s="15" t="s">
        <v>51</v>
      </c>
      <c r="DF177" s="15" t="s">
        <v>264</v>
      </c>
      <c r="DG177" s="15"/>
      <c r="DH177" s="15" t="s">
        <v>397</v>
      </c>
      <c r="DI177" s="15" t="s">
        <v>399</v>
      </c>
      <c r="DJ177" s="15" t="s">
        <v>856</v>
      </c>
      <c r="DK177" s="15" t="s">
        <v>140</v>
      </c>
      <c r="DL177" s="228"/>
      <c r="DM177" s="228"/>
      <c r="DN177" s="13" t="str">
        <f t="shared" si="164"/>
        <v>DS_Pass-818</v>
      </c>
      <c r="DO177" s="15"/>
      <c r="DP177" s="15"/>
      <c r="DQ177" s="15"/>
      <c r="DR177" s="13"/>
      <c r="DS177" s="13"/>
      <c r="DT177" s="15" t="s">
        <v>52</v>
      </c>
      <c r="DU177" s="15"/>
      <c r="DV177" s="15"/>
      <c r="DW177" s="13"/>
      <c r="DX177" s="15" t="s">
        <v>54</v>
      </c>
      <c r="DY177" s="15" t="s">
        <v>61</v>
      </c>
      <c r="DZ177" s="15" t="s">
        <v>402</v>
      </c>
      <c r="EA177" s="135" t="str">
        <f t="shared" ref="EA177:EA203" si="224">CONCATENATE(AV177, $EA$1, AW177, $EA$1, AX177, $EA$1, AY177)</f>
        <v>818CUSTOMER_ADDRESSEXCH9 ROADCUSTOMER_ADDRESSTESTINGHAMCUSTOMER_ADDRESSTESTINGHAMSHIRE</v>
      </c>
      <c r="EB177" s="15" t="s">
        <v>856</v>
      </c>
      <c r="EC177" s="228"/>
      <c r="ED177" s="228"/>
      <c r="EE177" s="228"/>
    </row>
    <row r="178" spans="1:135" s="229" customFormat="1">
      <c r="A178" s="219" t="s">
        <v>997</v>
      </c>
      <c r="B178" s="219" t="s">
        <v>892</v>
      </c>
      <c r="C178" s="219" t="s">
        <v>865</v>
      </c>
      <c r="D178" s="13">
        <f>'Run Parameters'!$B$1 + ROW()-1</f>
        <v>819</v>
      </c>
      <c r="E178" s="15" t="s">
        <v>47</v>
      </c>
      <c r="F178" s="13" t="s">
        <v>857</v>
      </c>
      <c r="G178" s="13" t="str">
        <f t="shared" si="203"/>
        <v>Access Dtls-819</v>
      </c>
      <c r="H178" s="15" t="s">
        <v>275</v>
      </c>
      <c r="I178" s="13" t="str">
        <f>("MR. Test_169_EXCH9_"&amp;D178&amp;"")</f>
        <v>MR. Test_169_EXCH9_819</v>
      </c>
      <c r="J178" s="13"/>
      <c r="K178" s="19" t="s">
        <v>425</v>
      </c>
      <c r="L178" s="13" t="str">
        <f t="shared" si="204"/>
        <v>Cust. Ref-819</v>
      </c>
      <c r="M178" s="15" t="s">
        <v>48</v>
      </c>
      <c r="N178" s="15" t="s">
        <v>425</v>
      </c>
      <c r="O178" s="13"/>
      <c r="P178" s="13" t="str">
        <f t="shared" si="205"/>
        <v>SN-819</v>
      </c>
      <c r="Q178" s="13" t="str">
        <f t="shared" si="206"/>
        <v>SI-819</v>
      </c>
      <c r="R178" s="13" t="str">
        <f t="shared" si="207"/>
        <v>SE-819</v>
      </c>
      <c r="S178" s="135" t="str">
        <f t="shared" si="208"/>
        <v>Prev_RA-819</v>
      </c>
      <c r="T178" s="135" t="str">
        <f t="shared" si="209"/>
        <v>Prev_Comms-819</v>
      </c>
      <c r="U178" s="15" t="s">
        <v>75</v>
      </c>
      <c r="V178" s="15" t="s">
        <v>401</v>
      </c>
      <c r="W178" s="15" t="s">
        <v>75</v>
      </c>
      <c r="X178" s="15" t="s">
        <v>396</v>
      </c>
      <c r="Y178" s="13" t="str">
        <f t="shared" si="210"/>
        <v>Forward Add-819</v>
      </c>
      <c r="Z178" s="15" t="s">
        <v>401</v>
      </c>
      <c r="AA178" s="136" t="str">
        <f>'Run Parameters'!$B$2</f>
        <v>2018-08-13 08:00</v>
      </c>
      <c r="AB178" s="223" t="str">
        <f>'Run Parameters'!B$3</f>
        <v>2018-08-13 18:00</v>
      </c>
      <c r="AC178" s="26">
        <f>('Run Parameters'!$B$2) - 7</f>
        <v>43318.333333333336</v>
      </c>
      <c r="AD178" s="15" t="s">
        <v>75</v>
      </c>
      <c r="AE178" s="13" t="str">
        <f t="shared" si="211"/>
        <v>LAST_METER-819</v>
      </c>
      <c r="AF178" s="136" t="str">
        <f>'Run Parameters'!$B$2</f>
        <v>2018-08-13 08:00</v>
      </c>
      <c r="AG178" s="13" t="str">
        <f>'Run Parameters'!B$4</f>
        <v>AUTOTEST2</v>
      </c>
      <c r="AH178" s="135" t="str">
        <f t="shared" si="212"/>
        <v>Site_Contact_819</v>
      </c>
      <c r="AI178" s="136" t="str">
        <f>'Run Parameters'!B$2</f>
        <v>2018-08-13 08:00</v>
      </c>
      <c r="AJ178" s="223" t="str">
        <f>'Run Parameters'!B$3</f>
        <v>2018-08-13 18:00</v>
      </c>
      <c r="AK178" s="13" t="s">
        <v>396</v>
      </c>
      <c r="AL178" s="135" t="str">
        <f t="shared" si="213"/>
        <v>01159819</v>
      </c>
      <c r="AM178" s="13" t="str">
        <f t="shared" si="214"/>
        <v>0115819</v>
      </c>
      <c r="AN178" s="15"/>
      <c r="AO178" s="15"/>
      <c r="AP178" s="13">
        <v>1</v>
      </c>
      <c r="AQ178" s="15" t="s">
        <v>49</v>
      </c>
      <c r="AR178" s="15"/>
      <c r="AS178" s="13"/>
      <c r="AT178" s="15" t="s">
        <v>400</v>
      </c>
      <c r="AU178" s="15"/>
      <c r="AV178" s="13">
        <f t="shared" si="215"/>
        <v>819</v>
      </c>
      <c r="AW178" s="13" t="s">
        <v>858</v>
      </c>
      <c r="AX178" s="13" t="s">
        <v>420</v>
      </c>
      <c r="AY178" s="13" t="s">
        <v>421</v>
      </c>
      <c r="AZ178" s="15" t="s">
        <v>334</v>
      </c>
      <c r="BA178" s="15" t="s">
        <v>154</v>
      </c>
      <c r="BB178" s="13">
        <v>1</v>
      </c>
      <c r="BC178" s="13">
        <f t="shared" si="216"/>
        <v>819</v>
      </c>
      <c r="BD178" s="15" t="s">
        <v>962</v>
      </c>
      <c r="BE178" s="15" t="s">
        <v>390</v>
      </c>
      <c r="BF178" s="15" t="s">
        <v>390</v>
      </c>
      <c r="BG178" s="13" t="s">
        <v>857</v>
      </c>
      <c r="BH178" s="13" t="str">
        <f t="shared" si="217"/>
        <v>819_1</v>
      </c>
      <c r="BI178" s="13"/>
      <c r="BJ178" s="13" t="str">
        <f t="shared" si="218"/>
        <v>10000000819</v>
      </c>
      <c r="BK178" s="15" t="s">
        <v>51</v>
      </c>
      <c r="BL178" s="15" t="s">
        <v>54</v>
      </c>
      <c r="BM178" s="13" t="s">
        <v>277</v>
      </c>
      <c r="BN178" s="15" t="s">
        <v>51</v>
      </c>
      <c r="BO178" s="13" t="str">
        <f t="shared" si="219"/>
        <v>S05S819</v>
      </c>
      <c r="BP178" s="15" t="s">
        <v>392</v>
      </c>
      <c r="BQ178" s="15" t="s">
        <v>392</v>
      </c>
      <c r="BR178" s="13" t="s">
        <v>159</v>
      </c>
      <c r="BS178" s="15" t="s">
        <v>963</v>
      </c>
      <c r="BT178" s="15" t="s">
        <v>964</v>
      </c>
      <c r="BU178" s="15" t="s">
        <v>393</v>
      </c>
      <c r="BV178" s="15" t="s">
        <v>51</v>
      </c>
      <c r="BW178" s="15" t="s">
        <v>154</v>
      </c>
      <c r="BX178" s="15"/>
      <c r="BY178" s="15"/>
      <c r="BZ178" s="15" t="s">
        <v>157</v>
      </c>
      <c r="CA178" s="15" t="s">
        <v>269</v>
      </c>
      <c r="CB178" s="15" t="s">
        <v>51</v>
      </c>
      <c r="CC178" s="15" t="s">
        <v>965</v>
      </c>
      <c r="CD178" s="15" t="s">
        <v>392</v>
      </c>
      <c r="CE178" s="15" t="s">
        <v>396</v>
      </c>
      <c r="CF178" s="15" t="s">
        <v>398</v>
      </c>
      <c r="CG178" s="15" t="s">
        <v>856</v>
      </c>
      <c r="CH178" s="15" t="s">
        <v>159</v>
      </c>
      <c r="CI178" s="13">
        <v>1</v>
      </c>
      <c r="CJ178" s="13" t="str">
        <f t="shared" si="220"/>
        <v>GAS_ENQ_NO-819</v>
      </c>
      <c r="CK178" s="15" t="s">
        <v>779</v>
      </c>
      <c r="CL178" s="15" t="s">
        <v>391</v>
      </c>
      <c r="CM178" s="15" t="s">
        <v>390</v>
      </c>
      <c r="CN178" s="13" t="s">
        <v>780</v>
      </c>
      <c r="CO178" s="13" t="str">
        <f t="shared" si="221"/>
        <v>GAS_JOB_ID-819</v>
      </c>
      <c r="CP178" s="15"/>
      <c r="CQ178" s="13" t="str">
        <f t="shared" si="222"/>
        <v>10000819</v>
      </c>
      <c r="CR178" s="13" t="s">
        <v>154</v>
      </c>
      <c r="CS178" s="15" t="s">
        <v>51</v>
      </c>
      <c r="CT178" s="227" t="str">
        <f t="shared" si="223"/>
        <v>GMETER819</v>
      </c>
      <c r="CU178" s="13" t="s">
        <v>161</v>
      </c>
      <c r="CV178" s="15" t="s">
        <v>165</v>
      </c>
      <c r="CW178" s="15" t="s">
        <v>414</v>
      </c>
      <c r="CX178" s="15"/>
      <c r="CY178" s="15"/>
      <c r="CZ178" s="15" t="s">
        <v>394</v>
      </c>
      <c r="DA178" s="15" t="s">
        <v>395</v>
      </c>
      <c r="DB178" s="13" t="str">
        <f t="shared" si="163"/>
        <v>GAS_INST_ID-819</v>
      </c>
      <c r="DC178" s="15" t="s">
        <v>161</v>
      </c>
      <c r="DD178" s="15"/>
      <c r="DE178" s="15" t="s">
        <v>51</v>
      </c>
      <c r="DF178" s="15" t="s">
        <v>264</v>
      </c>
      <c r="DG178" s="15"/>
      <c r="DH178" s="15" t="s">
        <v>397</v>
      </c>
      <c r="DI178" s="15" t="s">
        <v>399</v>
      </c>
      <c r="DJ178" s="15" t="s">
        <v>856</v>
      </c>
      <c r="DK178" s="15" t="s">
        <v>140</v>
      </c>
      <c r="DL178" s="228"/>
      <c r="DM178" s="228"/>
      <c r="DN178" s="13" t="str">
        <f t="shared" si="164"/>
        <v>DS_Pass-819</v>
      </c>
      <c r="DO178" s="15"/>
      <c r="DP178" s="15"/>
      <c r="DQ178" s="15"/>
      <c r="DR178" s="13"/>
      <c r="DS178" s="13"/>
      <c r="DT178" s="15" t="s">
        <v>52</v>
      </c>
      <c r="DU178" s="15"/>
      <c r="DV178" s="15"/>
      <c r="DW178" s="13"/>
      <c r="DX178" s="15" t="s">
        <v>54</v>
      </c>
      <c r="DY178" s="15" t="s">
        <v>61</v>
      </c>
      <c r="DZ178" s="15" t="s">
        <v>402</v>
      </c>
      <c r="EA178" s="135" t="str">
        <f t="shared" si="224"/>
        <v>819CUSTOMER_ADDRESSEXCH9 ROADCUSTOMER_ADDRESSTESTINGHAMCUSTOMER_ADDRESSTESTINGHAMSHIRE</v>
      </c>
      <c r="EB178" s="15" t="s">
        <v>856</v>
      </c>
      <c r="EC178" s="228"/>
      <c r="ED178" s="228"/>
      <c r="EE178" s="228"/>
    </row>
    <row r="179" spans="1:135" s="229" customFormat="1">
      <c r="A179" s="219" t="s">
        <v>998</v>
      </c>
      <c r="B179" s="219" t="s">
        <v>868</v>
      </c>
      <c r="C179" s="219" t="s">
        <v>865</v>
      </c>
      <c r="D179" s="13">
        <f>'Run Parameters'!$B$1 + ROW()-1</f>
        <v>820</v>
      </c>
      <c r="E179" s="15" t="s">
        <v>47</v>
      </c>
      <c r="F179" s="13" t="s">
        <v>857</v>
      </c>
      <c r="G179" s="13" t="str">
        <f t="shared" si="203"/>
        <v>Access Dtls-820</v>
      </c>
      <c r="H179" s="15" t="s">
        <v>275</v>
      </c>
      <c r="I179" s="13" t="str">
        <f>("MR. Test_170_EXCH9_"&amp;D179&amp;"")</f>
        <v>MR. Test_170_EXCH9_820</v>
      </c>
      <c r="J179" s="13"/>
      <c r="K179" s="19" t="s">
        <v>425</v>
      </c>
      <c r="L179" s="13" t="str">
        <f t="shared" si="204"/>
        <v>Cust. Ref-820</v>
      </c>
      <c r="M179" s="15" t="s">
        <v>48</v>
      </c>
      <c r="N179" s="15" t="s">
        <v>425</v>
      </c>
      <c r="O179" s="13"/>
      <c r="P179" s="13" t="str">
        <f t="shared" si="205"/>
        <v>SN-820</v>
      </c>
      <c r="Q179" s="13" t="str">
        <f t="shared" si="206"/>
        <v>SI-820</v>
      </c>
      <c r="R179" s="13" t="str">
        <f t="shared" si="207"/>
        <v>SE-820</v>
      </c>
      <c r="S179" s="135" t="str">
        <f t="shared" si="208"/>
        <v>Prev_RA-820</v>
      </c>
      <c r="T179" s="135" t="str">
        <f t="shared" si="209"/>
        <v>Prev_Comms-820</v>
      </c>
      <c r="U179" s="15" t="s">
        <v>75</v>
      </c>
      <c r="V179" s="15" t="s">
        <v>401</v>
      </c>
      <c r="W179" s="15" t="s">
        <v>75</v>
      </c>
      <c r="X179" s="15" t="s">
        <v>396</v>
      </c>
      <c r="Y179" s="13" t="str">
        <f t="shared" si="210"/>
        <v>Forward Add-820</v>
      </c>
      <c r="Z179" s="15" t="s">
        <v>401</v>
      </c>
      <c r="AA179" s="136" t="str">
        <f>'Run Parameters'!$B$2</f>
        <v>2018-08-13 08:00</v>
      </c>
      <c r="AB179" s="223" t="str">
        <f>'Run Parameters'!B$3</f>
        <v>2018-08-13 18:00</v>
      </c>
      <c r="AC179" s="26">
        <f>('Run Parameters'!$B$2) - 7</f>
        <v>43318.333333333336</v>
      </c>
      <c r="AD179" s="15" t="s">
        <v>75</v>
      </c>
      <c r="AE179" s="13" t="str">
        <f t="shared" si="211"/>
        <v>LAST_METER-820</v>
      </c>
      <c r="AF179" s="136" t="str">
        <f>'Run Parameters'!$B$2</f>
        <v>2018-08-13 08:00</v>
      </c>
      <c r="AG179" s="13" t="str">
        <f>'Run Parameters'!B$4</f>
        <v>AUTOTEST2</v>
      </c>
      <c r="AH179" s="135" t="str">
        <f t="shared" si="212"/>
        <v>Site_Contact_820</v>
      </c>
      <c r="AI179" s="136" t="str">
        <f>'Run Parameters'!B$2</f>
        <v>2018-08-13 08:00</v>
      </c>
      <c r="AJ179" s="223" t="str">
        <f>'Run Parameters'!B$3</f>
        <v>2018-08-13 18:00</v>
      </c>
      <c r="AK179" s="13" t="s">
        <v>396</v>
      </c>
      <c r="AL179" s="135" t="str">
        <f t="shared" si="213"/>
        <v>01159820</v>
      </c>
      <c r="AM179" s="13" t="str">
        <f t="shared" si="214"/>
        <v>0115820</v>
      </c>
      <c r="AN179" s="15"/>
      <c r="AO179" s="15"/>
      <c r="AP179" s="13">
        <v>1</v>
      </c>
      <c r="AQ179" s="15" t="s">
        <v>49</v>
      </c>
      <c r="AR179" s="15"/>
      <c r="AS179" s="13"/>
      <c r="AT179" s="15" t="s">
        <v>400</v>
      </c>
      <c r="AU179" s="15"/>
      <c r="AV179" s="13">
        <f t="shared" si="215"/>
        <v>820</v>
      </c>
      <c r="AW179" s="13" t="s">
        <v>858</v>
      </c>
      <c r="AX179" s="13" t="s">
        <v>420</v>
      </c>
      <c r="AY179" s="13" t="s">
        <v>421</v>
      </c>
      <c r="AZ179" s="15" t="s">
        <v>334</v>
      </c>
      <c r="BA179" s="15" t="s">
        <v>154</v>
      </c>
      <c r="BB179" s="13">
        <v>1</v>
      </c>
      <c r="BC179" s="13">
        <f t="shared" si="216"/>
        <v>820</v>
      </c>
      <c r="BD179" s="15" t="s">
        <v>962</v>
      </c>
      <c r="BE179" s="15" t="s">
        <v>390</v>
      </c>
      <c r="BF179" s="15" t="s">
        <v>390</v>
      </c>
      <c r="BG179" s="13" t="s">
        <v>857</v>
      </c>
      <c r="BH179" s="13" t="str">
        <f t="shared" si="217"/>
        <v>820_1</v>
      </c>
      <c r="BI179" s="13"/>
      <c r="BJ179" s="13" t="str">
        <f t="shared" si="218"/>
        <v>10000000820</v>
      </c>
      <c r="BK179" s="15" t="s">
        <v>51</v>
      </c>
      <c r="BL179" s="15" t="s">
        <v>54</v>
      </c>
      <c r="BM179" s="13" t="s">
        <v>277</v>
      </c>
      <c r="BN179" s="15" t="s">
        <v>51</v>
      </c>
      <c r="BO179" s="13" t="str">
        <f t="shared" si="219"/>
        <v>S05S820</v>
      </c>
      <c r="BP179" s="15" t="s">
        <v>392</v>
      </c>
      <c r="BQ179" s="15" t="s">
        <v>392</v>
      </c>
      <c r="BR179" s="13" t="s">
        <v>159</v>
      </c>
      <c r="BS179" s="15" t="s">
        <v>963</v>
      </c>
      <c r="BT179" s="15" t="s">
        <v>964</v>
      </c>
      <c r="BU179" s="15" t="s">
        <v>393</v>
      </c>
      <c r="BV179" s="15" t="s">
        <v>51</v>
      </c>
      <c r="BW179" s="15" t="s">
        <v>154</v>
      </c>
      <c r="BX179" s="15"/>
      <c r="BY179" s="15"/>
      <c r="BZ179" s="15" t="s">
        <v>157</v>
      </c>
      <c r="CA179" s="15" t="s">
        <v>269</v>
      </c>
      <c r="CB179" s="15" t="s">
        <v>51</v>
      </c>
      <c r="CC179" s="15" t="s">
        <v>965</v>
      </c>
      <c r="CD179" s="15" t="s">
        <v>392</v>
      </c>
      <c r="CE179" s="15" t="s">
        <v>396</v>
      </c>
      <c r="CF179" s="15" t="s">
        <v>398</v>
      </c>
      <c r="CG179" s="15" t="s">
        <v>856</v>
      </c>
      <c r="CH179" s="15" t="s">
        <v>159</v>
      </c>
      <c r="CI179" s="13">
        <v>1</v>
      </c>
      <c r="CJ179" s="13" t="str">
        <f t="shared" si="220"/>
        <v>GAS_ENQ_NO-820</v>
      </c>
      <c r="CK179" s="15" t="s">
        <v>779</v>
      </c>
      <c r="CL179" s="15" t="s">
        <v>391</v>
      </c>
      <c r="CM179" s="15" t="s">
        <v>390</v>
      </c>
      <c r="CN179" s="13" t="s">
        <v>780</v>
      </c>
      <c r="CO179" s="13" t="str">
        <f t="shared" si="221"/>
        <v>GAS_JOB_ID-820</v>
      </c>
      <c r="CP179" s="15"/>
      <c r="CQ179" s="13" t="str">
        <f t="shared" si="222"/>
        <v>10000820</v>
      </c>
      <c r="CR179" s="13" t="s">
        <v>154</v>
      </c>
      <c r="CS179" s="15" t="s">
        <v>51</v>
      </c>
      <c r="CT179" s="227" t="str">
        <f t="shared" si="223"/>
        <v>GMETER820</v>
      </c>
      <c r="CU179" s="13" t="s">
        <v>161</v>
      </c>
      <c r="CV179" s="15" t="s">
        <v>165</v>
      </c>
      <c r="CW179" s="15" t="s">
        <v>414</v>
      </c>
      <c r="CX179" s="15"/>
      <c r="CY179" s="15"/>
      <c r="CZ179" s="15" t="s">
        <v>394</v>
      </c>
      <c r="DA179" s="15" t="s">
        <v>395</v>
      </c>
      <c r="DB179" s="13" t="str">
        <f t="shared" si="163"/>
        <v>GAS_INST_ID-820</v>
      </c>
      <c r="DC179" s="15" t="s">
        <v>161</v>
      </c>
      <c r="DD179" s="15"/>
      <c r="DE179" s="15" t="s">
        <v>51</v>
      </c>
      <c r="DF179" s="15" t="s">
        <v>264</v>
      </c>
      <c r="DG179" s="15"/>
      <c r="DH179" s="15" t="s">
        <v>397</v>
      </c>
      <c r="DI179" s="15" t="s">
        <v>399</v>
      </c>
      <c r="DJ179" s="15" t="s">
        <v>856</v>
      </c>
      <c r="DK179" s="15" t="s">
        <v>140</v>
      </c>
      <c r="DL179" s="228"/>
      <c r="DM179" s="228"/>
      <c r="DN179" s="13" t="str">
        <f t="shared" si="164"/>
        <v>DS_Pass-820</v>
      </c>
      <c r="DO179" s="15"/>
      <c r="DP179" s="15"/>
      <c r="DQ179" s="15"/>
      <c r="DR179" s="13"/>
      <c r="DS179" s="13"/>
      <c r="DT179" s="15" t="s">
        <v>52</v>
      </c>
      <c r="DU179" s="15"/>
      <c r="DV179" s="15"/>
      <c r="DW179" s="13"/>
      <c r="DX179" s="15" t="s">
        <v>54</v>
      </c>
      <c r="DY179" s="15" t="s">
        <v>61</v>
      </c>
      <c r="DZ179" s="15" t="s">
        <v>402</v>
      </c>
      <c r="EA179" s="135" t="str">
        <f t="shared" si="224"/>
        <v>820CUSTOMER_ADDRESSEXCH9 ROADCUSTOMER_ADDRESSTESTINGHAMCUSTOMER_ADDRESSTESTINGHAMSHIRE</v>
      </c>
      <c r="EB179" s="15" t="s">
        <v>856</v>
      </c>
      <c r="EC179" s="228"/>
      <c r="ED179" s="228"/>
      <c r="EE179" s="228"/>
    </row>
    <row r="180" spans="1:135" s="229" customFormat="1">
      <c r="A180" s="219" t="s">
        <v>999</v>
      </c>
      <c r="B180" s="219" t="s">
        <v>892</v>
      </c>
      <c r="C180" s="219" t="s">
        <v>865</v>
      </c>
      <c r="D180" s="13">
        <f>'Run Parameters'!$B$1 + ROW()-1</f>
        <v>821</v>
      </c>
      <c r="E180" s="15" t="s">
        <v>47</v>
      </c>
      <c r="F180" s="13" t="s">
        <v>857</v>
      </c>
      <c r="G180" s="13" t="str">
        <f t="shared" si="203"/>
        <v>Access Dtls-821</v>
      </c>
      <c r="H180" s="15" t="s">
        <v>275</v>
      </c>
      <c r="I180" s="13" t="str">
        <f>("MR. Test_171_EXCH9_"&amp;D180&amp;"")</f>
        <v>MR. Test_171_EXCH9_821</v>
      </c>
      <c r="J180" s="13"/>
      <c r="K180" s="19" t="s">
        <v>425</v>
      </c>
      <c r="L180" s="13" t="str">
        <f t="shared" si="204"/>
        <v>Cust. Ref-821</v>
      </c>
      <c r="M180" s="15" t="s">
        <v>48</v>
      </c>
      <c r="N180" s="15" t="s">
        <v>425</v>
      </c>
      <c r="O180" s="13"/>
      <c r="P180" s="13" t="str">
        <f t="shared" si="205"/>
        <v>SN-821</v>
      </c>
      <c r="Q180" s="13" t="str">
        <f t="shared" si="206"/>
        <v>SI-821</v>
      </c>
      <c r="R180" s="13" t="str">
        <f t="shared" si="207"/>
        <v>SE-821</v>
      </c>
      <c r="S180" s="135" t="str">
        <f t="shared" si="208"/>
        <v>Prev_RA-821</v>
      </c>
      <c r="T180" s="135" t="str">
        <f t="shared" si="209"/>
        <v>Prev_Comms-821</v>
      </c>
      <c r="U180" s="15" t="s">
        <v>75</v>
      </c>
      <c r="V180" s="15" t="s">
        <v>401</v>
      </c>
      <c r="W180" s="15" t="s">
        <v>75</v>
      </c>
      <c r="X180" s="15" t="s">
        <v>396</v>
      </c>
      <c r="Y180" s="13" t="str">
        <f t="shared" si="210"/>
        <v>Forward Add-821</v>
      </c>
      <c r="Z180" s="15" t="s">
        <v>401</v>
      </c>
      <c r="AA180" s="136" t="str">
        <f>'Run Parameters'!$B$2</f>
        <v>2018-08-13 08:00</v>
      </c>
      <c r="AB180" s="223" t="str">
        <f>'Run Parameters'!B$3</f>
        <v>2018-08-13 18:00</v>
      </c>
      <c r="AC180" s="26">
        <f>('Run Parameters'!$B$2) - 7</f>
        <v>43318.333333333336</v>
      </c>
      <c r="AD180" s="15" t="s">
        <v>75</v>
      </c>
      <c r="AE180" s="13" t="str">
        <f t="shared" si="211"/>
        <v>LAST_METER-821</v>
      </c>
      <c r="AF180" s="136" t="str">
        <f>'Run Parameters'!$B$2</f>
        <v>2018-08-13 08:00</v>
      </c>
      <c r="AG180" s="13" t="str">
        <f>'Run Parameters'!B$4</f>
        <v>AUTOTEST2</v>
      </c>
      <c r="AH180" s="135" t="str">
        <f t="shared" si="212"/>
        <v>Site_Contact_821</v>
      </c>
      <c r="AI180" s="136" t="str">
        <f>'Run Parameters'!B$2</f>
        <v>2018-08-13 08:00</v>
      </c>
      <c r="AJ180" s="223" t="str">
        <f>'Run Parameters'!B$3</f>
        <v>2018-08-13 18:00</v>
      </c>
      <c r="AK180" s="13" t="s">
        <v>396</v>
      </c>
      <c r="AL180" s="135" t="str">
        <f t="shared" si="213"/>
        <v>01159821</v>
      </c>
      <c r="AM180" s="13" t="str">
        <f t="shared" si="214"/>
        <v>0115821</v>
      </c>
      <c r="AN180" s="15"/>
      <c r="AO180" s="15"/>
      <c r="AP180" s="13">
        <v>1</v>
      </c>
      <c r="AQ180" s="15" t="s">
        <v>49</v>
      </c>
      <c r="AR180" s="15"/>
      <c r="AS180" s="13"/>
      <c r="AT180" s="15" t="s">
        <v>400</v>
      </c>
      <c r="AU180" s="15"/>
      <c r="AV180" s="13">
        <f t="shared" si="215"/>
        <v>821</v>
      </c>
      <c r="AW180" s="13" t="s">
        <v>858</v>
      </c>
      <c r="AX180" s="13" t="s">
        <v>420</v>
      </c>
      <c r="AY180" s="13" t="s">
        <v>421</v>
      </c>
      <c r="AZ180" s="15" t="s">
        <v>334</v>
      </c>
      <c r="BA180" s="15" t="s">
        <v>154</v>
      </c>
      <c r="BB180" s="13">
        <v>1</v>
      </c>
      <c r="BC180" s="13">
        <f t="shared" si="216"/>
        <v>821</v>
      </c>
      <c r="BD180" s="15" t="s">
        <v>962</v>
      </c>
      <c r="BE180" s="15" t="s">
        <v>390</v>
      </c>
      <c r="BF180" s="15" t="s">
        <v>390</v>
      </c>
      <c r="BG180" s="13" t="s">
        <v>857</v>
      </c>
      <c r="BH180" s="13" t="str">
        <f t="shared" si="217"/>
        <v>821_1</v>
      </c>
      <c r="BI180" s="13"/>
      <c r="BJ180" s="13" t="str">
        <f t="shared" si="218"/>
        <v>10000000821</v>
      </c>
      <c r="BK180" s="15" t="s">
        <v>51</v>
      </c>
      <c r="BL180" s="15" t="s">
        <v>54</v>
      </c>
      <c r="BM180" s="13" t="s">
        <v>277</v>
      </c>
      <c r="BN180" s="15" t="s">
        <v>51</v>
      </c>
      <c r="BO180" s="13" t="str">
        <f t="shared" si="219"/>
        <v>S05S821</v>
      </c>
      <c r="BP180" s="15" t="s">
        <v>392</v>
      </c>
      <c r="BQ180" s="15" t="s">
        <v>392</v>
      </c>
      <c r="BR180" s="13" t="s">
        <v>159</v>
      </c>
      <c r="BS180" s="15" t="s">
        <v>963</v>
      </c>
      <c r="BT180" s="15" t="s">
        <v>964</v>
      </c>
      <c r="BU180" s="15" t="s">
        <v>393</v>
      </c>
      <c r="BV180" s="15" t="s">
        <v>51</v>
      </c>
      <c r="BW180" s="15" t="s">
        <v>154</v>
      </c>
      <c r="BX180" s="15"/>
      <c r="BY180" s="15"/>
      <c r="BZ180" s="15" t="s">
        <v>157</v>
      </c>
      <c r="CA180" s="15" t="s">
        <v>269</v>
      </c>
      <c r="CB180" s="15" t="s">
        <v>51</v>
      </c>
      <c r="CC180" s="15" t="s">
        <v>965</v>
      </c>
      <c r="CD180" s="15" t="s">
        <v>392</v>
      </c>
      <c r="CE180" s="15" t="s">
        <v>396</v>
      </c>
      <c r="CF180" s="15" t="s">
        <v>398</v>
      </c>
      <c r="CG180" s="15" t="s">
        <v>856</v>
      </c>
      <c r="CH180" s="15" t="s">
        <v>159</v>
      </c>
      <c r="CI180" s="13">
        <v>1</v>
      </c>
      <c r="CJ180" s="13" t="str">
        <f t="shared" si="220"/>
        <v>GAS_ENQ_NO-821</v>
      </c>
      <c r="CK180" s="15" t="s">
        <v>779</v>
      </c>
      <c r="CL180" s="15" t="s">
        <v>391</v>
      </c>
      <c r="CM180" s="15" t="s">
        <v>390</v>
      </c>
      <c r="CN180" s="13" t="s">
        <v>780</v>
      </c>
      <c r="CO180" s="13" t="str">
        <f t="shared" si="221"/>
        <v>GAS_JOB_ID-821</v>
      </c>
      <c r="CP180" s="15"/>
      <c r="CQ180" s="13" t="str">
        <f t="shared" si="222"/>
        <v>10000821</v>
      </c>
      <c r="CR180" s="13" t="s">
        <v>154</v>
      </c>
      <c r="CS180" s="15" t="s">
        <v>51</v>
      </c>
      <c r="CT180" s="227" t="str">
        <f t="shared" si="223"/>
        <v>GMETER821</v>
      </c>
      <c r="CU180" s="13" t="s">
        <v>161</v>
      </c>
      <c r="CV180" s="15" t="s">
        <v>165</v>
      </c>
      <c r="CW180" s="15" t="s">
        <v>414</v>
      </c>
      <c r="CX180" s="15"/>
      <c r="CY180" s="15"/>
      <c r="CZ180" s="15" t="s">
        <v>394</v>
      </c>
      <c r="DA180" s="15" t="s">
        <v>395</v>
      </c>
      <c r="DB180" s="13" t="str">
        <f t="shared" si="163"/>
        <v>GAS_INST_ID-821</v>
      </c>
      <c r="DC180" s="15" t="s">
        <v>161</v>
      </c>
      <c r="DD180" s="15"/>
      <c r="DE180" s="15" t="s">
        <v>51</v>
      </c>
      <c r="DF180" s="15" t="s">
        <v>264</v>
      </c>
      <c r="DG180" s="15"/>
      <c r="DH180" s="15" t="s">
        <v>397</v>
      </c>
      <c r="DI180" s="15" t="s">
        <v>399</v>
      </c>
      <c r="DJ180" s="15" t="s">
        <v>856</v>
      </c>
      <c r="DK180" s="15" t="s">
        <v>140</v>
      </c>
      <c r="DL180" s="228"/>
      <c r="DM180" s="228"/>
      <c r="DN180" s="13" t="str">
        <f t="shared" si="164"/>
        <v>DS_Pass-821</v>
      </c>
      <c r="DO180" s="15"/>
      <c r="DP180" s="15"/>
      <c r="DQ180" s="15"/>
      <c r="DR180" s="13"/>
      <c r="DS180" s="13"/>
      <c r="DT180" s="15" t="s">
        <v>52</v>
      </c>
      <c r="DU180" s="15"/>
      <c r="DV180" s="15"/>
      <c r="DW180" s="13"/>
      <c r="DX180" s="15" t="s">
        <v>54</v>
      </c>
      <c r="DY180" s="15" t="s">
        <v>61</v>
      </c>
      <c r="DZ180" s="15" t="s">
        <v>402</v>
      </c>
      <c r="EA180" s="135" t="str">
        <f t="shared" si="224"/>
        <v>821CUSTOMER_ADDRESSEXCH9 ROADCUSTOMER_ADDRESSTESTINGHAMCUSTOMER_ADDRESSTESTINGHAMSHIRE</v>
      </c>
      <c r="EB180" s="15" t="s">
        <v>856</v>
      </c>
      <c r="EC180" s="228"/>
      <c r="ED180" s="228"/>
      <c r="EE180" s="228"/>
    </row>
    <row r="181" spans="1:135" s="229" customFormat="1">
      <c r="A181" s="219" t="s">
        <v>1000</v>
      </c>
      <c r="B181" s="219" t="s">
        <v>868</v>
      </c>
      <c r="C181" s="219" t="s">
        <v>865</v>
      </c>
      <c r="D181" s="13">
        <f>'Run Parameters'!$B$1 + ROW()-1</f>
        <v>822</v>
      </c>
      <c r="E181" s="15" t="s">
        <v>47</v>
      </c>
      <c r="F181" s="13" t="s">
        <v>857</v>
      </c>
      <c r="G181" s="13" t="str">
        <f t="shared" si="203"/>
        <v>Access Dtls-822</v>
      </c>
      <c r="H181" s="15" t="s">
        <v>275</v>
      </c>
      <c r="I181" s="13" t="str">
        <f>("MR. Test_172_EXCH9_"&amp;D181&amp;"")</f>
        <v>MR. Test_172_EXCH9_822</v>
      </c>
      <c r="J181" s="13"/>
      <c r="K181" s="19" t="s">
        <v>425</v>
      </c>
      <c r="L181" s="13" t="str">
        <f t="shared" si="204"/>
        <v>Cust. Ref-822</v>
      </c>
      <c r="M181" s="15" t="s">
        <v>48</v>
      </c>
      <c r="N181" s="15" t="s">
        <v>425</v>
      </c>
      <c r="O181" s="13"/>
      <c r="P181" s="13" t="str">
        <f t="shared" si="205"/>
        <v>SN-822</v>
      </c>
      <c r="Q181" s="13" t="str">
        <f t="shared" si="206"/>
        <v>SI-822</v>
      </c>
      <c r="R181" s="13" t="str">
        <f t="shared" si="207"/>
        <v>SE-822</v>
      </c>
      <c r="S181" s="135" t="str">
        <f t="shared" si="208"/>
        <v>Prev_RA-822</v>
      </c>
      <c r="T181" s="135" t="str">
        <f t="shared" si="209"/>
        <v>Prev_Comms-822</v>
      </c>
      <c r="U181" s="15" t="s">
        <v>75</v>
      </c>
      <c r="V181" s="15" t="s">
        <v>401</v>
      </c>
      <c r="W181" s="15" t="s">
        <v>75</v>
      </c>
      <c r="X181" s="15" t="s">
        <v>396</v>
      </c>
      <c r="Y181" s="13" t="str">
        <f t="shared" si="210"/>
        <v>Forward Add-822</v>
      </c>
      <c r="Z181" s="15" t="s">
        <v>401</v>
      </c>
      <c r="AA181" s="136" t="str">
        <f>'Run Parameters'!$B$2</f>
        <v>2018-08-13 08:00</v>
      </c>
      <c r="AB181" s="223" t="str">
        <f>'Run Parameters'!B$3</f>
        <v>2018-08-13 18:00</v>
      </c>
      <c r="AC181" s="26">
        <f>('Run Parameters'!$B$2) - 7</f>
        <v>43318.333333333336</v>
      </c>
      <c r="AD181" s="15" t="s">
        <v>75</v>
      </c>
      <c r="AE181" s="13" t="str">
        <f t="shared" si="211"/>
        <v>LAST_METER-822</v>
      </c>
      <c r="AF181" s="136" t="str">
        <f>'Run Parameters'!$B$2</f>
        <v>2018-08-13 08:00</v>
      </c>
      <c r="AG181" s="13" t="str">
        <f>'Run Parameters'!B$4</f>
        <v>AUTOTEST2</v>
      </c>
      <c r="AH181" s="135" t="str">
        <f t="shared" si="212"/>
        <v>Site_Contact_822</v>
      </c>
      <c r="AI181" s="136" t="str">
        <f>'Run Parameters'!B$2</f>
        <v>2018-08-13 08:00</v>
      </c>
      <c r="AJ181" s="223" t="str">
        <f>'Run Parameters'!B$3</f>
        <v>2018-08-13 18:00</v>
      </c>
      <c r="AK181" s="13" t="s">
        <v>396</v>
      </c>
      <c r="AL181" s="135" t="str">
        <f t="shared" si="213"/>
        <v>01159822</v>
      </c>
      <c r="AM181" s="13" t="str">
        <f t="shared" si="214"/>
        <v>0115822</v>
      </c>
      <c r="AN181" s="15"/>
      <c r="AO181" s="15"/>
      <c r="AP181" s="13">
        <v>1</v>
      </c>
      <c r="AQ181" s="15" t="s">
        <v>49</v>
      </c>
      <c r="AR181" s="15"/>
      <c r="AS181" s="13"/>
      <c r="AT181" s="15" t="s">
        <v>400</v>
      </c>
      <c r="AU181" s="15"/>
      <c r="AV181" s="13">
        <f t="shared" si="215"/>
        <v>822</v>
      </c>
      <c r="AW181" s="13" t="s">
        <v>858</v>
      </c>
      <c r="AX181" s="13" t="s">
        <v>420</v>
      </c>
      <c r="AY181" s="13" t="s">
        <v>421</v>
      </c>
      <c r="AZ181" s="15" t="s">
        <v>334</v>
      </c>
      <c r="BA181" s="15" t="s">
        <v>154</v>
      </c>
      <c r="BB181" s="13">
        <v>1</v>
      </c>
      <c r="BC181" s="13">
        <f t="shared" si="216"/>
        <v>822</v>
      </c>
      <c r="BD181" s="15" t="s">
        <v>962</v>
      </c>
      <c r="BE181" s="15" t="s">
        <v>390</v>
      </c>
      <c r="BF181" s="15" t="s">
        <v>390</v>
      </c>
      <c r="BG181" s="13" t="s">
        <v>857</v>
      </c>
      <c r="BH181" s="13" t="str">
        <f t="shared" si="217"/>
        <v>822_1</v>
      </c>
      <c r="BI181" s="13"/>
      <c r="BJ181" s="13" t="str">
        <f t="shared" si="218"/>
        <v>10000000822</v>
      </c>
      <c r="BK181" s="15" t="s">
        <v>51</v>
      </c>
      <c r="BL181" s="15" t="s">
        <v>54</v>
      </c>
      <c r="BM181" s="13" t="s">
        <v>277</v>
      </c>
      <c r="BN181" s="15" t="s">
        <v>51</v>
      </c>
      <c r="BO181" s="13" t="str">
        <f t="shared" si="219"/>
        <v>S05S822</v>
      </c>
      <c r="BP181" s="15" t="s">
        <v>392</v>
      </c>
      <c r="BQ181" s="15" t="s">
        <v>392</v>
      </c>
      <c r="BR181" s="13" t="s">
        <v>159</v>
      </c>
      <c r="BS181" s="15" t="s">
        <v>963</v>
      </c>
      <c r="BT181" s="15" t="s">
        <v>964</v>
      </c>
      <c r="BU181" s="15" t="s">
        <v>393</v>
      </c>
      <c r="BV181" s="15" t="s">
        <v>51</v>
      </c>
      <c r="BW181" s="15" t="s">
        <v>154</v>
      </c>
      <c r="BX181" s="15"/>
      <c r="BY181" s="15"/>
      <c r="BZ181" s="15" t="s">
        <v>157</v>
      </c>
      <c r="CA181" s="15" t="s">
        <v>269</v>
      </c>
      <c r="CB181" s="15" t="s">
        <v>51</v>
      </c>
      <c r="CC181" s="15" t="s">
        <v>965</v>
      </c>
      <c r="CD181" s="15" t="s">
        <v>392</v>
      </c>
      <c r="CE181" s="15" t="s">
        <v>396</v>
      </c>
      <c r="CF181" s="15" t="s">
        <v>398</v>
      </c>
      <c r="CG181" s="15" t="s">
        <v>856</v>
      </c>
      <c r="CH181" s="15" t="s">
        <v>159</v>
      </c>
      <c r="CI181" s="13">
        <v>1</v>
      </c>
      <c r="CJ181" s="13" t="str">
        <f t="shared" si="220"/>
        <v>GAS_ENQ_NO-822</v>
      </c>
      <c r="CK181" s="15" t="s">
        <v>779</v>
      </c>
      <c r="CL181" s="15" t="s">
        <v>391</v>
      </c>
      <c r="CM181" s="15" t="s">
        <v>390</v>
      </c>
      <c r="CN181" s="13" t="s">
        <v>780</v>
      </c>
      <c r="CO181" s="13" t="str">
        <f t="shared" si="221"/>
        <v>GAS_JOB_ID-822</v>
      </c>
      <c r="CP181" s="15"/>
      <c r="CQ181" s="13" t="str">
        <f t="shared" si="222"/>
        <v>10000822</v>
      </c>
      <c r="CR181" s="13" t="s">
        <v>154</v>
      </c>
      <c r="CS181" s="15" t="s">
        <v>51</v>
      </c>
      <c r="CT181" s="227" t="str">
        <f t="shared" si="223"/>
        <v>GMETER822</v>
      </c>
      <c r="CU181" s="13" t="s">
        <v>161</v>
      </c>
      <c r="CV181" s="15" t="s">
        <v>165</v>
      </c>
      <c r="CW181" s="15" t="s">
        <v>414</v>
      </c>
      <c r="CX181" s="15"/>
      <c r="CY181" s="15"/>
      <c r="CZ181" s="15" t="s">
        <v>394</v>
      </c>
      <c r="DA181" s="15" t="s">
        <v>395</v>
      </c>
      <c r="DB181" s="13" t="str">
        <f t="shared" si="163"/>
        <v>GAS_INST_ID-822</v>
      </c>
      <c r="DC181" s="15" t="s">
        <v>161</v>
      </c>
      <c r="DD181" s="15"/>
      <c r="DE181" s="15" t="s">
        <v>51</v>
      </c>
      <c r="DF181" s="15" t="s">
        <v>264</v>
      </c>
      <c r="DG181" s="15"/>
      <c r="DH181" s="15" t="s">
        <v>397</v>
      </c>
      <c r="DI181" s="15" t="s">
        <v>399</v>
      </c>
      <c r="DJ181" s="15" t="s">
        <v>856</v>
      </c>
      <c r="DK181" s="15" t="s">
        <v>140</v>
      </c>
      <c r="DL181" s="228"/>
      <c r="DM181" s="228"/>
      <c r="DN181" s="13" t="str">
        <f t="shared" si="164"/>
        <v>DS_Pass-822</v>
      </c>
      <c r="DO181" s="15"/>
      <c r="DP181" s="15"/>
      <c r="DQ181" s="15"/>
      <c r="DR181" s="13"/>
      <c r="DS181" s="13"/>
      <c r="DT181" s="15" t="s">
        <v>52</v>
      </c>
      <c r="DU181" s="15"/>
      <c r="DV181" s="15"/>
      <c r="DW181" s="13"/>
      <c r="DX181" s="15" t="s">
        <v>54</v>
      </c>
      <c r="DY181" s="15" t="s">
        <v>61</v>
      </c>
      <c r="DZ181" s="15" t="s">
        <v>402</v>
      </c>
      <c r="EA181" s="135" t="str">
        <f t="shared" si="224"/>
        <v>822CUSTOMER_ADDRESSEXCH9 ROADCUSTOMER_ADDRESSTESTINGHAMCUSTOMER_ADDRESSTESTINGHAMSHIRE</v>
      </c>
      <c r="EB181" s="15" t="s">
        <v>856</v>
      </c>
      <c r="EC181" s="228"/>
      <c r="ED181" s="228"/>
      <c r="EE181" s="228"/>
    </row>
    <row r="182" spans="1:135" s="229" customFormat="1">
      <c r="A182" s="219" t="s">
        <v>1001</v>
      </c>
      <c r="B182" s="219" t="s">
        <v>892</v>
      </c>
      <c r="C182" s="219" t="s">
        <v>865</v>
      </c>
      <c r="D182" s="13">
        <f>'Run Parameters'!$B$1 + ROW()-1</f>
        <v>823</v>
      </c>
      <c r="E182" s="15" t="s">
        <v>47</v>
      </c>
      <c r="F182" s="13" t="s">
        <v>857</v>
      </c>
      <c r="G182" s="13" t="str">
        <f t="shared" si="203"/>
        <v>Access Dtls-823</v>
      </c>
      <c r="H182" s="15" t="s">
        <v>275</v>
      </c>
      <c r="I182" s="13" t="str">
        <f>("MR. Test_173_EXCH9_"&amp;D182&amp;"")</f>
        <v>MR. Test_173_EXCH9_823</v>
      </c>
      <c r="J182" s="13"/>
      <c r="K182" s="19" t="s">
        <v>425</v>
      </c>
      <c r="L182" s="13" t="str">
        <f t="shared" si="204"/>
        <v>Cust. Ref-823</v>
      </c>
      <c r="M182" s="15" t="s">
        <v>48</v>
      </c>
      <c r="N182" s="15" t="s">
        <v>425</v>
      </c>
      <c r="O182" s="13"/>
      <c r="P182" s="13" t="str">
        <f t="shared" si="205"/>
        <v>SN-823</v>
      </c>
      <c r="Q182" s="13" t="str">
        <f t="shared" si="206"/>
        <v>SI-823</v>
      </c>
      <c r="R182" s="13" t="str">
        <f t="shared" si="207"/>
        <v>SE-823</v>
      </c>
      <c r="S182" s="135" t="str">
        <f t="shared" si="208"/>
        <v>Prev_RA-823</v>
      </c>
      <c r="T182" s="135" t="str">
        <f t="shared" si="209"/>
        <v>Prev_Comms-823</v>
      </c>
      <c r="U182" s="15" t="s">
        <v>75</v>
      </c>
      <c r="V182" s="15" t="s">
        <v>401</v>
      </c>
      <c r="W182" s="15" t="s">
        <v>75</v>
      </c>
      <c r="X182" s="15" t="s">
        <v>396</v>
      </c>
      <c r="Y182" s="13" t="str">
        <f t="shared" si="210"/>
        <v>Forward Add-823</v>
      </c>
      <c r="Z182" s="15" t="s">
        <v>401</v>
      </c>
      <c r="AA182" s="136" t="str">
        <f>'Run Parameters'!$B$2</f>
        <v>2018-08-13 08:00</v>
      </c>
      <c r="AB182" s="223" t="str">
        <f>'Run Parameters'!B$3</f>
        <v>2018-08-13 18:00</v>
      </c>
      <c r="AC182" s="26">
        <f>('Run Parameters'!$B$2) - 7</f>
        <v>43318.333333333336</v>
      </c>
      <c r="AD182" s="15" t="s">
        <v>75</v>
      </c>
      <c r="AE182" s="13" t="str">
        <f t="shared" si="211"/>
        <v>LAST_METER-823</v>
      </c>
      <c r="AF182" s="136" t="str">
        <f>'Run Parameters'!$B$2</f>
        <v>2018-08-13 08:00</v>
      </c>
      <c r="AG182" s="13" t="str">
        <f>'Run Parameters'!B$4</f>
        <v>AUTOTEST2</v>
      </c>
      <c r="AH182" s="135" t="str">
        <f t="shared" si="212"/>
        <v>Site_Contact_823</v>
      </c>
      <c r="AI182" s="136" t="str">
        <f>'Run Parameters'!B$2</f>
        <v>2018-08-13 08:00</v>
      </c>
      <c r="AJ182" s="223" t="str">
        <f>'Run Parameters'!B$3</f>
        <v>2018-08-13 18:00</v>
      </c>
      <c r="AK182" s="13" t="s">
        <v>396</v>
      </c>
      <c r="AL182" s="135" t="str">
        <f t="shared" si="213"/>
        <v>01159823</v>
      </c>
      <c r="AM182" s="13" t="str">
        <f t="shared" si="214"/>
        <v>0115823</v>
      </c>
      <c r="AN182" s="15"/>
      <c r="AO182" s="15"/>
      <c r="AP182" s="13">
        <v>1</v>
      </c>
      <c r="AQ182" s="15" t="s">
        <v>49</v>
      </c>
      <c r="AR182" s="15"/>
      <c r="AS182" s="13"/>
      <c r="AT182" s="15" t="s">
        <v>400</v>
      </c>
      <c r="AU182" s="15"/>
      <c r="AV182" s="13">
        <f t="shared" si="215"/>
        <v>823</v>
      </c>
      <c r="AW182" s="13" t="s">
        <v>858</v>
      </c>
      <c r="AX182" s="13" t="s">
        <v>420</v>
      </c>
      <c r="AY182" s="13" t="s">
        <v>421</v>
      </c>
      <c r="AZ182" s="15" t="s">
        <v>334</v>
      </c>
      <c r="BA182" s="15" t="s">
        <v>154</v>
      </c>
      <c r="BB182" s="13">
        <v>1</v>
      </c>
      <c r="BC182" s="13">
        <f t="shared" si="216"/>
        <v>823</v>
      </c>
      <c r="BD182" s="15" t="s">
        <v>962</v>
      </c>
      <c r="BE182" s="15" t="s">
        <v>390</v>
      </c>
      <c r="BF182" s="15" t="s">
        <v>390</v>
      </c>
      <c r="BG182" s="13" t="s">
        <v>857</v>
      </c>
      <c r="BH182" s="13" t="str">
        <f t="shared" si="217"/>
        <v>823_1</v>
      </c>
      <c r="BI182" s="13"/>
      <c r="BJ182" s="13" t="str">
        <f t="shared" si="218"/>
        <v>10000000823</v>
      </c>
      <c r="BK182" s="15" t="s">
        <v>51</v>
      </c>
      <c r="BL182" s="15" t="s">
        <v>54</v>
      </c>
      <c r="BM182" s="13" t="s">
        <v>277</v>
      </c>
      <c r="BN182" s="15" t="s">
        <v>51</v>
      </c>
      <c r="BO182" s="13" t="str">
        <f t="shared" si="219"/>
        <v>S05S823</v>
      </c>
      <c r="BP182" s="15" t="s">
        <v>392</v>
      </c>
      <c r="BQ182" s="15" t="s">
        <v>392</v>
      </c>
      <c r="BR182" s="13" t="s">
        <v>159</v>
      </c>
      <c r="BS182" s="15" t="s">
        <v>963</v>
      </c>
      <c r="BT182" s="15" t="s">
        <v>964</v>
      </c>
      <c r="BU182" s="15" t="s">
        <v>393</v>
      </c>
      <c r="BV182" s="15" t="s">
        <v>51</v>
      </c>
      <c r="BW182" s="15" t="s">
        <v>154</v>
      </c>
      <c r="BX182" s="15"/>
      <c r="BY182" s="15"/>
      <c r="BZ182" s="15" t="s">
        <v>157</v>
      </c>
      <c r="CA182" s="15" t="s">
        <v>269</v>
      </c>
      <c r="CB182" s="15" t="s">
        <v>51</v>
      </c>
      <c r="CC182" s="15" t="s">
        <v>965</v>
      </c>
      <c r="CD182" s="15" t="s">
        <v>392</v>
      </c>
      <c r="CE182" s="15" t="s">
        <v>396</v>
      </c>
      <c r="CF182" s="15" t="s">
        <v>398</v>
      </c>
      <c r="CG182" s="15" t="s">
        <v>856</v>
      </c>
      <c r="CH182" s="15" t="s">
        <v>159</v>
      </c>
      <c r="CI182" s="13">
        <v>1</v>
      </c>
      <c r="CJ182" s="13" t="str">
        <f t="shared" si="220"/>
        <v>GAS_ENQ_NO-823</v>
      </c>
      <c r="CK182" s="15" t="s">
        <v>779</v>
      </c>
      <c r="CL182" s="15" t="s">
        <v>391</v>
      </c>
      <c r="CM182" s="15" t="s">
        <v>390</v>
      </c>
      <c r="CN182" s="13" t="s">
        <v>780</v>
      </c>
      <c r="CO182" s="13" t="str">
        <f t="shared" si="221"/>
        <v>GAS_JOB_ID-823</v>
      </c>
      <c r="CP182" s="15"/>
      <c r="CQ182" s="13" t="str">
        <f t="shared" si="222"/>
        <v>10000823</v>
      </c>
      <c r="CR182" s="13" t="s">
        <v>154</v>
      </c>
      <c r="CS182" s="15" t="s">
        <v>51</v>
      </c>
      <c r="CT182" s="227" t="str">
        <f t="shared" si="223"/>
        <v>GMETER823</v>
      </c>
      <c r="CU182" s="13" t="s">
        <v>161</v>
      </c>
      <c r="CV182" s="15" t="s">
        <v>165</v>
      </c>
      <c r="CW182" s="15" t="s">
        <v>414</v>
      </c>
      <c r="CX182" s="15"/>
      <c r="CY182" s="15"/>
      <c r="CZ182" s="15" t="s">
        <v>394</v>
      </c>
      <c r="DA182" s="15" t="s">
        <v>395</v>
      </c>
      <c r="DB182" s="13" t="str">
        <f t="shared" si="163"/>
        <v>GAS_INST_ID-823</v>
      </c>
      <c r="DC182" s="15" t="s">
        <v>161</v>
      </c>
      <c r="DD182" s="15"/>
      <c r="DE182" s="15" t="s">
        <v>51</v>
      </c>
      <c r="DF182" s="15" t="s">
        <v>264</v>
      </c>
      <c r="DG182" s="15"/>
      <c r="DH182" s="15" t="s">
        <v>397</v>
      </c>
      <c r="DI182" s="15" t="s">
        <v>399</v>
      </c>
      <c r="DJ182" s="15" t="s">
        <v>856</v>
      </c>
      <c r="DK182" s="15" t="s">
        <v>140</v>
      </c>
      <c r="DL182" s="228"/>
      <c r="DM182" s="228"/>
      <c r="DN182" s="13" t="str">
        <f t="shared" si="164"/>
        <v>DS_Pass-823</v>
      </c>
      <c r="DO182" s="15"/>
      <c r="DP182" s="15"/>
      <c r="DQ182" s="15"/>
      <c r="DR182" s="13"/>
      <c r="DS182" s="13"/>
      <c r="DT182" s="15" t="s">
        <v>52</v>
      </c>
      <c r="DU182" s="15"/>
      <c r="DV182" s="15"/>
      <c r="DW182" s="13"/>
      <c r="DX182" s="15" t="s">
        <v>54</v>
      </c>
      <c r="DY182" s="15" t="s">
        <v>61</v>
      </c>
      <c r="DZ182" s="15" t="s">
        <v>402</v>
      </c>
      <c r="EA182" s="135" t="str">
        <f t="shared" si="224"/>
        <v>823CUSTOMER_ADDRESSEXCH9 ROADCUSTOMER_ADDRESSTESTINGHAMCUSTOMER_ADDRESSTESTINGHAMSHIRE</v>
      </c>
      <c r="EB182" s="15" t="s">
        <v>856</v>
      </c>
      <c r="EC182" s="228"/>
      <c r="ED182" s="228"/>
      <c r="EE182" s="228"/>
    </row>
    <row r="183" spans="1:135" s="229" customFormat="1">
      <c r="A183" s="219" t="s">
        <v>1002</v>
      </c>
      <c r="B183" s="219" t="s">
        <v>868</v>
      </c>
      <c r="C183" s="219" t="s">
        <v>865</v>
      </c>
      <c r="D183" s="13">
        <f>'Run Parameters'!$B$1 + ROW()-1</f>
        <v>824</v>
      </c>
      <c r="E183" s="15" t="s">
        <v>47</v>
      </c>
      <c r="F183" s="13" t="s">
        <v>857</v>
      </c>
      <c r="G183" s="13" t="str">
        <f t="shared" si="203"/>
        <v>Access Dtls-824</v>
      </c>
      <c r="H183" s="15" t="s">
        <v>275</v>
      </c>
      <c r="I183" s="13" t="str">
        <f>("MR. Test_174_EXCH9_"&amp;D183&amp;"")</f>
        <v>MR. Test_174_EXCH9_824</v>
      </c>
      <c r="J183" s="13"/>
      <c r="K183" s="19" t="s">
        <v>425</v>
      </c>
      <c r="L183" s="13" t="str">
        <f t="shared" si="204"/>
        <v>Cust. Ref-824</v>
      </c>
      <c r="M183" s="15" t="s">
        <v>48</v>
      </c>
      <c r="N183" s="15" t="s">
        <v>425</v>
      </c>
      <c r="O183" s="13"/>
      <c r="P183" s="13" t="str">
        <f t="shared" si="205"/>
        <v>SN-824</v>
      </c>
      <c r="Q183" s="13" t="str">
        <f t="shared" si="206"/>
        <v>SI-824</v>
      </c>
      <c r="R183" s="13" t="str">
        <f t="shared" si="207"/>
        <v>SE-824</v>
      </c>
      <c r="S183" s="135" t="str">
        <f t="shared" si="208"/>
        <v>Prev_RA-824</v>
      </c>
      <c r="T183" s="135" t="str">
        <f t="shared" si="209"/>
        <v>Prev_Comms-824</v>
      </c>
      <c r="U183" s="15" t="s">
        <v>75</v>
      </c>
      <c r="V183" s="15" t="s">
        <v>401</v>
      </c>
      <c r="W183" s="15" t="s">
        <v>75</v>
      </c>
      <c r="X183" s="15" t="s">
        <v>396</v>
      </c>
      <c r="Y183" s="13" t="str">
        <f t="shared" si="210"/>
        <v>Forward Add-824</v>
      </c>
      <c r="Z183" s="15" t="s">
        <v>401</v>
      </c>
      <c r="AA183" s="136" t="str">
        <f>'Run Parameters'!$B$2</f>
        <v>2018-08-13 08:00</v>
      </c>
      <c r="AB183" s="223" t="str">
        <f>'Run Parameters'!B$3</f>
        <v>2018-08-13 18:00</v>
      </c>
      <c r="AC183" s="26">
        <f>('Run Parameters'!$B$2) - 7</f>
        <v>43318.333333333336</v>
      </c>
      <c r="AD183" s="15" t="s">
        <v>75</v>
      </c>
      <c r="AE183" s="13" t="str">
        <f t="shared" si="211"/>
        <v>LAST_METER-824</v>
      </c>
      <c r="AF183" s="136" t="str">
        <f>'Run Parameters'!$B$2</f>
        <v>2018-08-13 08:00</v>
      </c>
      <c r="AG183" s="13" t="str">
        <f>'Run Parameters'!B$4</f>
        <v>AUTOTEST2</v>
      </c>
      <c r="AH183" s="135" t="str">
        <f t="shared" si="212"/>
        <v>Site_Contact_824</v>
      </c>
      <c r="AI183" s="136" t="str">
        <f>'Run Parameters'!B$2</f>
        <v>2018-08-13 08:00</v>
      </c>
      <c r="AJ183" s="223" t="str">
        <f>'Run Parameters'!B$3</f>
        <v>2018-08-13 18:00</v>
      </c>
      <c r="AK183" s="13" t="s">
        <v>396</v>
      </c>
      <c r="AL183" s="135" t="str">
        <f t="shared" si="213"/>
        <v>01159824</v>
      </c>
      <c r="AM183" s="13" t="str">
        <f t="shared" si="214"/>
        <v>0115824</v>
      </c>
      <c r="AN183" s="15"/>
      <c r="AO183" s="15"/>
      <c r="AP183" s="13">
        <v>1</v>
      </c>
      <c r="AQ183" s="15" t="s">
        <v>49</v>
      </c>
      <c r="AR183" s="15"/>
      <c r="AS183" s="13"/>
      <c r="AT183" s="15" t="s">
        <v>400</v>
      </c>
      <c r="AU183" s="15"/>
      <c r="AV183" s="13">
        <f t="shared" si="215"/>
        <v>824</v>
      </c>
      <c r="AW183" s="13" t="s">
        <v>858</v>
      </c>
      <c r="AX183" s="13" t="s">
        <v>420</v>
      </c>
      <c r="AY183" s="13" t="s">
        <v>421</v>
      </c>
      <c r="AZ183" s="15" t="s">
        <v>334</v>
      </c>
      <c r="BA183" s="15" t="s">
        <v>154</v>
      </c>
      <c r="BB183" s="13">
        <v>1</v>
      </c>
      <c r="BC183" s="13">
        <f t="shared" si="216"/>
        <v>824</v>
      </c>
      <c r="BD183" s="15" t="s">
        <v>962</v>
      </c>
      <c r="BE183" s="15" t="s">
        <v>390</v>
      </c>
      <c r="BF183" s="15" t="s">
        <v>390</v>
      </c>
      <c r="BG183" s="13" t="s">
        <v>857</v>
      </c>
      <c r="BH183" s="13" t="str">
        <f t="shared" si="217"/>
        <v>824_1</v>
      </c>
      <c r="BI183" s="13"/>
      <c r="BJ183" s="13" t="str">
        <f t="shared" si="218"/>
        <v>10000000824</v>
      </c>
      <c r="BK183" s="15" t="s">
        <v>51</v>
      </c>
      <c r="BL183" s="15" t="s">
        <v>54</v>
      </c>
      <c r="BM183" s="13" t="s">
        <v>277</v>
      </c>
      <c r="BN183" s="15" t="s">
        <v>51</v>
      </c>
      <c r="BO183" s="13" t="str">
        <f t="shared" si="219"/>
        <v>S05S824</v>
      </c>
      <c r="BP183" s="15" t="s">
        <v>392</v>
      </c>
      <c r="BQ183" s="15" t="s">
        <v>392</v>
      </c>
      <c r="BR183" s="13" t="s">
        <v>159</v>
      </c>
      <c r="BS183" s="15" t="s">
        <v>963</v>
      </c>
      <c r="BT183" s="15" t="s">
        <v>964</v>
      </c>
      <c r="BU183" s="15" t="s">
        <v>393</v>
      </c>
      <c r="BV183" s="15" t="s">
        <v>51</v>
      </c>
      <c r="BW183" s="15" t="s">
        <v>154</v>
      </c>
      <c r="BX183" s="15"/>
      <c r="BY183" s="15"/>
      <c r="BZ183" s="15" t="s">
        <v>157</v>
      </c>
      <c r="CA183" s="15" t="s">
        <v>269</v>
      </c>
      <c r="CB183" s="15" t="s">
        <v>51</v>
      </c>
      <c r="CC183" s="15" t="s">
        <v>965</v>
      </c>
      <c r="CD183" s="15" t="s">
        <v>392</v>
      </c>
      <c r="CE183" s="15" t="s">
        <v>396</v>
      </c>
      <c r="CF183" s="15" t="s">
        <v>398</v>
      </c>
      <c r="CG183" s="15" t="s">
        <v>856</v>
      </c>
      <c r="CH183" s="15" t="s">
        <v>159</v>
      </c>
      <c r="CI183" s="13">
        <v>1</v>
      </c>
      <c r="CJ183" s="13" t="str">
        <f t="shared" si="220"/>
        <v>GAS_ENQ_NO-824</v>
      </c>
      <c r="CK183" s="15" t="s">
        <v>779</v>
      </c>
      <c r="CL183" s="15" t="s">
        <v>391</v>
      </c>
      <c r="CM183" s="15" t="s">
        <v>390</v>
      </c>
      <c r="CN183" s="13" t="s">
        <v>780</v>
      </c>
      <c r="CO183" s="13" t="str">
        <f t="shared" si="221"/>
        <v>GAS_JOB_ID-824</v>
      </c>
      <c r="CP183" s="15"/>
      <c r="CQ183" s="13" t="str">
        <f t="shared" si="222"/>
        <v>10000824</v>
      </c>
      <c r="CR183" s="13" t="s">
        <v>154</v>
      </c>
      <c r="CS183" s="15" t="s">
        <v>51</v>
      </c>
      <c r="CT183" s="227" t="str">
        <f t="shared" si="223"/>
        <v>GMETER824</v>
      </c>
      <c r="CU183" s="13" t="s">
        <v>161</v>
      </c>
      <c r="CV183" s="15" t="s">
        <v>165</v>
      </c>
      <c r="CW183" s="15" t="s">
        <v>414</v>
      </c>
      <c r="CX183" s="15"/>
      <c r="CY183" s="15"/>
      <c r="CZ183" s="15" t="s">
        <v>394</v>
      </c>
      <c r="DA183" s="15" t="s">
        <v>395</v>
      </c>
      <c r="DB183" s="13" t="str">
        <f t="shared" si="163"/>
        <v>GAS_INST_ID-824</v>
      </c>
      <c r="DC183" s="15" t="s">
        <v>161</v>
      </c>
      <c r="DD183" s="15"/>
      <c r="DE183" s="15" t="s">
        <v>51</v>
      </c>
      <c r="DF183" s="15" t="s">
        <v>264</v>
      </c>
      <c r="DG183" s="15"/>
      <c r="DH183" s="15" t="s">
        <v>397</v>
      </c>
      <c r="DI183" s="15" t="s">
        <v>399</v>
      </c>
      <c r="DJ183" s="15" t="s">
        <v>856</v>
      </c>
      <c r="DK183" s="15" t="s">
        <v>140</v>
      </c>
      <c r="DL183" s="228"/>
      <c r="DM183" s="228"/>
      <c r="DN183" s="13" t="str">
        <f t="shared" si="164"/>
        <v>DS_Pass-824</v>
      </c>
      <c r="DO183" s="15"/>
      <c r="DP183" s="15"/>
      <c r="DQ183" s="15"/>
      <c r="DR183" s="13"/>
      <c r="DS183" s="13"/>
      <c r="DT183" s="15" t="s">
        <v>52</v>
      </c>
      <c r="DU183" s="15"/>
      <c r="DV183" s="15"/>
      <c r="DW183" s="13"/>
      <c r="DX183" s="15" t="s">
        <v>54</v>
      </c>
      <c r="DY183" s="15" t="s">
        <v>61</v>
      </c>
      <c r="DZ183" s="15" t="s">
        <v>402</v>
      </c>
      <c r="EA183" s="135" t="str">
        <f t="shared" si="224"/>
        <v>824CUSTOMER_ADDRESSEXCH9 ROADCUSTOMER_ADDRESSTESTINGHAMCUSTOMER_ADDRESSTESTINGHAMSHIRE</v>
      </c>
      <c r="EB183" s="15" t="s">
        <v>856</v>
      </c>
      <c r="EC183" s="228"/>
      <c r="ED183" s="228"/>
      <c r="EE183" s="228"/>
    </row>
    <row r="184" spans="1:135" s="229" customFormat="1">
      <c r="A184" s="219" t="s">
        <v>1003</v>
      </c>
      <c r="B184" s="219" t="s">
        <v>892</v>
      </c>
      <c r="C184" s="219" t="s">
        <v>865</v>
      </c>
      <c r="D184" s="13">
        <f>'Run Parameters'!$B$1 + ROW()-1</f>
        <v>825</v>
      </c>
      <c r="E184" s="15" t="s">
        <v>47</v>
      </c>
      <c r="F184" s="13" t="s">
        <v>857</v>
      </c>
      <c r="G184" s="13" t="str">
        <f t="shared" si="203"/>
        <v>Access Dtls-825</v>
      </c>
      <c r="H184" s="15" t="s">
        <v>275</v>
      </c>
      <c r="I184" s="13" t="str">
        <f>("MR. Test_175_EXCH9_"&amp;D184&amp;"")</f>
        <v>MR. Test_175_EXCH9_825</v>
      </c>
      <c r="J184" s="13"/>
      <c r="K184" s="19" t="s">
        <v>425</v>
      </c>
      <c r="L184" s="13" t="str">
        <f t="shared" si="204"/>
        <v>Cust. Ref-825</v>
      </c>
      <c r="M184" s="15" t="s">
        <v>48</v>
      </c>
      <c r="N184" s="15" t="s">
        <v>425</v>
      </c>
      <c r="O184" s="13"/>
      <c r="P184" s="13" t="str">
        <f t="shared" si="205"/>
        <v>SN-825</v>
      </c>
      <c r="Q184" s="13" t="str">
        <f t="shared" si="206"/>
        <v>SI-825</v>
      </c>
      <c r="R184" s="13" t="str">
        <f t="shared" si="207"/>
        <v>SE-825</v>
      </c>
      <c r="S184" s="135" t="str">
        <f t="shared" si="208"/>
        <v>Prev_RA-825</v>
      </c>
      <c r="T184" s="135" t="str">
        <f t="shared" si="209"/>
        <v>Prev_Comms-825</v>
      </c>
      <c r="U184" s="15" t="s">
        <v>75</v>
      </c>
      <c r="V184" s="15" t="s">
        <v>401</v>
      </c>
      <c r="W184" s="15" t="s">
        <v>75</v>
      </c>
      <c r="X184" s="15" t="s">
        <v>396</v>
      </c>
      <c r="Y184" s="13" t="str">
        <f t="shared" si="210"/>
        <v>Forward Add-825</v>
      </c>
      <c r="Z184" s="15" t="s">
        <v>401</v>
      </c>
      <c r="AA184" s="136" t="str">
        <f>'Run Parameters'!$B$2</f>
        <v>2018-08-13 08:00</v>
      </c>
      <c r="AB184" s="223" t="str">
        <f>'Run Parameters'!B$3</f>
        <v>2018-08-13 18:00</v>
      </c>
      <c r="AC184" s="26">
        <f>('Run Parameters'!$B$2) - 7</f>
        <v>43318.333333333336</v>
      </c>
      <c r="AD184" s="15" t="s">
        <v>75</v>
      </c>
      <c r="AE184" s="13" t="str">
        <f t="shared" si="211"/>
        <v>LAST_METER-825</v>
      </c>
      <c r="AF184" s="136" t="str">
        <f>'Run Parameters'!$B$2</f>
        <v>2018-08-13 08:00</v>
      </c>
      <c r="AG184" s="13" t="str">
        <f>'Run Parameters'!B$4</f>
        <v>AUTOTEST2</v>
      </c>
      <c r="AH184" s="135" t="str">
        <f t="shared" si="212"/>
        <v>Site_Contact_825</v>
      </c>
      <c r="AI184" s="136" t="str">
        <f>'Run Parameters'!B$2</f>
        <v>2018-08-13 08:00</v>
      </c>
      <c r="AJ184" s="223" t="str">
        <f>'Run Parameters'!B$3</f>
        <v>2018-08-13 18:00</v>
      </c>
      <c r="AK184" s="13" t="s">
        <v>396</v>
      </c>
      <c r="AL184" s="135" t="str">
        <f t="shared" si="213"/>
        <v>01159825</v>
      </c>
      <c r="AM184" s="13" t="str">
        <f t="shared" si="214"/>
        <v>0115825</v>
      </c>
      <c r="AN184" s="15"/>
      <c r="AO184" s="15"/>
      <c r="AP184" s="13">
        <v>1</v>
      </c>
      <c r="AQ184" s="15" t="s">
        <v>49</v>
      </c>
      <c r="AR184" s="15"/>
      <c r="AS184" s="13"/>
      <c r="AT184" s="15" t="s">
        <v>400</v>
      </c>
      <c r="AU184" s="15"/>
      <c r="AV184" s="13">
        <f t="shared" si="215"/>
        <v>825</v>
      </c>
      <c r="AW184" s="13" t="s">
        <v>858</v>
      </c>
      <c r="AX184" s="13" t="s">
        <v>420</v>
      </c>
      <c r="AY184" s="13" t="s">
        <v>421</v>
      </c>
      <c r="AZ184" s="15" t="s">
        <v>334</v>
      </c>
      <c r="BA184" s="15" t="s">
        <v>154</v>
      </c>
      <c r="BB184" s="13">
        <v>1</v>
      </c>
      <c r="BC184" s="13">
        <f t="shared" si="216"/>
        <v>825</v>
      </c>
      <c r="BD184" s="15" t="s">
        <v>962</v>
      </c>
      <c r="BE184" s="15" t="s">
        <v>390</v>
      </c>
      <c r="BF184" s="15" t="s">
        <v>390</v>
      </c>
      <c r="BG184" s="13" t="s">
        <v>857</v>
      </c>
      <c r="BH184" s="13" t="str">
        <f t="shared" si="217"/>
        <v>825_1</v>
      </c>
      <c r="BI184" s="13"/>
      <c r="BJ184" s="13" t="str">
        <f t="shared" si="218"/>
        <v>10000000825</v>
      </c>
      <c r="BK184" s="15" t="s">
        <v>51</v>
      </c>
      <c r="BL184" s="15" t="s">
        <v>54</v>
      </c>
      <c r="BM184" s="13" t="s">
        <v>277</v>
      </c>
      <c r="BN184" s="15" t="s">
        <v>51</v>
      </c>
      <c r="BO184" s="13" t="str">
        <f t="shared" si="219"/>
        <v>S05S825</v>
      </c>
      <c r="BP184" s="15" t="s">
        <v>392</v>
      </c>
      <c r="BQ184" s="15" t="s">
        <v>392</v>
      </c>
      <c r="BR184" s="13" t="s">
        <v>159</v>
      </c>
      <c r="BS184" s="15" t="s">
        <v>963</v>
      </c>
      <c r="BT184" s="15" t="s">
        <v>964</v>
      </c>
      <c r="BU184" s="15" t="s">
        <v>393</v>
      </c>
      <c r="BV184" s="15" t="s">
        <v>51</v>
      </c>
      <c r="BW184" s="15" t="s">
        <v>154</v>
      </c>
      <c r="BX184" s="15"/>
      <c r="BY184" s="15"/>
      <c r="BZ184" s="15" t="s">
        <v>157</v>
      </c>
      <c r="CA184" s="15" t="s">
        <v>269</v>
      </c>
      <c r="CB184" s="15" t="s">
        <v>51</v>
      </c>
      <c r="CC184" s="15" t="s">
        <v>965</v>
      </c>
      <c r="CD184" s="15" t="s">
        <v>392</v>
      </c>
      <c r="CE184" s="15" t="s">
        <v>396</v>
      </c>
      <c r="CF184" s="15" t="s">
        <v>398</v>
      </c>
      <c r="CG184" s="15" t="s">
        <v>856</v>
      </c>
      <c r="CH184" s="15" t="s">
        <v>159</v>
      </c>
      <c r="CI184" s="13">
        <v>1</v>
      </c>
      <c r="CJ184" s="13" t="str">
        <f t="shared" si="220"/>
        <v>GAS_ENQ_NO-825</v>
      </c>
      <c r="CK184" s="15" t="s">
        <v>779</v>
      </c>
      <c r="CL184" s="15" t="s">
        <v>391</v>
      </c>
      <c r="CM184" s="15" t="s">
        <v>390</v>
      </c>
      <c r="CN184" s="13" t="s">
        <v>780</v>
      </c>
      <c r="CO184" s="13" t="str">
        <f t="shared" si="221"/>
        <v>GAS_JOB_ID-825</v>
      </c>
      <c r="CP184" s="15"/>
      <c r="CQ184" s="13" t="str">
        <f t="shared" si="222"/>
        <v>10000825</v>
      </c>
      <c r="CR184" s="13" t="s">
        <v>154</v>
      </c>
      <c r="CS184" s="15" t="s">
        <v>51</v>
      </c>
      <c r="CT184" s="227" t="str">
        <f t="shared" si="223"/>
        <v>GMETER825</v>
      </c>
      <c r="CU184" s="13" t="s">
        <v>161</v>
      </c>
      <c r="CV184" s="15" t="s">
        <v>165</v>
      </c>
      <c r="CW184" s="15" t="s">
        <v>414</v>
      </c>
      <c r="CX184" s="15"/>
      <c r="CY184" s="15"/>
      <c r="CZ184" s="15" t="s">
        <v>394</v>
      </c>
      <c r="DA184" s="15" t="s">
        <v>395</v>
      </c>
      <c r="DB184" s="13" t="str">
        <f t="shared" si="163"/>
        <v>GAS_INST_ID-825</v>
      </c>
      <c r="DC184" s="15" t="s">
        <v>161</v>
      </c>
      <c r="DD184" s="15"/>
      <c r="DE184" s="15" t="s">
        <v>51</v>
      </c>
      <c r="DF184" s="15" t="s">
        <v>264</v>
      </c>
      <c r="DG184" s="15"/>
      <c r="DH184" s="15" t="s">
        <v>397</v>
      </c>
      <c r="DI184" s="15" t="s">
        <v>399</v>
      </c>
      <c r="DJ184" s="15" t="s">
        <v>856</v>
      </c>
      <c r="DK184" s="15" t="s">
        <v>140</v>
      </c>
      <c r="DL184" s="228"/>
      <c r="DM184" s="228"/>
      <c r="DN184" s="13" t="str">
        <f t="shared" si="164"/>
        <v>DS_Pass-825</v>
      </c>
      <c r="DO184" s="15"/>
      <c r="DP184" s="15"/>
      <c r="DQ184" s="15"/>
      <c r="DR184" s="13"/>
      <c r="DS184" s="13"/>
      <c r="DT184" s="15" t="s">
        <v>52</v>
      </c>
      <c r="DU184" s="15"/>
      <c r="DV184" s="15"/>
      <c r="DW184" s="13"/>
      <c r="DX184" s="15" t="s">
        <v>54</v>
      </c>
      <c r="DY184" s="15" t="s">
        <v>61</v>
      </c>
      <c r="DZ184" s="15" t="s">
        <v>402</v>
      </c>
      <c r="EA184" s="135" t="str">
        <f t="shared" si="224"/>
        <v>825CUSTOMER_ADDRESSEXCH9 ROADCUSTOMER_ADDRESSTESTINGHAMCUSTOMER_ADDRESSTESTINGHAMSHIRE</v>
      </c>
      <c r="EB184" s="15" t="s">
        <v>856</v>
      </c>
      <c r="EC184" s="228"/>
      <c r="ED184" s="228"/>
      <c r="EE184" s="228"/>
    </row>
    <row r="185" spans="1:135" s="229" customFormat="1">
      <c r="A185" s="219" t="s">
        <v>1004</v>
      </c>
      <c r="B185" s="219" t="s">
        <v>868</v>
      </c>
      <c r="C185" s="219" t="s">
        <v>865</v>
      </c>
      <c r="D185" s="13">
        <f>'Run Parameters'!$B$1 + ROW()-1</f>
        <v>826</v>
      </c>
      <c r="E185" s="15" t="s">
        <v>47</v>
      </c>
      <c r="F185" s="13" t="s">
        <v>857</v>
      </c>
      <c r="G185" s="13" t="str">
        <f t="shared" si="203"/>
        <v>Access Dtls-826</v>
      </c>
      <c r="H185" s="15" t="s">
        <v>275</v>
      </c>
      <c r="I185" s="13" t="str">
        <f>("MR. Test_176_EXCH9_"&amp;D185&amp;"")</f>
        <v>MR. Test_176_EXCH9_826</v>
      </c>
      <c r="J185" s="13"/>
      <c r="K185" s="19" t="s">
        <v>425</v>
      </c>
      <c r="L185" s="13" t="str">
        <f t="shared" si="204"/>
        <v>Cust. Ref-826</v>
      </c>
      <c r="M185" s="15" t="s">
        <v>48</v>
      </c>
      <c r="N185" s="15" t="s">
        <v>425</v>
      </c>
      <c r="O185" s="13"/>
      <c r="P185" s="13" t="str">
        <f t="shared" si="205"/>
        <v>SN-826</v>
      </c>
      <c r="Q185" s="13" t="str">
        <f t="shared" si="206"/>
        <v>SI-826</v>
      </c>
      <c r="R185" s="13" t="str">
        <f t="shared" si="207"/>
        <v>SE-826</v>
      </c>
      <c r="S185" s="135" t="str">
        <f t="shared" si="208"/>
        <v>Prev_RA-826</v>
      </c>
      <c r="T185" s="135" t="str">
        <f t="shared" si="209"/>
        <v>Prev_Comms-826</v>
      </c>
      <c r="U185" s="15" t="s">
        <v>75</v>
      </c>
      <c r="V185" s="15" t="s">
        <v>401</v>
      </c>
      <c r="W185" s="15" t="s">
        <v>75</v>
      </c>
      <c r="X185" s="15" t="s">
        <v>396</v>
      </c>
      <c r="Y185" s="13" t="str">
        <f t="shared" si="210"/>
        <v>Forward Add-826</v>
      </c>
      <c r="Z185" s="15" t="s">
        <v>401</v>
      </c>
      <c r="AA185" s="136" t="str">
        <f>'Run Parameters'!$B$2</f>
        <v>2018-08-13 08:00</v>
      </c>
      <c r="AB185" s="223" t="str">
        <f>'Run Parameters'!B$3</f>
        <v>2018-08-13 18:00</v>
      </c>
      <c r="AC185" s="26">
        <f>('Run Parameters'!$B$2) - 7</f>
        <v>43318.333333333336</v>
      </c>
      <c r="AD185" s="15" t="s">
        <v>75</v>
      </c>
      <c r="AE185" s="13" t="str">
        <f t="shared" si="211"/>
        <v>LAST_METER-826</v>
      </c>
      <c r="AF185" s="136" t="str">
        <f>'Run Parameters'!$B$2</f>
        <v>2018-08-13 08:00</v>
      </c>
      <c r="AG185" s="13" t="str">
        <f>'Run Parameters'!B$4</f>
        <v>AUTOTEST2</v>
      </c>
      <c r="AH185" s="135" t="str">
        <f t="shared" si="212"/>
        <v>Site_Contact_826</v>
      </c>
      <c r="AI185" s="136" t="str">
        <f>'Run Parameters'!B$2</f>
        <v>2018-08-13 08:00</v>
      </c>
      <c r="AJ185" s="223" t="str">
        <f>'Run Parameters'!B$3</f>
        <v>2018-08-13 18:00</v>
      </c>
      <c r="AK185" s="13" t="s">
        <v>396</v>
      </c>
      <c r="AL185" s="135" t="str">
        <f t="shared" si="213"/>
        <v>01159826</v>
      </c>
      <c r="AM185" s="13" t="str">
        <f t="shared" si="214"/>
        <v>0115826</v>
      </c>
      <c r="AN185" s="15"/>
      <c r="AO185" s="15"/>
      <c r="AP185" s="13">
        <v>1</v>
      </c>
      <c r="AQ185" s="15" t="s">
        <v>49</v>
      </c>
      <c r="AR185" s="15"/>
      <c r="AS185" s="13"/>
      <c r="AT185" s="15" t="s">
        <v>400</v>
      </c>
      <c r="AU185" s="15"/>
      <c r="AV185" s="13">
        <f t="shared" si="215"/>
        <v>826</v>
      </c>
      <c r="AW185" s="13" t="s">
        <v>858</v>
      </c>
      <c r="AX185" s="13" t="s">
        <v>420</v>
      </c>
      <c r="AY185" s="13" t="s">
        <v>421</v>
      </c>
      <c r="AZ185" s="15" t="s">
        <v>334</v>
      </c>
      <c r="BA185" s="15" t="s">
        <v>154</v>
      </c>
      <c r="BB185" s="13">
        <v>1</v>
      </c>
      <c r="BC185" s="13">
        <f t="shared" si="216"/>
        <v>826</v>
      </c>
      <c r="BD185" s="15" t="s">
        <v>962</v>
      </c>
      <c r="BE185" s="15" t="s">
        <v>390</v>
      </c>
      <c r="BF185" s="15" t="s">
        <v>390</v>
      </c>
      <c r="BG185" s="13" t="s">
        <v>857</v>
      </c>
      <c r="BH185" s="13" t="str">
        <f t="shared" si="217"/>
        <v>826_1</v>
      </c>
      <c r="BI185" s="13"/>
      <c r="BJ185" s="13" t="str">
        <f t="shared" si="218"/>
        <v>10000000826</v>
      </c>
      <c r="BK185" s="15" t="s">
        <v>51</v>
      </c>
      <c r="BL185" s="15" t="s">
        <v>54</v>
      </c>
      <c r="BM185" s="13" t="s">
        <v>277</v>
      </c>
      <c r="BN185" s="15" t="s">
        <v>51</v>
      </c>
      <c r="BO185" s="13" t="str">
        <f t="shared" si="219"/>
        <v>S05S826</v>
      </c>
      <c r="BP185" s="15" t="s">
        <v>392</v>
      </c>
      <c r="BQ185" s="15" t="s">
        <v>392</v>
      </c>
      <c r="BR185" s="13" t="s">
        <v>159</v>
      </c>
      <c r="BS185" s="15" t="s">
        <v>963</v>
      </c>
      <c r="BT185" s="15" t="s">
        <v>964</v>
      </c>
      <c r="BU185" s="15" t="s">
        <v>393</v>
      </c>
      <c r="BV185" s="15" t="s">
        <v>51</v>
      </c>
      <c r="BW185" s="15" t="s">
        <v>154</v>
      </c>
      <c r="BX185" s="15"/>
      <c r="BY185" s="15"/>
      <c r="BZ185" s="15" t="s">
        <v>157</v>
      </c>
      <c r="CA185" s="15" t="s">
        <v>269</v>
      </c>
      <c r="CB185" s="15" t="s">
        <v>51</v>
      </c>
      <c r="CC185" s="15" t="s">
        <v>965</v>
      </c>
      <c r="CD185" s="15" t="s">
        <v>392</v>
      </c>
      <c r="CE185" s="15" t="s">
        <v>396</v>
      </c>
      <c r="CF185" s="15" t="s">
        <v>398</v>
      </c>
      <c r="CG185" s="15" t="s">
        <v>856</v>
      </c>
      <c r="CH185" s="15" t="s">
        <v>159</v>
      </c>
      <c r="CI185" s="13">
        <v>1</v>
      </c>
      <c r="CJ185" s="13" t="str">
        <f t="shared" si="220"/>
        <v>GAS_ENQ_NO-826</v>
      </c>
      <c r="CK185" s="15" t="s">
        <v>779</v>
      </c>
      <c r="CL185" s="15" t="s">
        <v>391</v>
      </c>
      <c r="CM185" s="15" t="s">
        <v>390</v>
      </c>
      <c r="CN185" s="13" t="s">
        <v>780</v>
      </c>
      <c r="CO185" s="13" t="str">
        <f t="shared" si="221"/>
        <v>GAS_JOB_ID-826</v>
      </c>
      <c r="CP185" s="15"/>
      <c r="CQ185" s="13" t="str">
        <f t="shared" si="222"/>
        <v>10000826</v>
      </c>
      <c r="CR185" s="13" t="s">
        <v>154</v>
      </c>
      <c r="CS185" s="15" t="s">
        <v>51</v>
      </c>
      <c r="CT185" s="227" t="str">
        <f t="shared" si="223"/>
        <v>GMETER826</v>
      </c>
      <c r="CU185" s="13" t="s">
        <v>161</v>
      </c>
      <c r="CV185" s="15" t="s">
        <v>165</v>
      </c>
      <c r="CW185" s="15" t="s">
        <v>414</v>
      </c>
      <c r="CX185" s="15"/>
      <c r="CY185" s="15"/>
      <c r="CZ185" s="15" t="s">
        <v>394</v>
      </c>
      <c r="DA185" s="15" t="s">
        <v>395</v>
      </c>
      <c r="DB185" s="13" t="str">
        <f t="shared" si="163"/>
        <v>GAS_INST_ID-826</v>
      </c>
      <c r="DC185" s="15" t="s">
        <v>161</v>
      </c>
      <c r="DD185" s="15"/>
      <c r="DE185" s="15" t="s">
        <v>51</v>
      </c>
      <c r="DF185" s="15" t="s">
        <v>264</v>
      </c>
      <c r="DG185" s="15"/>
      <c r="DH185" s="15" t="s">
        <v>397</v>
      </c>
      <c r="DI185" s="15" t="s">
        <v>399</v>
      </c>
      <c r="DJ185" s="15" t="s">
        <v>856</v>
      </c>
      <c r="DK185" s="15" t="s">
        <v>140</v>
      </c>
      <c r="DL185" s="228"/>
      <c r="DM185" s="228"/>
      <c r="DN185" s="13" t="str">
        <f t="shared" si="164"/>
        <v>DS_Pass-826</v>
      </c>
      <c r="DO185" s="15"/>
      <c r="DP185" s="15"/>
      <c r="DQ185" s="15"/>
      <c r="DR185" s="13"/>
      <c r="DS185" s="13"/>
      <c r="DT185" s="15" t="s">
        <v>52</v>
      </c>
      <c r="DU185" s="15"/>
      <c r="DV185" s="15"/>
      <c r="DW185" s="13"/>
      <c r="DX185" s="15" t="s">
        <v>54</v>
      </c>
      <c r="DY185" s="15" t="s">
        <v>61</v>
      </c>
      <c r="DZ185" s="15" t="s">
        <v>402</v>
      </c>
      <c r="EA185" s="135" t="str">
        <f t="shared" si="224"/>
        <v>826CUSTOMER_ADDRESSEXCH9 ROADCUSTOMER_ADDRESSTESTINGHAMCUSTOMER_ADDRESSTESTINGHAMSHIRE</v>
      </c>
      <c r="EB185" s="15" t="s">
        <v>856</v>
      </c>
      <c r="EC185" s="228"/>
      <c r="ED185" s="228"/>
      <c r="EE185" s="228"/>
    </row>
    <row r="186" spans="1:135" s="229" customFormat="1">
      <c r="A186" s="219" t="s">
        <v>1005</v>
      </c>
      <c r="B186" s="219" t="s">
        <v>892</v>
      </c>
      <c r="C186" s="219" t="s">
        <v>865</v>
      </c>
      <c r="D186" s="13">
        <f>'Run Parameters'!$B$1 + ROW()-1</f>
        <v>827</v>
      </c>
      <c r="E186" s="15" t="s">
        <v>47</v>
      </c>
      <c r="F186" s="13" t="s">
        <v>857</v>
      </c>
      <c r="G186" s="13" t="str">
        <f t="shared" si="203"/>
        <v>Access Dtls-827</v>
      </c>
      <c r="H186" s="15" t="s">
        <v>275</v>
      </c>
      <c r="I186" s="13" t="str">
        <f>("MR. Test_177_EXCH9_"&amp;D186&amp;"")</f>
        <v>MR. Test_177_EXCH9_827</v>
      </c>
      <c r="J186" s="13"/>
      <c r="K186" s="19" t="s">
        <v>425</v>
      </c>
      <c r="L186" s="13" t="str">
        <f t="shared" si="204"/>
        <v>Cust. Ref-827</v>
      </c>
      <c r="M186" s="15" t="s">
        <v>48</v>
      </c>
      <c r="N186" s="15" t="s">
        <v>425</v>
      </c>
      <c r="O186" s="13"/>
      <c r="P186" s="13" t="str">
        <f t="shared" si="205"/>
        <v>SN-827</v>
      </c>
      <c r="Q186" s="13" t="str">
        <f t="shared" si="206"/>
        <v>SI-827</v>
      </c>
      <c r="R186" s="13" t="str">
        <f t="shared" si="207"/>
        <v>SE-827</v>
      </c>
      <c r="S186" s="135" t="str">
        <f t="shared" si="208"/>
        <v>Prev_RA-827</v>
      </c>
      <c r="T186" s="135" t="str">
        <f t="shared" si="209"/>
        <v>Prev_Comms-827</v>
      </c>
      <c r="U186" s="15" t="s">
        <v>75</v>
      </c>
      <c r="V186" s="15" t="s">
        <v>401</v>
      </c>
      <c r="W186" s="15" t="s">
        <v>75</v>
      </c>
      <c r="X186" s="15" t="s">
        <v>396</v>
      </c>
      <c r="Y186" s="13" t="str">
        <f t="shared" si="210"/>
        <v>Forward Add-827</v>
      </c>
      <c r="Z186" s="15" t="s">
        <v>401</v>
      </c>
      <c r="AA186" s="136" t="str">
        <f>'Run Parameters'!$B$2</f>
        <v>2018-08-13 08:00</v>
      </c>
      <c r="AB186" s="223" t="str">
        <f>'Run Parameters'!B$3</f>
        <v>2018-08-13 18:00</v>
      </c>
      <c r="AC186" s="26">
        <f>('Run Parameters'!$B$2) - 7</f>
        <v>43318.333333333336</v>
      </c>
      <c r="AD186" s="15" t="s">
        <v>75</v>
      </c>
      <c r="AE186" s="13" t="str">
        <f t="shared" si="211"/>
        <v>LAST_METER-827</v>
      </c>
      <c r="AF186" s="136" t="str">
        <f>'Run Parameters'!$B$2</f>
        <v>2018-08-13 08:00</v>
      </c>
      <c r="AG186" s="13" t="str">
        <f>'Run Parameters'!B$4</f>
        <v>AUTOTEST2</v>
      </c>
      <c r="AH186" s="135" t="str">
        <f t="shared" si="212"/>
        <v>Site_Contact_827</v>
      </c>
      <c r="AI186" s="136" t="str">
        <f>'Run Parameters'!B$2</f>
        <v>2018-08-13 08:00</v>
      </c>
      <c r="AJ186" s="223" t="str">
        <f>'Run Parameters'!B$3</f>
        <v>2018-08-13 18:00</v>
      </c>
      <c r="AK186" s="13" t="s">
        <v>396</v>
      </c>
      <c r="AL186" s="135" t="str">
        <f t="shared" si="213"/>
        <v>01159827</v>
      </c>
      <c r="AM186" s="13" t="str">
        <f t="shared" si="214"/>
        <v>0115827</v>
      </c>
      <c r="AN186" s="15"/>
      <c r="AO186" s="15"/>
      <c r="AP186" s="13">
        <v>1</v>
      </c>
      <c r="AQ186" s="15" t="s">
        <v>49</v>
      </c>
      <c r="AR186" s="15"/>
      <c r="AS186" s="13"/>
      <c r="AT186" s="15" t="s">
        <v>400</v>
      </c>
      <c r="AU186" s="15"/>
      <c r="AV186" s="13">
        <f t="shared" si="215"/>
        <v>827</v>
      </c>
      <c r="AW186" s="13" t="s">
        <v>858</v>
      </c>
      <c r="AX186" s="13" t="s">
        <v>420</v>
      </c>
      <c r="AY186" s="13" t="s">
        <v>421</v>
      </c>
      <c r="AZ186" s="15" t="s">
        <v>334</v>
      </c>
      <c r="BA186" s="15" t="s">
        <v>154</v>
      </c>
      <c r="BB186" s="13">
        <v>1</v>
      </c>
      <c r="BC186" s="13">
        <f t="shared" si="216"/>
        <v>827</v>
      </c>
      <c r="BD186" s="15" t="s">
        <v>962</v>
      </c>
      <c r="BE186" s="15" t="s">
        <v>390</v>
      </c>
      <c r="BF186" s="15" t="s">
        <v>390</v>
      </c>
      <c r="BG186" s="13" t="s">
        <v>857</v>
      </c>
      <c r="BH186" s="13" t="str">
        <f t="shared" si="217"/>
        <v>827_1</v>
      </c>
      <c r="BI186" s="13"/>
      <c r="BJ186" s="13" t="str">
        <f t="shared" si="218"/>
        <v>10000000827</v>
      </c>
      <c r="BK186" s="15" t="s">
        <v>51</v>
      </c>
      <c r="BL186" s="15" t="s">
        <v>54</v>
      </c>
      <c r="BM186" s="13" t="s">
        <v>277</v>
      </c>
      <c r="BN186" s="15" t="s">
        <v>51</v>
      </c>
      <c r="BO186" s="13" t="str">
        <f t="shared" si="219"/>
        <v>S05S827</v>
      </c>
      <c r="BP186" s="15" t="s">
        <v>392</v>
      </c>
      <c r="BQ186" s="15" t="s">
        <v>392</v>
      </c>
      <c r="BR186" s="13" t="s">
        <v>159</v>
      </c>
      <c r="BS186" s="15" t="s">
        <v>963</v>
      </c>
      <c r="BT186" s="15" t="s">
        <v>964</v>
      </c>
      <c r="BU186" s="15" t="s">
        <v>393</v>
      </c>
      <c r="BV186" s="15" t="s">
        <v>51</v>
      </c>
      <c r="BW186" s="15" t="s">
        <v>154</v>
      </c>
      <c r="BX186" s="15"/>
      <c r="BY186" s="15"/>
      <c r="BZ186" s="15" t="s">
        <v>157</v>
      </c>
      <c r="CA186" s="15" t="s">
        <v>269</v>
      </c>
      <c r="CB186" s="15" t="s">
        <v>51</v>
      </c>
      <c r="CC186" s="15" t="s">
        <v>965</v>
      </c>
      <c r="CD186" s="15" t="s">
        <v>392</v>
      </c>
      <c r="CE186" s="15" t="s">
        <v>396</v>
      </c>
      <c r="CF186" s="15" t="s">
        <v>398</v>
      </c>
      <c r="CG186" s="15" t="s">
        <v>856</v>
      </c>
      <c r="CH186" s="15" t="s">
        <v>159</v>
      </c>
      <c r="CI186" s="13">
        <v>1</v>
      </c>
      <c r="CJ186" s="13" t="str">
        <f t="shared" si="220"/>
        <v>GAS_ENQ_NO-827</v>
      </c>
      <c r="CK186" s="15" t="s">
        <v>779</v>
      </c>
      <c r="CL186" s="15" t="s">
        <v>391</v>
      </c>
      <c r="CM186" s="15" t="s">
        <v>390</v>
      </c>
      <c r="CN186" s="13" t="s">
        <v>780</v>
      </c>
      <c r="CO186" s="13" t="str">
        <f t="shared" si="221"/>
        <v>GAS_JOB_ID-827</v>
      </c>
      <c r="CP186" s="15"/>
      <c r="CQ186" s="13" t="str">
        <f t="shared" si="222"/>
        <v>10000827</v>
      </c>
      <c r="CR186" s="13" t="s">
        <v>154</v>
      </c>
      <c r="CS186" s="15" t="s">
        <v>51</v>
      </c>
      <c r="CT186" s="227" t="str">
        <f t="shared" si="223"/>
        <v>GMETER827</v>
      </c>
      <c r="CU186" s="13" t="s">
        <v>161</v>
      </c>
      <c r="CV186" s="15" t="s">
        <v>165</v>
      </c>
      <c r="CW186" s="15" t="s">
        <v>414</v>
      </c>
      <c r="CX186" s="15"/>
      <c r="CY186" s="15"/>
      <c r="CZ186" s="15" t="s">
        <v>394</v>
      </c>
      <c r="DA186" s="15" t="s">
        <v>395</v>
      </c>
      <c r="DB186" s="13" t="str">
        <f t="shared" si="163"/>
        <v>GAS_INST_ID-827</v>
      </c>
      <c r="DC186" s="15" t="s">
        <v>161</v>
      </c>
      <c r="DD186" s="15"/>
      <c r="DE186" s="15" t="s">
        <v>51</v>
      </c>
      <c r="DF186" s="15" t="s">
        <v>264</v>
      </c>
      <c r="DG186" s="15"/>
      <c r="DH186" s="15" t="s">
        <v>397</v>
      </c>
      <c r="DI186" s="15" t="s">
        <v>399</v>
      </c>
      <c r="DJ186" s="15" t="s">
        <v>856</v>
      </c>
      <c r="DK186" s="15" t="s">
        <v>140</v>
      </c>
      <c r="DL186" s="228"/>
      <c r="DM186" s="228"/>
      <c r="DN186" s="13" t="str">
        <f t="shared" si="164"/>
        <v>DS_Pass-827</v>
      </c>
      <c r="DO186" s="15"/>
      <c r="DP186" s="15"/>
      <c r="DQ186" s="15"/>
      <c r="DR186" s="13"/>
      <c r="DS186" s="13"/>
      <c r="DT186" s="15" t="s">
        <v>52</v>
      </c>
      <c r="DU186" s="15"/>
      <c r="DV186" s="15"/>
      <c r="DW186" s="13"/>
      <c r="DX186" s="15" t="s">
        <v>54</v>
      </c>
      <c r="DY186" s="15" t="s">
        <v>61</v>
      </c>
      <c r="DZ186" s="15" t="s">
        <v>402</v>
      </c>
      <c r="EA186" s="135" t="str">
        <f t="shared" si="224"/>
        <v>827CUSTOMER_ADDRESSEXCH9 ROADCUSTOMER_ADDRESSTESTINGHAMCUSTOMER_ADDRESSTESTINGHAMSHIRE</v>
      </c>
      <c r="EB186" s="15" t="s">
        <v>856</v>
      </c>
      <c r="EC186" s="228"/>
      <c r="ED186" s="228"/>
      <c r="EE186" s="228"/>
    </row>
    <row r="187" spans="1:135" s="229" customFormat="1">
      <c r="A187" s="219" t="s">
        <v>1006</v>
      </c>
      <c r="B187" s="219" t="s">
        <v>868</v>
      </c>
      <c r="C187" s="219" t="s">
        <v>865</v>
      </c>
      <c r="D187" s="13">
        <f>'Run Parameters'!$B$1 + ROW()-1</f>
        <v>828</v>
      </c>
      <c r="E187" s="15" t="s">
        <v>47</v>
      </c>
      <c r="F187" s="13" t="s">
        <v>857</v>
      </c>
      <c r="G187" s="13" t="str">
        <f t="shared" si="203"/>
        <v>Access Dtls-828</v>
      </c>
      <c r="H187" s="15" t="s">
        <v>275</v>
      </c>
      <c r="I187" s="13" t="str">
        <f>("MR. Test_178_EXCH9_"&amp;D187&amp;"")</f>
        <v>MR. Test_178_EXCH9_828</v>
      </c>
      <c r="J187" s="13"/>
      <c r="K187" s="19" t="s">
        <v>425</v>
      </c>
      <c r="L187" s="13" t="str">
        <f t="shared" si="204"/>
        <v>Cust. Ref-828</v>
      </c>
      <c r="M187" s="15" t="s">
        <v>48</v>
      </c>
      <c r="N187" s="15" t="s">
        <v>425</v>
      </c>
      <c r="O187" s="13"/>
      <c r="P187" s="13" t="str">
        <f t="shared" si="205"/>
        <v>SN-828</v>
      </c>
      <c r="Q187" s="13" t="str">
        <f t="shared" si="206"/>
        <v>SI-828</v>
      </c>
      <c r="R187" s="13" t="str">
        <f t="shared" si="207"/>
        <v>SE-828</v>
      </c>
      <c r="S187" s="135" t="str">
        <f t="shared" si="208"/>
        <v>Prev_RA-828</v>
      </c>
      <c r="T187" s="135" t="str">
        <f t="shared" si="209"/>
        <v>Prev_Comms-828</v>
      </c>
      <c r="U187" s="15" t="s">
        <v>75</v>
      </c>
      <c r="V187" s="15" t="s">
        <v>401</v>
      </c>
      <c r="W187" s="15" t="s">
        <v>75</v>
      </c>
      <c r="X187" s="15" t="s">
        <v>396</v>
      </c>
      <c r="Y187" s="13" t="str">
        <f t="shared" si="210"/>
        <v>Forward Add-828</v>
      </c>
      <c r="Z187" s="15" t="s">
        <v>401</v>
      </c>
      <c r="AA187" s="136" t="str">
        <f>'Run Parameters'!$B$2</f>
        <v>2018-08-13 08:00</v>
      </c>
      <c r="AB187" s="223" t="str">
        <f>'Run Parameters'!B$3</f>
        <v>2018-08-13 18:00</v>
      </c>
      <c r="AC187" s="26">
        <f>('Run Parameters'!$B$2) - 7</f>
        <v>43318.333333333336</v>
      </c>
      <c r="AD187" s="15" t="s">
        <v>75</v>
      </c>
      <c r="AE187" s="13" t="str">
        <f t="shared" si="211"/>
        <v>LAST_METER-828</v>
      </c>
      <c r="AF187" s="136" t="str">
        <f>'Run Parameters'!$B$2</f>
        <v>2018-08-13 08:00</v>
      </c>
      <c r="AG187" s="13" t="str">
        <f>'Run Parameters'!B$4</f>
        <v>AUTOTEST2</v>
      </c>
      <c r="AH187" s="135" t="str">
        <f t="shared" si="212"/>
        <v>Site_Contact_828</v>
      </c>
      <c r="AI187" s="136" t="str">
        <f>'Run Parameters'!B$2</f>
        <v>2018-08-13 08:00</v>
      </c>
      <c r="AJ187" s="223" t="str">
        <f>'Run Parameters'!B$3</f>
        <v>2018-08-13 18:00</v>
      </c>
      <c r="AK187" s="13" t="s">
        <v>396</v>
      </c>
      <c r="AL187" s="135" t="str">
        <f t="shared" si="213"/>
        <v>01159828</v>
      </c>
      <c r="AM187" s="13" t="str">
        <f t="shared" si="214"/>
        <v>0115828</v>
      </c>
      <c r="AN187" s="15"/>
      <c r="AO187" s="15"/>
      <c r="AP187" s="13">
        <v>1</v>
      </c>
      <c r="AQ187" s="15" t="s">
        <v>49</v>
      </c>
      <c r="AR187" s="15"/>
      <c r="AS187" s="13"/>
      <c r="AT187" s="15" t="s">
        <v>400</v>
      </c>
      <c r="AU187" s="15"/>
      <c r="AV187" s="13">
        <f t="shared" si="215"/>
        <v>828</v>
      </c>
      <c r="AW187" s="13" t="s">
        <v>858</v>
      </c>
      <c r="AX187" s="13" t="s">
        <v>420</v>
      </c>
      <c r="AY187" s="13" t="s">
        <v>421</v>
      </c>
      <c r="AZ187" s="15" t="s">
        <v>334</v>
      </c>
      <c r="BA187" s="15" t="s">
        <v>154</v>
      </c>
      <c r="BB187" s="13">
        <v>1</v>
      </c>
      <c r="BC187" s="13">
        <f t="shared" si="216"/>
        <v>828</v>
      </c>
      <c r="BD187" s="15" t="s">
        <v>962</v>
      </c>
      <c r="BE187" s="15" t="s">
        <v>390</v>
      </c>
      <c r="BF187" s="15" t="s">
        <v>390</v>
      </c>
      <c r="BG187" s="13" t="s">
        <v>857</v>
      </c>
      <c r="BH187" s="13" t="str">
        <f t="shared" si="217"/>
        <v>828_1</v>
      </c>
      <c r="BI187" s="13"/>
      <c r="BJ187" s="13" t="str">
        <f t="shared" si="218"/>
        <v>10000000828</v>
      </c>
      <c r="BK187" s="15" t="s">
        <v>51</v>
      </c>
      <c r="BL187" s="15" t="s">
        <v>54</v>
      </c>
      <c r="BM187" s="13" t="s">
        <v>277</v>
      </c>
      <c r="BN187" s="15" t="s">
        <v>51</v>
      </c>
      <c r="BO187" s="13" t="str">
        <f t="shared" si="219"/>
        <v>S05S828</v>
      </c>
      <c r="BP187" s="15" t="s">
        <v>392</v>
      </c>
      <c r="BQ187" s="15" t="s">
        <v>392</v>
      </c>
      <c r="BR187" s="13" t="s">
        <v>159</v>
      </c>
      <c r="BS187" s="15" t="s">
        <v>963</v>
      </c>
      <c r="BT187" s="15" t="s">
        <v>964</v>
      </c>
      <c r="BU187" s="15" t="s">
        <v>393</v>
      </c>
      <c r="BV187" s="15" t="s">
        <v>51</v>
      </c>
      <c r="BW187" s="15" t="s">
        <v>154</v>
      </c>
      <c r="BX187" s="15"/>
      <c r="BY187" s="15"/>
      <c r="BZ187" s="15" t="s">
        <v>157</v>
      </c>
      <c r="CA187" s="15" t="s">
        <v>269</v>
      </c>
      <c r="CB187" s="15" t="s">
        <v>51</v>
      </c>
      <c r="CC187" s="15" t="s">
        <v>965</v>
      </c>
      <c r="CD187" s="15" t="s">
        <v>392</v>
      </c>
      <c r="CE187" s="15" t="s">
        <v>396</v>
      </c>
      <c r="CF187" s="15" t="s">
        <v>398</v>
      </c>
      <c r="CG187" s="15" t="s">
        <v>856</v>
      </c>
      <c r="CH187" s="15" t="s">
        <v>159</v>
      </c>
      <c r="CI187" s="13">
        <v>1</v>
      </c>
      <c r="CJ187" s="13" t="str">
        <f t="shared" si="220"/>
        <v>GAS_ENQ_NO-828</v>
      </c>
      <c r="CK187" s="15" t="s">
        <v>779</v>
      </c>
      <c r="CL187" s="15" t="s">
        <v>391</v>
      </c>
      <c r="CM187" s="15" t="s">
        <v>390</v>
      </c>
      <c r="CN187" s="13" t="s">
        <v>780</v>
      </c>
      <c r="CO187" s="13" t="str">
        <f t="shared" si="221"/>
        <v>GAS_JOB_ID-828</v>
      </c>
      <c r="CP187" s="15"/>
      <c r="CQ187" s="13" t="str">
        <f t="shared" si="222"/>
        <v>10000828</v>
      </c>
      <c r="CR187" s="13" t="s">
        <v>154</v>
      </c>
      <c r="CS187" s="15" t="s">
        <v>51</v>
      </c>
      <c r="CT187" s="227" t="str">
        <f t="shared" si="223"/>
        <v>GMETER828</v>
      </c>
      <c r="CU187" s="13" t="s">
        <v>161</v>
      </c>
      <c r="CV187" s="15" t="s">
        <v>165</v>
      </c>
      <c r="CW187" s="15" t="s">
        <v>414</v>
      </c>
      <c r="CX187" s="15"/>
      <c r="CY187" s="15"/>
      <c r="CZ187" s="15" t="s">
        <v>394</v>
      </c>
      <c r="DA187" s="15" t="s">
        <v>395</v>
      </c>
      <c r="DB187" s="13" t="str">
        <f t="shared" si="163"/>
        <v>GAS_INST_ID-828</v>
      </c>
      <c r="DC187" s="15" t="s">
        <v>161</v>
      </c>
      <c r="DD187" s="15"/>
      <c r="DE187" s="15" t="s">
        <v>51</v>
      </c>
      <c r="DF187" s="15" t="s">
        <v>264</v>
      </c>
      <c r="DG187" s="15"/>
      <c r="DH187" s="15" t="s">
        <v>397</v>
      </c>
      <c r="DI187" s="15" t="s">
        <v>399</v>
      </c>
      <c r="DJ187" s="15" t="s">
        <v>856</v>
      </c>
      <c r="DK187" s="15" t="s">
        <v>140</v>
      </c>
      <c r="DL187" s="228"/>
      <c r="DM187" s="228"/>
      <c r="DN187" s="13" t="str">
        <f t="shared" si="164"/>
        <v>DS_Pass-828</v>
      </c>
      <c r="DO187" s="15"/>
      <c r="DP187" s="15"/>
      <c r="DQ187" s="15"/>
      <c r="DR187" s="13"/>
      <c r="DS187" s="13"/>
      <c r="DT187" s="15" t="s">
        <v>52</v>
      </c>
      <c r="DU187" s="15"/>
      <c r="DV187" s="15"/>
      <c r="DW187" s="13"/>
      <c r="DX187" s="15" t="s">
        <v>54</v>
      </c>
      <c r="DY187" s="15" t="s">
        <v>61</v>
      </c>
      <c r="DZ187" s="15" t="s">
        <v>402</v>
      </c>
      <c r="EA187" s="135" t="str">
        <f t="shared" si="224"/>
        <v>828CUSTOMER_ADDRESSEXCH9 ROADCUSTOMER_ADDRESSTESTINGHAMCUSTOMER_ADDRESSTESTINGHAMSHIRE</v>
      </c>
      <c r="EB187" s="15" t="s">
        <v>856</v>
      </c>
      <c r="EC187" s="228"/>
      <c r="ED187" s="228"/>
      <c r="EE187" s="228"/>
    </row>
    <row r="188" spans="1:135" s="229" customFormat="1">
      <c r="A188" s="219" t="s">
        <v>1007</v>
      </c>
      <c r="B188" s="219" t="s">
        <v>892</v>
      </c>
      <c r="C188" s="219" t="s">
        <v>865</v>
      </c>
      <c r="D188" s="13">
        <f>'Run Parameters'!$B$1 + ROW()-1</f>
        <v>829</v>
      </c>
      <c r="E188" s="15" t="s">
        <v>47</v>
      </c>
      <c r="F188" s="13" t="s">
        <v>857</v>
      </c>
      <c r="G188" s="13" t="str">
        <f t="shared" si="203"/>
        <v>Access Dtls-829</v>
      </c>
      <c r="H188" s="15" t="s">
        <v>275</v>
      </c>
      <c r="I188" s="13" t="str">
        <f>("MR. Test_179_EXCH9_"&amp;D188&amp;"")</f>
        <v>MR. Test_179_EXCH9_829</v>
      </c>
      <c r="J188" s="13"/>
      <c r="K188" s="19" t="s">
        <v>425</v>
      </c>
      <c r="L188" s="13" t="str">
        <f t="shared" si="204"/>
        <v>Cust. Ref-829</v>
      </c>
      <c r="M188" s="15" t="s">
        <v>48</v>
      </c>
      <c r="N188" s="15" t="s">
        <v>425</v>
      </c>
      <c r="O188" s="13"/>
      <c r="P188" s="13" t="str">
        <f t="shared" si="205"/>
        <v>SN-829</v>
      </c>
      <c r="Q188" s="13" t="str">
        <f t="shared" si="206"/>
        <v>SI-829</v>
      </c>
      <c r="R188" s="13" t="str">
        <f t="shared" si="207"/>
        <v>SE-829</v>
      </c>
      <c r="S188" s="135" t="str">
        <f t="shared" si="208"/>
        <v>Prev_RA-829</v>
      </c>
      <c r="T188" s="135" t="str">
        <f t="shared" si="209"/>
        <v>Prev_Comms-829</v>
      </c>
      <c r="U188" s="15" t="s">
        <v>75</v>
      </c>
      <c r="V188" s="15" t="s">
        <v>401</v>
      </c>
      <c r="W188" s="15" t="s">
        <v>75</v>
      </c>
      <c r="X188" s="15" t="s">
        <v>396</v>
      </c>
      <c r="Y188" s="13" t="str">
        <f t="shared" si="210"/>
        <v>Forward Add-829</v>
      </c>
      <c r="Z188" s="15" t="s">
        <v>401</v>
      </c>
      <c r="AA188" s="136" t="str">
        <f>'Run Parameters'!$B$2</f>
        <v>2018-08-13 08:00</v>
      </c>
      <c r="AB188" s="223" t="str">
        <f>'Run Parameters'!B$3</f>
        <v>2018-08-13 18:00</v>
      </c>
      <c r="AC188" s="26">
        <f>('Run Parameters'!$B$2) - 7</f>
        <v>43318.333333333336</v>
      </c>
      <c r="AD188" s="15" t="s">
        <v>75</v>
      </c>
      <c r="AE188" s="13" t="str">
        <f t="shared" si="211"/>
        <v>LAST_METER-829</v>
      </c>
      <c r="AF188" s="136" t="str">
        <f>'Run Parameters'!$B$2</f>
        <v>2018-08-13 08:00</v>
      </c>
      <c r="AG188" s="13" t="str">
        <f>'Run Parameters'!B$4</f>
        <v>AUTOTEST2</v>
      </c>
      <c r="AH188" s="135" t="str">
        <f t="shared" si="212"/>
        <v>Site_Contact_829</v>
      </c>
      <c r="AI188" s="136" t="str">
        <f>'Run Parameters'!B$2</f>
        <v>2018-08-13 08:00</v>
      </c>
      <c r="AJ188" s="223" t="str">
        <f>'Run Parameters'!B$3</f>
        <v>2018-08-13 18:00</v>
      </c>
      <c r="AK188" s="13" t="s">
        <v>396</v>
      </c>
      <c r="AL188" s="135" t="str">
        <f t="shared" si="213"/>
        <v>01159829</v>
      </c>
      <c r="AM188" s="13" t="str">
        <f t="shared" si="214"/>
        <v>0115829</v>
      </c>
      <c r="AN188" s="15"/>
      <c r="AO188" s="15"/>
      <c r="AP188" s="13">
        <v>1</v>
      </c>
      <c r="AQ188" s="15" t="s">
        <v>49</v>
      </c>
      <c r="AR188" s="15"/>
      <c r="AS188" s="13"/>
      <c r="AT188" s="15" t="s">
        <v>400</v>
      </c>
      <c r="AU188" s="15"/>
      <c r="AV188" s="13">
        <f t="shared" si="215"/>
        <v>829</v>
      </c>
      <c r="AW188" s="13" t="s">
        <v>858</v>
      </c>
      <c r="AX188" s="13" t="s">
        <v>420</v>
      </c>
      <c r="AY188" s="13" t="s">
        <v>421</v>
      </c>
      <c r="AZ188" s="15" t="s">
        <v>334</v>
      </c>
      <c r="BA188" s="15" t="s">
        <v>154</v>
      </c>
      <c r="BB188" s="13">
        <v>1</v>
      </c>
      <c r="BC188" s="13">
        <f t="shared" si="216"/>
        <v>829</v>
      </c>
      <c r="BD188" s="15" t="s">
        <v>962</v>
      </c>
      <c r="BE188" s="15" t="s">
        <v>390</v>
      </c>
      <c r="BF188" s="15" t="s">
        <v>390</v>
      </c>
      <c r="BG188" s="13" t="s">
        <v>857</v>
      </c>
      <c r="BH188" s="13" t="str">
        <f t="shared" si="217"/>
        <v>829_1</v>
      </c>
      <c r="BI188" s="13"/>
      <c r="BJ188" s="13" t="str">
        <f t="shared" si="218"/>
        <v>10000000829</v>
      </c>
      <c r="BK188" s="15" t="s">
        <v>51</v>
      </c>
      <c r="BL188" s="15" t="s">
        <v>54</v>
      </c>
      <c r="BM188" s="13" t="s">
        <v>277</v>
      </c>
      <c r="BN188" s="15" t="s">
        <v>51</v>
      </c>
      <c r="BO188" s="13" t="str">
        <f t="shared" si="219"/>
        <v>S05S829</v>
      </c>
      <c r="BP188" s="15" t="s">
        <v>392</v>
      </c>
      <c r="BQ188" s="15" t="s">
        <v>392</v>
      </c>
      <c r="BR188" s="13" t="s">
        <v>159</v>
      </c>
      <c r="BS188" s="15" t="s">
        <v>963</v>
      </c>
      <c r="BT188" s="15" t="s">
        <v>964</v>
      </c>
      <c r="BU188" s="15" t="s">
        <v>393</v>
      </c>
      <c r="BV188" s="15" t="s">
        <v>51</v>
      </c>
      <c r="BW188" s="15" t="s">
        <v>154</v>
      </c>
      <c r="BX188" s="15"/>
      <c r="BY188" s="15"/>
      <c r="BZ188" s="15" t="s">
        <v>157</v>
      </c>
      <c r="CA188" s="15" t="s">
        <v>269</v>
      </c>
      <c r="CB188" s="15" t="s">
        <v>51</v>
      </c>
      <c r="CC188" s="15" t="s">
        <v>965</v>
      </c>
      <c r="CD188" s="15" t="s">
        <v>392</v>
      </c>
      <c r="CE188" s="15" t="s">
        <v>396</v>
      </c>
      <c r="CF188" s="15" t="s">
        <v>398</v>
      </c>
      <c r="CG188" s="15" t="s">
        <v>856</v>
      </c>
      <c r="CH188" s="15" t="s">
        <v>159</v>
      </c>
      <c r="CI188" s="13">
        <v>1</v>
      </c>
      <c r="CJ188" s="13" t="str">
        <f t="shared" si="220"/>
        <v>GAS_ENQ_NO-829</v>
      </c>
      <c r="CK188" s="15" t="s">
        <v>779</v>
      </c>
      <c r="CL188" s="15" t="s">
        <v>391</v>
      </c>
      <c r="CM188" s="15" t="s">
        <v>390</v>
      </c>
      <c r="CN188" s="13" t="s">
        <v>780</v>
      </c>
      <c r="CO188" s="13" t="str">
        <f t="shared" si="221"/>
        <v>GAS_JOB_ID-829</v>
      </c>
      <c r="CP188" s="15"/>
      <c r="CQ188" s="13" t="str">
        <f t="shared" si="222"/>
        <v>10000829</v>
      </c>
      <c r="CR188" s="13" t="s">
        <v>154</v>
      </c>
      <c r="CS188" s="15" t="s">
        <v>51</v>
      </c>
      <c r="CT188" s="227" t="str">
        <f t="shared" si="223"/>
        <v>GMETER829</v>
      </c>
      <c r="CU188" s="13" t="s">
        <v>161</v>
      </c>
      <c r="CV188" s="15" t="s">
        <v>165</v>
      </c>
      <c r="CW188" s="15" t="s">
        <v>414</v>
      </c>
      <c r="CX188" s="15"/>
      <c r="CY188" s="15"/>
      <c r="CZ188" s="15" t="s">
        <v>394</v>
      </c>
      <c r="DA188" s="15" t="s">
        <v>395</v>
      </c>
      <c r="DB188" s="13" t="str">
        <f t="shared" si="163"/>
        <v>GAS_INST_ID-829</v>
      </c>
      <c r="DC188" s="15" t="s">
        <v>161</v>
      </c>
      <c r="DD188" s="15"/>
      <c r="DE188" s="15" t="s">
        <v>51</v>
      </c>
      <c r="DF188" s="15" t="s">
        <v>264</v>
      </c>
      <c r="DG188" s="15"/>
      <c r="DH188" s="15" t="s">
        <v>397</v>
      </c>
      <c r="DI188" s="15" t="s">
        <v>399</v>
      </c>
      <c r="DJ188" s="15" t="s">
        <v>856</v>
      </c>
      <c r="DK188" s="15" t="s">
        <v>140</v>
      </c>
      <c r="DL188" s="228"/>
      <c r="DM188" s="228"/>
      <c r="DN188" s="13" t="str">
        <f t="shared" si="164"/>
        <v>DS_Pass-829</v>
      </c>
      <c r="DO188" s="15"/>
      <c r="DP188" s="15"/>
      <c r="DQ188" s="15"/>
      <c r="DR188" s="13"/>
      <c r="DS188" s="13"/>
      <c r="DT188" s="15" t="s">
        <v>52</v>
      </c>
      <c r="DU188" s="15"/>
      <c r="DV188" s="15"/>
      <c r="DW188" s="13"/>
      <c r="DX188" s="15" t="s">
        <v>54</v>
      </c>
      <c r="DY188" s="15" t="s">
        <v>61</v>
      </c>
      <c r="DZ188" s="15" t="s">
        <v>402</v>
      </c>
      <c r="EA188" s="135" t="str">
        <f t="shared" si="224"/>
        <v>829CUSTOMER_ADDRESSEXCH9 ROADCUSTOMER_ADDRESSTESTINGHAMCUSTOMER_ADDRESSTESTINGHAMSHIRE</v>
      </c>
      <c r="EB188" s="15" t="s">
        <v>856</v>
      </c>
      <c r="EC188" s="228"/>
      <c r="ED188" s="228"/>
      <c r="EE188" s="228"/>
    </row>
    <row r="189" spans="1:135" s="229" customFormat="1">
      <c r="A189" s="219" t="s">
        <v>1008</v>
      </c>
      <c r="B189" s="219" t="s">
        <v>868</v>
      </c>
      <c r="C189" s="219" t="s">
        <v>865</v>
      </c>
      <c r="D189" s="13">
        <f>'Run Parameters'!$B$1 + ROW()-1</f>
        <v>830</v>
      </c>
      <c r="E189" s="15" t="s">
        <v>47</v>
      </c>
      <c r="F189" s="13" t="s">
        <v>857</v>
      </c>
      <c r="G189" s="13" t="str">
        <f t="shared" si="203"/>
        <v>Access Dtls-830</v>
      </c>
      <c r="H189" s="15" t="s">
        <v>275</v>
      </c>
      <c r="I189" s="13" t="str">
        <f>("MR. Test_180_EXCH9_"&amp;D189&amp;"")</f>
        <v>MR. Test_180_EXCH9_830</v>
      </c>
      <c r="J189" s="13"/>
      <c r="K189" s="19" t="s">
        <v>425</v>
      </c>
      <c r="L189" s="13" t="str">
        <f t="shared" si="204"/>
        <v>Cust. Ref-830</v>
      </c>
      <c r="M189" s="15" t="s">
        <v>48</v>
      </c>
      <c r="N189" s="15" t="s">
        <v>425</v>
      </c>
      <c r="O189" s="13"/>
      <c r="P189" s="13" t="str">
        <f t="shared" si="205"/>
        <v>SN-830</v>
      </c>
      <c r="Q189" s="13" t="str">
        <f t="shared" si="206"/>
        <v>SI-830</v>
      </c>
      <c r="R189" s="13" t="str">
        <f t="shared" si="207"/>
        <v>SE-830</v>
      </c>
      <c r="S189" s="135" t="str">
        <f t="shared" si="208"/>
        <v>Prev_RA-830</v>
      </c>
      <c r="T189" s="135" t="str">
        <f t="shared" si="209"/>
        <v>Prev_Comms-830</v>
      </c>
      <c r="U189" s="15" t="s">
        <v>75</v>
      </c>
      <c r="V189" s="15" t="s">
        <v>401</v>
      </c>
      <c r="W189" s="15" t="s">
        <v>75</v>
      </c>
      <c r="X189" s="15" t="s">
        <v>396</v>
      </c>
      <c r="Y189" s="13" t="str">
        <f t="shared" si="210"/>
        <v>Forward Add-830</v>
      </c>
      <c r="Z189" s="15" t="s">
        <v>401</v>
      </c>
      <c r="AA189" s="136" t="str">
        <f>'Run Parameters'!$B$2</f>
        <v>2018-08-13 08:00</v>
      </c>
      <c r="AB189" s="223" t="str">
        <f>'Run Parameters'!B$3</f>
        <v>2018-08-13 18:00</v>
      </c>
      <c r="AC189" s="26">
        <f>('Run Parameters'!$B$2) - 7</f>
        <v>43318.333333333336</v>
      </c>
      <c r="AD189" s="15" t="s">
        <v>75</v>
      </c>
      <c r="AE189" s="13" t="str">
        <f t="shared" si="211"/>
        <v>LAST_METER-830</v>
      </c>
      <c r="AF189" s="136" t="str">
        <f>'Run Parameters'!$B$2</f>
        <v>2018-08-13 08:00</v>
      </c>
      <c r="AG189" s="13" t="str">
        <f>'Run Parameters'!B$4</f>
        <v>AUTOTEST2</v>
      </c>
      <c r="AH189" s="135" t="str">
        <f t="shared" si="212"/>
        <v>Site_Contact_830</v>
      </c>
      <c r="AI189" s="136" t="str">
        <f>'Run Parameters'!B$2</f>
        <v>2018-08-13 08:00</v>
      </c>
      <c r="AJ189" s="223" t="str">
        <f>'Run Parameters'!B$3</f>
        <v>2018-08-13 18:00</v>
      </c>
      <c r="AK189" s="13" t="s">
        <v>396</v>
      </c>
      <c r="AL189" s="135" t="str">
        <f t="shared" si="213"/>
        <v>01159830</v>
      </c>
      <c r="AM189" s="13" t="str">
        <f t="shared" si="214"/>
        <v>0115830</v>
      </c>
      <c r="AN189" s="15"/>
      <c r="AO189" s="15"/>
      <c r="AP189" s="13">
        <v>1</v>
      </c>
      <c r="AQ189" s="15" t="s">
        <v>49</v>
      </c>
      <c r="AR189" s="15"/>
      <c r="AS189" s="13"/>
      <c r="AT189" s="15" t="s">
        <v>400</v>
      </c>
      <c r="AU189" s="15"/>
      <c r="AV189" s="13">
        <f t="shared" si="215"/>
        <v>830</v>
      </c>
      <c r="AW189" s="13" t="s">
        <v>858</v>
      </c>
      <c r="AX189" s="13" t="s">
        <v>420</v>
      </c>
      <c r="AY189" s="13" t="s">
        <v>421</v>
      </c>
      <c r="AZ189" s="15" t="s">
        <v>334</v>
      </c>
      <c r="BA189" s="15" t="s">
        <v>154</v>
      </c>
      <c r="BB189" s="13">
        <v>1</v>
      </c>
      <c r="BC189" s="13">
        <f t="shared" si="216"/>
        <v>830</v>
      </c>
      <c r="BD189" s="15" t="s">
        <v>962</v>
      </c>
      <c r="BE189" s="15" t="s">
        <v>390</v>
      </c>
      <c r="BF189" s="15" t="s">
        <v>390</v>
      </c>
      <c r="BG189" s="13" t="s">
        <v>857</v>
      </c>
      <c r="BH189" s="13" t="str">
        <f t="shared" si="217"/>
        <v>830_1</v>
      </c>
      <c r="BI189" s="13"/>
      <c r="BJ189" s="13" t="str">
        <f t="shared" si="218"/>
        <v>10000000830</v>
      </c>
      <c r="BK189" s="15" t="s">
        <v>51</v>
      </c>
      <c r="BL189" s="15" t="s">
        <v>54</v>
      </c>
      <c r="BM189" s="13" t="s">
        <v>277</v>
      </c>
      <c r="BN189" s="15" t="s">
        <v>51</v>
      </c>
      <c r="BO189" s="13" t="str">
        <f t="shared" si="219"/>
        <v>S05S830</v>
      </c>
      <c r="BP189" s="15" t="s">
        <v>392</v>
      </c>
      <c r="BQ189" s="15" t="s">
        <v>392</v>
      </c>
      <c r="BR189" s="13" t="s">
        <v>159</v>
      </c>
      <c r="BS189" s="15" t="s">
        <v>963</v>
      </c>
      <c r="BT189" s="15" t="s">
        <v>964</v>
      </c>
      <c r="BU189" s="15" t="s">
        <v>393</v>
      </c>
      <c r="BV189" s="15" t="s">
        <v>51</v>
      </c>
      <c r="BW189" s="15" t="s">
        <v>154</v>
      </c>
      <c r="BX189" s="15"/>
      <c r="BY189" s="15"/>
      <c r="BZ189" s="15" t="s">
        <v>157</v>
      </c>
      <c r="CA189" s="15" t="s">
        <v>269</v>
      </c>
      <c r="CB189" s="15" t="s">
        <v>51</v>
      </c>
      <c r="CC189" s="15" t="s">
        <v>965</v>
      </c>
      <c r="CD189" s="15" t="s">
        <v>392</v>
      </c>
      <c r="CE189" s="15" t="s">
        <v>396</v>
      </c>
      <c r="CF189" s="15" t="s">
        <v>398</v>
      </c>
      <c r="CG189" s="15" t="s">
        <v>856</v>
      </c>
      <c r="CH189" s="15" t="s">
        <v>159</v>
      </c>
      <c r="CI189" s="13">
        <v>1</v>
      </c>
      <c r="CJ189" s="13" t="str">
        <f t="shared" si="220"/>
        <v>GAS_ENQ_NO-830</v>
      </c>
      <c r="CK189" s="15" t="s">
        <v>779</v>
      </c>
      <c r="CL189" s="15" t="s">
        <v>391</v>
      </c>
      <c r="CM189" s="15" t="s">
        <v>390</v>
      </c>
      <c r="CN189" s="13" t="s">
        <v>780</v>
      </c>
      <c r="CO189" s="13" t="str">
        <f t="shared" si="221"/>
        <v>GAS_JOB_ID-830</v>
      </c>
      <c r="CP189" s="15"/>
      <c r="CQ189" s="13" t="str">
        <f t="shared" si="222"/>
        <v>10000830</v>
      </c>
      <c r="CR189" s="13" t="s">
        <v>154</v>
      </c>
      <c r="CS189" s="15" t="s">
        <v>51</v>
      </c>
      <c r="CT189" s="227" t="str">
        <f t="shared" si="223"/>
        <v>GMETER830</v>
      </c>
      <c r="CU189" s="13" t="s">
        <v>161</v>
      </c>
      <c r="CV189" s="15" t="s">
        <v>165</v>
      </c>
      <c r="CW189" s="15" t="s">
        <v>414</v>
      </c>
      <c r="CX189" s="15"/>
      <c r="CY189" s="15"/>
      <c r="CZ189" s="15" t="s">
        <v>394</v>
      </c>
      <c r="DA189" s="15" t="s">
        <v>395</v>
      </c>
      <c r="DB189" s="13" t="str">
        <f t="shared" si="163"/>
        <v>GAS_INST_ID-830</v>
      </c>
      <c r="DC189" s="15" t="s">
        <v>161</v>
      </c>
      <c r="DD189" s="15"/>
      <c r="DE189" s="15" t="s">
        <v>51</v>
      </c>
      <c r="DF189" s="15" t="s">
        <v>264</v>
      </c>
      <c r="DG189" s="15"/>
      <c r="DH189" s="15" t="s">
        <v>397</v>
      </c>
      <c r="DI189" s="15" t="s">
        <v>399</v>
      </c>
      <c r="DJ189" s="15" t="s">
        <v>856</v>
      </c>
      <c r="DK189" s="15" t="s">
        <v>140</v>
      </c>
      <c r="DL189" s="228"/>
      <c r="DM189" s="228"/>
      <c r="DN189" s="13" t="str">
        <f t="shared" si="164"/>
        <v>DS_Pass-830</v>
      </c>
      <c r="DO189" s="15"/>
      <c r="DP189" s="15"/>
      <c r="DQ189" s="15"/>
      <c r="DR189" s="13"/>
      <c r="DS189" s="13"/>
      <c r="DT189" s="15" t="s">
        <v>52</v>
      </c>
      <c r="DU189" s="15"/>
      <c r="DV189" s="15"/>
      <c r="DW189" s="13"/>
      <c r="DX189" s="15" t="s">
        <v>54</v>
      </c>
      <c r="DY189" s="15" t="s">
        <v>61</v>
      </c>
      <c r="DZ189" s="15" t="s">
        <v>402</v>
      </c>
      <c r="EA189" s="135" t="str">
        <f t="shared" si="224"/>
        <v>830CUSTOMER_ADDRESSEXCH9 ROADCUSTOMER_ADDRESSTESTINGHAMCUSTOMER_ADDRESSTESTINGHAMSHIRE</v>
      </c>
      <c r="EB189" s="15" t="s">
        <v>856</v>
      </c>
      <c r="EC189" s="228"/>
      <c r="ED189" s="228"/>
      <c r="EE189" s="228"/>
    </row>
    <row r="190" spans="1:135" s="229" customFormat="1">
      <c r="A190" s="219" t="s">
        <v>1009</v>
      </c>
      <c r="B190" s="219" t="s">
        <v>892</v>
      </c>
      <c r="C190" s="219" t="s">
        <v>865</v>
      </c>
      <c r="D190" s="13">
        <f>'Run Parameters'!$B$1 + ROW()-1</f>
        <v>831</v>
      </c>
      <c r="E190" s="15" t="s">
        <v>47</v>
      </c>
      <c r="F190" s="13" t="s">
        <v>857</v>
      </c>
      <c r="G190" s="13" t="str">
        <f t="shared" si="203"/>
        <v>Access Dtls-831</v>
      </c>
      <c r="H190" s="15" t="s">
        <v>275</v>
      </c>
      <c r="I190" s="13" t="str">
        <f>("MR. Test_181_EXCH9_"&amp;D190&amp;"")</f>
        <v>MR. Test_181_EXCH9_831</v>
      </c>
      <c r="J190" s="13"/>
      <c r="K190" s="19" t="s">
        <v>425</v>
      </c>
      <c r="L190" s="13" t="str">
        <f t="shared" si="204"/>
        <v>Cust. Ref-831</v>
      </c>
      <c r="M190" s="15" t="s">
        <v>48</v>
      </c>
      <c r="N190" s="15" t="s">
        <v>425</v>
      </c>
      <c r="O190" s="13"/>
      <c r="P190" s="13" t="str">
        <f t="shared" si="205"/>
        <v>SN-831</v>
      </c>
      <c r="Q190" s="13" t="str">
        <f t="shared" si="206"/>
        <v>SI-831</v>
      </c>
      <c r="R190" s="13" t="str">
        <f t="shared" si="207"/>
        <v>SE-831</v>
      </c>
      <c r="S190" s="135" t="str">
        <f t="shared" si="208"/>
        <v>Prev_RA-831</v>
      </c>
      <c r="T190" s="135" t="str">
        <f t="shared" si="209"/>
        <v>Prev_Comms-831</v>
      </c>
      <c r="U190" s="15" t="s">
        <v>75</v>
      </c>
      <c r="V190" s="15" t="s">
        <v>401</v>
      </c>
      <c r="W190" s="15" t="s">
        <v>75</v>
      </c>
      <c r="X190" s="15" t="s">
        <v>396</v>
      </c>
      <c r="Y190" s="13" t="str">
        <f t="shared" si="210"/>
        <v>Forward Add-831</v>
      </c>
      <c r="Z190" s="15" t="s">
        <v>401</v>
      </c>
      <c r="AA190" s="136" t="str">
        <f>'Run Parameters'!$B$2</f>
        <v>2018-08-13 08:00</v>
      </c>
      <c r="AB190" s="223" t="str">
        <f>'Run Parameters'!B$3</f>
        <v>2018-08-13 18:00</v>
      </c>
      <c r="AC190" s="26">
        <f>('Run Parameters'!$B$2) - 7</f>
        <v>43318.333333333336</v>
      </c>
      <c r="AD190" s="15" t="s">
        <v>75</v>
      </c>
      <c r="AE190" s="13" t="str">
        <f t="shared" si="211"/>
        <v>LAST_METER-831</v>
      </c>
      <c r="AF190" s="136" t="str">
        <f>'Run Parameters'!$B$2</f>
        <v>2018-08-13 08:00</v>
      </c>
      <c r="AG190" s="13" t="str">
        <f>'Run Parameters'!B$4</f>
        <v>AUTOTEST2</v>
      </c>
      <c r="AH190" s="135" t="str">
        <f t="shared" si="212"/>
        <v>Site_Contact_831</v>
      </c>
      <c r="AI190" s="136" t="str">
        <f>'Run Parameters'!B$2</f>
        <v>2018-08-13 08:00</v>
      </c>
      <c r="AJ190" s="223" t="str">
        <f>'Run Parameters'!B$3</f>
        <v>2018-08-13 18:00</v>
      </c>
      <c r="AK190" s="13" t="s">
        <v>396</v>
      </c>
      <c r="AL190" s="135" t="str">
        <f t="shared" si="213"/>
        <v>01159831</v>
      </c>
      <c r="AM190" s="13" t="str">
        <f t="shared" si="214"/>
        <v>0115831</v>
      </c>
      <c r="AN190" s="15"/>
      <c r="AO190" s="15"/>
      <c r="AP190" s="13">
        <v>1</v>
      </c>
      <c r="AQ190" s="15" t="s">
        <v>49</v>
      </c>
      <c r="AR190" s="15"/>
      <c r="AS190" s="13"/>
      <c r="AT190" s="15" t="s">
        <v>400</v>
      </c>
      <c r="AU190" s="15"/>
      <c r="AV190" s="13">
        <f t="shared" si="215"/>
        <v>831</v>
      </c>
      <c r="AW190" s="13" t="s">
        <v>858</v>
      </c>
      <c r="AX190" s="13" t="s">
        <v>420</v>
      </c>
      <c r="AY190" s="13" t="s">
        <v>421</v>
      </c>
      <c r="AZ190" s="15" t="s">
        <v>334</v>
      </c>
      <c r="BA190" s="15" t="s">
        <v>154</v>
      </c>
      <c r="BB190" s="13">
        <v>1</v>
      </c>
      <c r="BC190" s="13">
        <f t="shared" si="216"/>
        <v>831</v>
      </c>
      <c r="BD190" s="15" t="s">
        <v>962</v>
      </c>
      <c r="BE190" s="15" t="s">
        <v>390</v>
      </c>
      <c r="BF190" s="15" t="s">
        <v>390</v>
      </c>
      <c r="BG190" s="13" t="s">
        <v>857</v>
      </c>
      <c r="BH190" s="13" t="str">
        <f t="shared" si="217"/>
        <v>831_1</v>
      </c>
      <c r="BI190" s="13"/>
      <c r="BJ190" s="13" t="str">
        <f t="shared" si="218"/>
        <v>10000000831</v>
      </c>
      <c r="BK190" s="15" t="s">
        <v>51</v>
      </c>
      <c r="BL190" s="15" t="s">
        <v>54</v>
      </c>
      <c r="BM190" s="13" t="s">
        <v>277</v>
      </c>
      <c r="BN190" s="15" t="s">
        <v>51</v>
      </c>
      <c r="BO190" s="13" t="str">
        <f t="shared" si="219"/>
        <v>S05S831</v>
      </c>
      <c r="BP190" s="15" t="s">
        <v>392</v>
      </c>
      <c r="BQ190" s="15" t="s">
        <v>392</v>
      </c>
      <c r="BR190" s="13" t="s">
        <v>159</v>
      </c>
      <c r="BS190" s="15" t="s">
        <v>963</v>
      </c>
      <c r="BT190" s="15" t="s">
        <v>964</v>
      </c>
      <c r="BU190" s="15" t="s">
        <v>393</v>
      </c>
      <c r="BV190" s="15" t="s">
        <v>51</v>
      </c>
      <c r="BW190" s="15" t="s">
        <v>154</v>
      </c>
      <c r="BX190" s="15"/>
      <c r="BY190" s="15"/>
      <c r="BZ190" s="15" t="s">
        <v>157</v>
      </c>
      <c r="CA190" s="15" t="s">
        <v>269</v>
      </c>
      <c r="CB190" s="15" t="s">
        <v>51</v>
      </c>
      <c r="CC190" s="15" t="s">
        <v>965</v>
      </c>
      <c r="CD190" s="15" t="s">
        <v>392</v>
      </c>
      <c r="CE190" s="15" t="s">
        <v>396</v>
      </c>
      <c r="CF190" s="15" t="s">
        <v>398</v>
      </c>
      <c r="CG190" s="15" t="s">
        <v>856</v>
      </c>
      <c r="CH190" s="15" t="s">
        <v>159</v>
      </c>
      <c r="CI190" s="13">
        <v>1</v>
      </c>
      <c r="CJ190" s="13" t="str">
        <f t="shared" si="220"/>
        <v>GAS_ENQ_NO-831</v>
      </c>
      <c r="CK190" s="15" t="s">
        <v>779</v>
      </c>
      <c r="CL190" s="15" t="s">
        <v>391</v>
      </c>
      <c r="CM190" s="15" t="s">
        <v>390</v>
      </c>
      <c r="CN190" s="13" t="s">
        <v>780</v>
      </c>
      <c r="CO190" s="13" t="str">
        <f t="shared" si="221"/>
        <v>GAS_JOB_ID-831</v>
      </c>
      <c r="CP190" s="15"/>
      <c r="CQ190" s="13" t="str">
        <f t="shared" si="222"/>
        <v>10000831</v>
      </c>
      <c r="CR190" s="13" t="s">
        <v>154</v>
      </c>
      <c r="CS190" s="15" t="s">
        <v>51</v>
      </c>
      <c r="CT190" s="227" t="str">
        <f t="shared" si="223"/>
        <v>GMETER831</v>
      </c>
      <c r="CU190" s="13" t="s">
        <v>161</v>
      </c>
      <c r="CV190" s="15" t="s">
        <v>165</v>
      </c>
      <c r="CW190" s="15" t="s">
        <v>414</v>
      </c>
      <c r="CX190" s="15"/>
      <c r="CY190" s="15"/>
      <c r="CZ190" s="15" t="s">
        <v>394</v>
      </c>
      <c r="DA190" s="15" t="s">
        <v>395</v>
      </c>
      <c r="DB190" s="13" t="str">
        <f t="shared" si="163"/>
        <v>GAS_INST_ID-831</v>
      </c>
      <c r="DC190" s="15" t="s">
        <v>161</v>
      </c>
      <c r="DD190" s="15"/>
      <c r="DE190" s="15" t="s">
        <v>51</v>
      </c>
      <c r="DF190" s="15" t="s">
        <v>264</v>
      </c>
      <c r="DG190" s="15"/>
      <c r="DH190" s="15" t="s">
        <v>397</v>
      </c>
      <c r="DI190" s="15" t="s">
        <v>399</v>
      </c>
      <c r="DJ190" s="15" t="s">
        <v>856</v>
      </c>
      <c r="DK190" s="15" t="s">
        <v>140</v>
      </c>
      <c r="DL190" s="228"/>
      <c r="DM190" s="228"/>
      <c r="DN190" s="13" t="str">
        <f t="shared" si="164"/>
        <v>DS_Pass-831</v>
      </c>
      <c r="DO190" s="15"/>
      <c r="DP190" s="15"/>
      <c r="DQ190" s="15"/>
      <c r="DR190" s="13"/>
      <c r="DS190" s="13"/>
      <c r="DT190" s="15" t="s">
        <v>52</v>
      </c>
      <c r="DU190" s="15"/>
      <c r="DV190" s="15"/>
      <c r="DW190" s="13"/>
      <c r="DX190" s="15" t="s">
        <v>54</v>
      </c>
      <c r="DY190" s="15" t="s">
        <v>61</v>
      </c>
      <c r="DZ190" s="15" t="s">
        <v>402</v>
      </c>
      <c r="EA190" s="135" t="str">
        <f t="shared" si="224"/>
        <v>831CUSTOMER_ADDRESSEXCH9 ROADCUSTOMER_ADDRESSTESTINGHAMCUSTOMER_ADDRESSTESTINGHAMSHIRE</v>
      </c>
      <c r="EB190" s="15" t="s">
        <v>856</v>
      </c>
      <c r="EC190" s="228"/>
      <c r="ED190" s="228"/>
      <c r="EE190" s="228"/>
    </row>
    <row r="191" spans="1:135" s="229" customFormat="1">
      <c r="A191" s="219" t="s">
        <v>1086</v>
      </c>
      <c r="B191" s="219" t="s">
        <v>892</v>
      </c>
      <c r="C191" s="219" t="s">
        <v>865</v>
      </c>
      <c r="D191" s="13">
        <f>'Run Parameters'!$B$1 + ROW()-1</f>
        <v>832</v>
      </c>
      <c r="E191" s="15" t="s">
        <v>47</v>
      </c>
      <c r="F191" s="13" t="s">
        <v>857</v>
      </c>
      <c r="G191" s="13" t="str">
        <f t="shared" si="203"/>
        <v>Access Dtls-832</v>
      </c>
      <c r="H191" s="15" t="s">
        <v>275</v>
      </c>
      <c r="I191" s="13" t="str">
        <f>("MR. Test_182_EXCH9_"&amp;D191&amp;"")</f>
        <v>MR. Test_182_EXCH9_832</v>
      </c>
      <c r="J191" s="13"/>
      <c r="K191" s="19" t="s">
        <v>425</v>
      </c>
      <c r="L191" s="13" t="str">
        <f t="shared" si="204"/>
        <v>Cust. Ref-832</v>
      </c>
      <c r="M191" s="15" t="s">
        <v>48</v>
      </c>
      <c r="N191" s="15" t="s">
        <v>425</v>
      </c>
      <c r="O191" s="13"/>
      <c r="P191" s="13" t="str">
        <f t="shared" si="205"/>
        <v>SN-832</v>
      </c>
      <c r="Q191" s="13" t="str">
        <f t="shared" si="206"/>
        <v>SI-832</v>
      </c>
      <c r="R191" s="13" t="str">
        <f t="shared" si="207"/>
        <v>SE-832</v>
      </c>
      <c r="S191" s="135" t="str">
        <f t="shared" si="208"/>
        <v>Prev_RA-832</v>
      </c>
      <c r="T191" s="135" t="str">
        <f t="shared" si="209"/>
        <v>Prev_Comms-832</v>
      </c>
      <c r="U191" s="15" t="s">
        <v>75</v>
      </c>
      <c r="V191" s="15" t="s">
        <v>401</v>
      </c>
      <c r="W191" s="15" t="s">
        <v>75</v>
      </c>
      <c r="X191" s="15" t="s">
        <v>1081</v>
      </c>
      <c r="Y191" s="13" t="str">
        <f t="shared" si="210"/>
        <v>Forward Add-832</v>
      </c>
      <c r="Z191" s="15" t="s">
        <v>401</v>
      </c>
      <c r="AA191" s="136" t="str">
        <f>'Run Parameters'!$B$2</f>
        <v>2018-08-13 08:00</v>
      </c>
      <c r="AB191" s="223" t="str">
        <f>'Run Parameters'!B$3</f>
        <v>2018-08-13 18:00</v>
      </c>
      <c r="AC191" s="26">
        <f>('Run Parameters'!$B$2) - 7</f>
        <v>43318.333333333336</v>
      </c>
      <c r="AD191" s="15" t="s">
        <v>75</v>
      </c>
      <c r="AE191" s="13" t="str">
        <f t="shared" si="211"/>
        <v>LAST_METER-832</v>
      </c>
      <c r="AF191" s="136" t="str">
        <f>'Run Parameters'!$B$2</f>
        <v>2018-08-13 08:00</v>
      </c>
      <c r="AG191" s="13" t="str">
        <f>'Run Parameters'!B$4</f>
        <v>AUTOTEST2</v>
      </c>
      <c r="AH191" s="135" t="str">
        <f t="shared" si="212"/>
        <v>Site_Contact_832</v>
      </c>
      <c r="AI191" s="136" t="str">
        <f>'Run Parameters'!B$2</f>
        <v>2018-08-13 08:00</v>
      </c>
      <c r="AJ191" s="223" t="str">
        <f>'Run Parameters'!B$3</f>
        <v>2018-08-13 18:00</v>
      </c>
      <c r="AK191" s="13" t="s">
        <v>1081</v>
      </c>
      <c r="AL191" s="135" t="str">
        <f t="shared" si="213"/>
        <v>01159832</v>
      </c>
      <c r="AM191" s="13" t="str">
        <f t="shared" si="214"/>
        <v>0115832</v>
      </c>
      <c r="AN191" s="15"/>
      <c r="AO191" s="15"/>
      <c r="AP191" s="13">
        <v>1</v>
      </c>
      <c r="AQ191" s="15" t="s">
        <v>49</v>
      </c>
      <c r="AR191" s="15"/>
      <c r="AS191" s="13"/>
      <c r="AT191" s="15" t="s">
        <v>400</v>
      </c>
      <c r="AU191" s="15"/>
      <c r="AV191" s="13">
        <f t="shared" si="215"/>
        <v>832</v>
      </c>
      <c r="AW191" s="13" t="s">
        <v>858</v>
      </c>
      <c r="AX191" s="13" t="s">
        <v>420</v>
      </c>
      <c r="AY191" s="13" t="s">
        <v>421</v>
      </c>
      <c r="AZ191" s="15" t="s">
        <v>334</v>
      </c>
      <c r="BA191" s="15" t="s">
        <v>154</v>
      </c>
      <c r="BB191" s="13">
        <v>1</v>
      </c>
      <c r="BC191" s="13">
        <f t="shared" si="216"/>
        <v>832</v>
      </c>
      <c r="BD191" s="15" t="s">
        <v>1102</v>
      </c>
      <c r="BE191" s="15" t="s">
        <v>390</v>
      </c>
      <c r="BF191" s="15" t="s">
        <v>390</v>
      </c>
      <c r="BG191" s="13" t="s">
        <v>857</v>
      </c>
      <c r="BH191" s="13" t="str">
        <f t="shared" si="217"/>
        <v>832_1</v>
      </c>
      <c r="BI191" s="13"/>
      <c r="BJ191" s="13" t="str">
        <f t="shared" si="218"/>
        <v>10000000832</v>
      </c>
      <c r="BK191" s="15" t="s">
        <v>51</v>
      </c>
      <c r="BL191" s="15" t="s">
        <v>54</v>
      </c>
      <c r="BM191" s="13" t="s">
        <v>277</v>
      </c>
      <c r="BN191" s="15" t="s">
        <v>51</v>
      </c>
      <c r="BO191" s="13" t="str">
        <f t="shared" si="219"/>
        <v>S05S832</v>
      </c>
      <c r="BP191" s="15" t="s">
        <v>392</v>
      </c>
      <c r="BQ191" s="15" t="s">
        <v>392</v>
      </c>
      <c r="BR191" s="13" t="s">
        <v>159</v>
      </c>
      <c r="BS191" s="15" t="s">
        <v>963</v>
      </c>
      <c r="BT191" s="15" t="s">
        <v>964</v>
      </c>
      <c r="BU191" s="15" t="s">
        <v>393</v>
      </c>
      <c r="BV191" s="15" t="s">
        <v>51</v>
      </c>
      <c r="BW191" s="15" t="s">
        <v>154</v>
      </c>
      <c r="BX191" s="15"/>
      <c r="BY191" s="15"/>
      <c r="BZ191" s="15" t="s">
        <v>157</v>
      </c>
      <c r="CA191" s="15" t="s">
        <v>269</v>
      </c>
      <c r="CB191" s="15" t="s">
        <v>51</v>
      </c>
      <c r="CC191" s="15" t="s">
        <v>965</v>
      </c>
      <c r="CD191" s="15" t="s">
        <v>392</v>
      </c>
      <c r="CE191" s="15" t="s">
        <v>1081</v>
      </c>
      <c r="CF191" s="15" t="s">
        <v>398</v>
      </c>
      <c r="CG191" s="15" t="s">
        <v>856</v>
      </c>
      <c r="CH191" s="15" t="s">
        <v>159</v>
      </c>
      <c r="CI191" s="13">
        <v>1</v>
      </c>
      <c r="CJ191" s="13" t="str">
        <f t="shared" si="220"/>
        <v>GAS_ENQ_NO-832</v>
      </c>
      <c r="CK191" s="15" t="s">
        <v>779</v>
      </c>
      <c r="CL191" s="15" t="s">
        <v>391</v>
      </c>
      <c r="CM191" s="15" t="s">
        <v>390</v>
      </c>
      <c r="CN191" s="13" t="s">
        <v>780</v>
      </c>
      <c r="CO191" s="13" t="str">
        <f t="shared" si="221"/>
        <v>GAS_JOB_ID-832</v>
      </c>
      <c r="CP191" s="15"/>
      <c r="CQ191" s="13" t="str">
        <f t="shared" si="222"/>
        <v>10000832</v>
      </c>
      <c r="CR191" s="13" t="s">
        <v>154</v>
      </c>
      <c r="CS191" s="15" t="s">
        <v>51</v>
      </c>
      <c r="CT191" s="227" t="str">
        <f t="shared" si="223"/>
        <v>GMETER832</v>
      </c>
      <c r="CU191" s="13" t="s">
        <v>161</v>
      </c>
      <c r="CV191" s="15" t="s">
        <v>165</v>
      </c>
      <c r="CW191" s="15" t="s">
        <v>414</v>
      </c>
      <c r="CX191" s="15"/>
      <c r="CY191" s="15"/>
      <c r="CZ191" s="15" t="s">
        <v>394</v>
      </c>
      <c r="DA191" s="15" t="s">
        <v>395</v>
      </c>
      <c r="DB191" s="13" t="str">
        <f t="shared" si="163"/>
        <v>GAS_INST_ID-832</v>
      </c>
      <c r="DC191" s="15" t="s">
        <v>161</v>
      </c>
      <c r="DD191" s="15"/>
      <c r="DE191" s="15" t="s">
        <v>51</v>
      </c>
      <c r="DF191" s="15" t="s">
        <v>264</v>
      </c>
      <c r="DG191" s="15"/>
      <c r="DH191" s="15" t="s">
        <v>397</v>
      </c>
      <c r="DI191" s="15" t="s">
        <v>399</v>
      </c>
      <c r="DJ191" s="15" t="s">
        <v>856</v>
      </c>
      <c r="DK191" s="15" t="s">
        <v>140</v>
      </c>
      <c r="DL191" s="228"/>
      <c r="DM191" s="228"/>
      <c r="DN191" s="13" t="str">
        <f t="shared" si="164"/>
        <v>DS_Pass-832</v>
      </c>
      <c r="DO191" s="15"/>
      <c r="DP191" s="15"/>
      <c r="DQ191" s="15"/>
      <c r="DR191" s="13"/>
      <c r="DS191" s="13"/>
      <c r="DT191" s="15" t="s">
        <v>52</v>
      </c>
      <c r="DU191" s="15"/>
      <c r="DV191" s="15"/>
      <c r="DW191" s="13"/>
      <c r="DX191" s="15" t="s">
        <v>54</v>
      </c>
      <c r="DY191" s="15" t="s">
        <v>61</v>
      </c>
      <c r="DZ191" s="15" t="s">
        <v>402</v>
      </c>
      <c r="EA191" s="135" t="str">
        <f t="shared" si="224"/>
        <v>832CUSTOMER_ADDRESSEXCH9 ROADCUSTOMER_ADDRESSTESTINGHAMCUSTOMER_ADDRESSTESTINGHAMSHIRE</v>
      </c>
      <c r="EB191" s="15" t="s">
        <v>856</v>
      </c>
      <c r="EC191" s="228"/>
      <c r="ED191" s="228"/>
      <c r="EE191" s="228"/>
    </row>
    <row r="192" spans="1:135" s="229" customFormat="1">
      <c r="A192" s="219" t="s">
        <v>1010</v>
      </c>
      <c r="B192" s="219" t="s">
        <v>892</v>
      </c>
      <c r="C192" s="219" t="s">
        <v>865</v>
      </c>
      <c r="D192" s="13">
        <f>'Run Parameters'!$B$1 + ROW()-1</f>
        <v>833</v>
      </c>
      <c r="E192" s="15" t="s">
        <v>47</v>
      </c>
      <c r="F192" s="13" t="s">
        <v>857</v>
      </c>
      <c r="G192" s="13" t="str">
        <f t="shared" si="203"/>
        <v>Access Dtls-833</v>
      </c>
      <c r="H192" s="15" t="s">
        <v>275</v>
      </c>
      <c r="I192" s="13" t="str">
        <f>("MR. Test_183_EXCH9_"&amp;D192&amp;"")</f>
        <v>MR. Test_183_EXCH9_833</v>
      </c>
      <c r="J192" s="13"/>
      <c r="K192" s="19" t="s">
        <v>425</v>
      </c>
      <c r="L192" s="13" t="str">
        <f t="shared" si="204"/>
        <v>Cust. Ref-833</v>
      </c>
      <c r="M192" s="15" t="s">
        <v>48</v>
      </c>
      <c r="N192" s="15" t="s">
        <v>425</v>
      </c>
      <c r="O192" s="13"/>
      <c r="P192" s="13" t="str">
        <f t="shared" si="205"/>
        <v>SN-833</v>
      </c>
      <c r="Q192" s="13" t="str">
        <f t="shared" si="206"/>
        <v>SI-833</v>
      </c>
      <c r="R192" s="13" t="str">
        <f t="shared" si="207"/>
        <v>SE-833</v>
      </c>
      <c r="S192" s="135" t="str">
        <f t="shared" si="208"/>
        <v>Prev_RA-833</v>
      </c>
      <c r="T192" s="135" t="str">
        <f t="shared" si="209"/>
        <v>Prev_Comms-833</v>
      </c>
      <c r="U192" s="15" t="s">
        <v>75</v>
      </c>
      <c r="V192" s="15" t="s">
        <v>401</v>
      </c>
      <c r="W192" s="15" t="s">
        <v>75</v>
      </c>
      <c r="X192" s="15" t="s">
        <v>396</v>
      </c>
      <c r="Y192" s="13" t="str">
        <f t="shared" si="210"/>
        <v>Forward Add-833</v>
      </c>
      <c r="Z192" s="15" t="s">
        <v>401</v>
      </c>
      <c r="AA192" s="136" t="str">
        <f>'Run Parameters'!$B$2</f>
        <v>2018-08-13 08:00</v>
      </c>
      <c r="AB192" s="223" t="str">
        <f>'Run Parameters'!B$3</f>
        <v>2018-08-13 18:00</v>
      </c>
      <c r="AC192" s="26">
        <f>('Run Parameters'!$B$2) - 7</f>
        <v>43318.333333333336</v>
      </c>
      <c r="AD192" s="15" t="s">
        <v>75</v>
      </c>
      <c r="AE192" s="13" t="str">
        <f t="shared" si="211"/>
        <v>LAST_METER-833</v>
      </c>
      <c r="AF192" s="136" t="str">
        <f>'Run Parameters'!$B$2</f>
        <v>2018-08-13 08:00</v>
      </c>
      <c r="AG192" s="13" t="str">
        <f>'Run Parameters'!B$4</f>
        <v>AUTOTEST2</v>
      </c>
      <c r="AH192" s="135" t="str">
        <f t="shared" si="212"/>
        <v>Site_Contact_833</v>
      </c>
      <c r="AI192" s="136" t="str">
        <f>'Run Parameters'!B$2</f>
        <v>2018-08-13 08:00</v>
      </c>
      <c r="AJ192" s="223" t="str">
        <f>'Run Parameters'!B$3</f>
        <v>2018-08-13 18:00</v>
      </c>
      <c r="AK192" s="13" t="s">
        <v>396</v>
      </c>
      <c r="AL192" s="135" t="str">
        <f t="shared" si="213"/>
        <v>01159833</v>
      </c>
      <c r="AM192" s="13" t="str">
        <f t="shared" si="214"/>
        <v>0115833</v>
      </c>
      <c r="AN192" s="15"/>
      <c r="AO192" s="15"/>
      <c r="AP192" s="13">
        <v>1</v>
      </c>
      <c r="AQ192" s="15" t="s">
        <v>49</v>
      </c>
      <c r="AR192" s="15"/>
      <c r="AS192" s="13"/>
      <c r="AT192" s="15" t="s">
        <v>400</v>
      </c>
      <c r="AU192" s="15"/>
      <c r="AV192" s="13">
        <f t="shared" si="215"/>
        <v>833</v>
      </c>
      <c r="AW192" s="13" t="s">
        <v>858</v>
      </c>
      <c r="AX192" s="13" t="s">
        <v>420</v>
      </c>
      <c r="AY192" s="13" t="s">
        <v>421</v>
      </c>
      <c r="AZ192" s="15" t="s">
        <v>334</v>
      </c>
      <c r="BA192" s="15" t="s">
        <v>154</v>
      </c>
      <c r="BB192" s="13">
        <v>1</v>
      </c>
      <c r="BC192" s="13">
        <f t="shared" si="216"/>
        <v>833</v>
      </c>
      <c r="BD192" s="15" t="s">
        <v>962</v>
      </c>
      <c r="BE192" s="15" t="s">
        <v>390</v>
      </c>
      <c r="BF192" s="15" t="s">
        <v>390</v>
      </c>
      <c r="BG192" s="13" t="s">
        <v>857</v>
      </c>
      <c r="BH192" s="13" t="str">
        <f t="shared" si="217"/>
        <v>833_1</v>
      </c>
      <c r="BI192" s="13"/>
      <c r="BJ192" s="13" t="str">
        <f t="shared" si="218"/>
        <v>10000000833</v>
      </c>
      <c r="BK192" s="15" t="s">
        <v>51</v>
      </c>
      <c r="BL192" s="15" t="s">
        <v>54</v>
      </c>
      <c r="BM192" s="13" t="s">
        <v>277</v>
      </c>
      <c r="BN192" s="15" t="s">
        <v>51</v>
      </c>
      <c r="BO192" s="13" t="str">
        <f t="shared" si="219"/>
        <v>S05S833</v>
      </c>
      <c r="BP192" s="15" t="s">
        <v>392</v>
      </c>
      <c r="BQ192" s="15" t="s">
        <v>392</v>
      </c>
      <c r="BR192" s="13" t="s">
        <v>159</v>
      </c>
      <c r="BS192" s="15" t="s">
        <v>963</v>
      </c>
      <c r="BT192" s="15" t="s">
        <v>964</v>
      </c>
      <c r="BU192" s="15" t="s">
        <v>393</v>
      </c>
      <c r="BV192" s="15" t="s">
        <v>51</v>
      </c>
      <c r="BW192" s="15" t="s">
        <v>154</v>
      </c>
      <c r="BX192" s="15"/>
      <c r="BY192" s="15"/>
      <c r="BZ192" s="15" t="s">
        <v>157</v>
      </c>
      <c r="CA192" s="15" t="s">
        <v>269</v>
      </c>
      <c r="CB192" s="15" t="s">
        <v>51</v>
      </c>
      <c r="CC192" s="15" t="s">
        <v>965</v>
      </c>
      <c r="CD192" s="15" t="s">
        <v>392</v>
      </c>
      <c r="CE192" s="15" t="s">
        <v>396</v>
      </c>
      <c r="CF192" s="15" t="s">
        <v>398</v>
      </c>
      <c r="CG192" s="15" t="s">
        <v>856</v>
      </c>
      <c r="CH192" s="15" t="s">
        <v>159</v>
      </c>
      <c r="CI192" s="13">
        <v>1</v>
      </c>
      <c r="CJ192" s="13" t="str">
        <f t="shared" si="220"/>
        <v>GAS_ENQ_NO-833</v>
      </c>
      <c r="CK192" s="15" t="s">
        <v>779</v>
      </c>
      <c r="CL192" s="15" t="s">
        <v>391</v>
      </c>
      <c r="CM192" s="15" t="s">
        <v>390</v>
      </c>
      <c r="CN192" s="13" t="s">
        <v>780</v>
      </c>
      <c r="CO192" s="13" t="str">
        <f t="shared" si="221"/>
        <v>GAS_JOB_ID-833</v>
      </c>
      <c r="CP192" s="15"/>
      <c r="CQ192" s="13" t="str">
        <f t="shared" si="222"/>
        <v>10000833</v>
      </c>
      <c r="CR192" s="13" t="s">
        <v>154</v>
      </c>
      <c r="CS192" s="15" t="s">
        <v>51</v>
      </c>
      <c r="CT192" s="227" t="str">
        <f t="shared" si="223"/>
        <v>GMETER833</v>
      </c>
      <c r="CU192" s="13" t="s">
        <v>161</v>
      </c>
      <c r="CV192" s="15" t="s">
        <v>165</v>
      </c>
      <c r="CW192" s="15" t="s">
        <v>414</v>
      </c>
      <c r="CX192" s="15"/>
      <c r="CY192" s="15"/>
      <c r="CZ192" s="15" t="s">
        <v>394</v>
      </c>
      <c r="DA192" s="15" t="s">
        <v>395</v>
      </c>
      <c r="DB192" s="13" t="str">
        <f t="shared" si="163"/>
        <v>GAS_INST_ID-833</v>
      </c>
      <c r="DC192" s="15" t="s">
        <v>161</v>
      </c>
      <c r="DD192" s="15"/>
      <c r="DE192" s="15" t="s">
        <v>51</v>
      </c>
      <c r="DF192" s="15" t="s">
        <v>264</v>
      </c>
      <c r="DG192" s="15"/>
      <c r="DH192" s="15" t="s">
        <v>397</v>
      </c>
      <c r="DI192" s="15" t="s">
        <v>399</v>
      </c>
      <c r="DJ192" s="15" t="s">
        <v>856</v>
      </c>
      <c r="DK192" s="15" t="s">
        <v>140</v>
      </c>
      <c r="DL192" s="228"/>
      <c r="DM192" s="228"/>
      <c r="DN192" s="13" t="str">
        <f t="shared" si="164"/>
        <v>DS_Pass-833</v>
      </c>
      <c r="DO192" s="15"/>
      <c r="DP192" s="15"/>
      <c r="DQ192" s="15"/>
      <c r="DR192" s="13"/>
      <c r="DS192" s="13"/>
      <c r="DT192" s="15" t="s">
        <v>52</v>
      </c>
      <c r="DU192" s="15"/>
      <c r="DV192" s="15"/>
      <c r="DW192" s="13"/>
      <c r="DX192" s="15" t="s">
        <v>54</v>
      </c>
      <c r="DY192" s="15" t="s">
        <v>61</v>
      </c>
      <c r="DZ192" s="15" t="s">
        <v>402</v>
      </c>
      <c r="EA192" s="135" t="str">
        <f t="shared" si="224"/>
        <v>833CUSTOMER_ADDRESSEXCH9 ROADCUSTOMER_ADDRESSTESTINGHAMCUSTOMER_ADDRESSTESTINGHAMSHIRE</v>
      </c>
      <c r="EB192" s="15" t="s">
        <v>856</v>
      </c>
      <c r="EC192" s="228"/>
      <c r="ED192" s="228"/>
      <c r="EE192" s="228"/>
    </row>
    <row r="193" spans="1:135" s="229" customFormat="1">
      <c r="A193" s="219" t="s">
        <v>1011</v>
      </c>
      <c r="B193" s="219" t="s">
        <v>868</v>
      </c>
      <c r="C193" s="219" t="s">
        <v>865</v>
      </c>
      <c r="D193" s="13">
        <f>'Run Parameters'!$B$1 + ROW()-1</f>
        <v>834</v>
      </c>
      <c r="E193" s="15" t="s">
        <v>47</v>
      </c>
      <c r="F193" s="13" t="s">
        <v>857</v>
      </c>
      <c r="G193" s="13" t="str">
        <f t="shared" si="203"/>
        <v>Access Dtls-834</v>
      </c>
      <c r="H193" s="15" t="s">
        <v>275</v>
      </c>
      <c r="I193" s="13" t="str">
        <f>("MR. Test_184_EXCH9_"&amp;D193&amp;"")</f>
        <v>MR. Test_184_EXCH9_834</v>
      </c>
      <c r="J193" s="13"/>
      <c r="K193" s="19" t="s">
        <v>425</v>
      </c>
      <c r="L193" s="13" t="str">
        <f t="shared" si="204"/>
        <v>Cust. Ref-834</v>
      </c>
      <c r="M193" s="15" t="s">
        <v>48</v>
      </c>
      <c r="N193" s="15" t="s">
        <v>425</v>
      </c>
      <c r="O193" s="13"/>
      <c r="P193" s="13" t="str">
        <f t="shared" si="205"/>
        <v>SN-834</v>
      </c>
      <c r="Q193" s="13" t="str">
        <f t="shared" si="206"/>
        <v>SI-834</v>
      </c>
      <c r="R193" s="13" t="str">
        <f t="shared" si="207"/>
        <v>SE-834</v>
      </c>
      <c r="S193" s="135" t="str">
        <f t="shared" si="208"/>
        <v>Prev_RA-834</v>
      </c>
      <c r="T193" s="135" t="str">
        <f t="shared" si="209"/>
        <v>Prev_Comms-834</v>
      </c>
      <c r="U193" s="15" t="s">
        <v>75</v>
      </c>
      <c r="V193" s="15" t="s">
        <v>401</v>
      </c>
      <c r="W193" s="15" t="s">
        <v>75</v>
      </c>
      <c r="X193" s="15" t="s">
        <v>396</v>
      </c>
      <c r="Y193" s="13" t="str">
        <f t="shared" si="210"/>
        <v>Forward Add-834</v>
      </c>
      <c r="Z193" s="15" t="s">
        <v>401</v>
      </c>
      <c r="AA193" s="136" t="str">
        <f>'Run Parameters'!$B$2</f>
        <v>2018-08-13 08:00</v>
      </c>
      <c r="AB193" s="223" t="str">
        <f>'Run Parameters'!B$3</f>
        <v>2018-08-13 18:00</v>
      </c>
      <c r="AC193" s="26">
        <f>('Run Parameters'!$B$2) - 7</f>
        <v>43318.333333333336</v>
      </c>
      <c r="AD193" s="15" t="s">
        <v>75</v>
      </c>
      <c r="AE193" s="13" t="str">
        <f t="shared" si="211"/>
        <v>LAST_METER-834</v>
      </c>
      <c r="AF193" s="136" t="str">
        <f>'Run Parameters'!$B$2</f>
        <v>2018-08-13 08:00</v>
      </c>
      <c r="AG193" s="13" t="str">
        <f>'Run Parameters'!B$4</f>
        <v>AUTOTEST2</v>
      </c>
      <c r="AH193" s="135" t="str">
        <f t="shared" si="212"/>
        <v>Site_Contact_834</v>
      </c>
      <c r="AI193" s="136" t="str">
        <f>'Run Parameters'!B$2</f>
        <v>2018-08-13 08:00</v>
      </c>
      <c r="AJ193" s="223" t="str">
        <f>'Run Parameters'!B$3</f>
        <v>2018-08-13 18:00</v>
      </c>
      <c r="AK193" s="13" t="s">
        <v>396</v>
      </c>
      <c r="AL193" s="135" t="str">
        <f t="shared" si="213"/>
        <v>01159834</v>
      </c>
      <c r="AM193" s="13" t="str">
        <f t="shared" si="214"/>
        <v>0115834</v>
      </c>
      <c r="AN193" s="15"/>
      <c r="AO193" s="15"/>
      <c r="AP193" s="13">
        <v>1</v>
      </c>
      <c r="AQ193" s="15" t="s">
        <v>49</v>
      </c>
      <c r="AR193" s="15"/>
      <c r="AS193" s="13"/>
      <c r="AT193" s="15" t="s">
        <v>400</v>
      </c>
      <c r="AU193" s="15"/>
      <c r="AV193" s="13">
        <f t="shared" si="215"/>
        <v>834</v>
      </c>
      <c r="AW193" s="13" t="s">
        <v>858</v>
      </c>
      <c r="AX193" s="13" t="s">
        <v>420</v>
      </c>
      <c r="AY193" s="13" t="s">
        <v>421</v>
      </c>
      <c r="AZ193" s="15" t="s">
        <v>334</v>
      </c>
      <c r="BA193" s="15" t="s">
        <v>154</v>
      </c>
      <c r="BB193" s="13">
        <v>1</v>
      </c>
      <c r="BC193" s="13">
        <f t="shared" si="216"/>
        <v>834</v>
      </c>
      <c r="BD193" s="15" t="s">
        <v>962</v>
      </c>
      <c r="BE193" s="15" t="s">
        <v>390</v>
      </c>
      <c r="BF193" s="15" t="s">
        <v>390</v>
      </c>
      <c r="BG193" s="13" t="s">
        <v>857</v>
      </c>
      <c r="BH193" s="13" t="str">
        <f t="shared" si="217"/>
        <v>834_1</v>
      </c>
      <c r="BI193" s="13"/>
      <c r="BJ193" s="13" t="str">
        <f t="shared" si="218"/>
        <v>10000000834</v>
      </c>
      <c r="BK193" s="15" t="s">
        <v>51</v>
      </c>
      <c r="BL193" s="15" t="s">
        <v>54</v>
      </c>
      <c r="BM193" s="13" t="s">
        <v>277</v>
      </c>
      <c r="BN193" s="15" t="s">
        <v>51</v>
      </c>
      <c r="BO193" s="13" t="str">
        <f t="shared" si="219"/>
        <v>S05S834</v>
      </c>
      <c r="BP193" s="15" t="s">
        <v>392</v>
      </c>
      <c r="BQ193" s="15" t="s">
        <v>392</v>
      </c>
      <c r="BR193" s="13" t="s">
        <v>159</v>
      </c>
      <c r="BS193" s="15" t="s">
        <v>963</v>
      </c>
      <c r="BT193" s="15" t="s">
        <v>964</v>
      </c>
      <c r="BU193" s="15" t="s">
        <v>393</v>
      </c>
      <c r="BV193" s="15" t="s">
        <v>51</v>
      </c>
      <c r="BW193" s="15" t="s">
        <v>154</v>
      </c>
      <c r="BX193" s="15"/>
      <c r="BY193" s="15"/>
      <c r="BZ193" s="15" t="s">
        <v>157</v>
      </c>
      <c r="CA193" s="15" t="s">
        <v>269</v>
      </c>
      <c r="CB193" s="15" t="s">
        <v>51</v>
      </c>
      <c r="CC193" s="15" t="s">
        <v>965</v>
      </c>
      <c r="CD193" s="15" t="s">
        <v>392</v>
      </c>
      <c r="CE193" s="15" t="s">
        <v>396</v>
      </c>
      <c r="CF193" s="15" t="s">
        <v>398</v>
      </c>
      <c r="CG193" s="15" t="s">
        <v>856</v>
      </c>
      <c r="CH193" s="15" t="s">
        <v>159</v>
      </c>
      <c r="CI193" s="13">
        <v>1</v>
      </c>
      <c r="CJ193" s="13" t="str">
        <f t="shared" si="220"/>
        <v>GAS_ENQ_NO-834</v>
      </c>
      <c r="CK193" s="15" t="s">
        <v>779</v>
      </c>
      <c r="CL193" s="15" t="s">
        <v>391</v>
      </c>
      <c r="CM193" s="15" t="s">
        <v>390</v>
      </c>
      <c r="CN193" s="13" t="s">
        <v>780</v>
      </c>
      <c r="CO193" s="13" t="str">
        <f t="shared" si="221"/>
        <v>GAS_JOB_ID-834</v>
      </c>
      <c r="CP193" s="15"/>
      <c r="CQ193" s="13" t="str">
        <f t="shared" si="222"/>
        <v>10000834</v>
      </c>
      <c r="CR193" s="13" t="s">
        <v>154</v>
      </c>
      <c r="CS193" s="15" t="s">
        <v>51</v>
      </c>
      <c r="CT193" s="227" t="str">
        <f t="shared" si="223"/>
        <v>GMETER834</v>
      </c>
      <c r="CU193" s="13" t="s">
        <v>161</v>
      </c>
      <c r="CV193" s="15" t="s">
        <v>165</v>
      </c>
      <c r="CW193" s="15" t="s">
        <v>414</v>
      </c>
      <c r="CX193" s="15"/>
      <c r="CY193" s="15"/>
      <c r="CZ193" s="15" t="s">
        <v>394</v>
      </c>
      <c r="DA193" s="15" t="s">
        <v>395</v>
      </c>
      <c r="DB193" s="13" t="str">
        <f t="shared" si="163"/>
        <v>GAS_INST_ID-834</v>
      </c>
      <c r="DC193" s="15" t="s">
        <v>161</v>
      </c>
      <c r="DD193" s="15"/>
      <c r="DE193" s="15" t="s">
        <v>51</v>
      </c>
      <c r="DF193" s="15" t="s">
        <v>264</v>
      </c>
      <c r="DG193" s="15"/>
      <c r="DH193" s="15" t="s">
        <v>397</v>
      </c>
      <c r="DI193" s="15" t="s">
        <v>399</v>
      </c>
      <c r="DJ193" s="15" t="s">
        <v>856</v>
      </c>
      <c r="DK193" s="15" t="s">
        <v>140</v>
      </c>
      <c r="DL193" s="228"/>
      <c r="DM193" s="228"/>
      <c r="DN193" s="13" t="str">
        <f t="shared" si="164"/>
        <v>DS_Pass-834</v>
      </c>
      <c r="DO193" s="15"/>
      <c r="DP193" s="15"/>
      <c r="DQ193" s="15"/>
      <c r="DR193" s="13"/>
      <c r="DS193" s="13"/>
      <c r="DT193" s="15" t="s">
        <v>52</v>
      </c>
      <c r="DU193" s="15"/>
      <c r="DV193" s="15"/>
      <c r="DW193" s="13"/>
      <c r="DX193" s="15" t="s">
        <v>54</v>
      </c>
      <c r="DY193" s="15" t="s">
        <v>61</v>
      </c>
      <c r="DZ193" s="15" t="s">
        <v>402</v>
      </c>
      <c r="EA193" s="135" t="str">
        <f t="shared" si="224"/>
        <v>834CUSTOMER_ADDRESSEXCH9 ROADCUSTOMER_ADDRESSTESTINGHAMCUSTOMER_ADDRESSTESTINGHAMSHIRE</v>
      </c>
      <c r="EB193" s="15" t="s">
        <v>856</v>
      </c>
      <c r="EC193" s="228"/>
      <c r="ED193" s="228"/>
      <c r="EE193" s="228"/>
    </row>
    <row r="194" spans="1:135" s="229" customFormat="1">
      <c r="A194" s="219" t="s">
        <v>1012</v>
      </c>
      <c r="B194" s="219" t="s">
        <v>892</v>
      </c>
      <c r="C194" s="219" t="s">
        <v>865</v>
      </c>
      <c r="D194" s="13">
        <f>'Run Parameters'!$B$1 + ROW()-1</f>
        <v>835</v>
      </c>
      <c r="E194" s="15" t="s">
        <v>47</v>
      </c>
      <c r="F194" s="13" t="s">
        <v>857</v>
      </c>
      <c r="G194" s="13" t="str">
        <f t="shared" si="203"/>
        <v>Access Dtls-835</v>
      </c>
      <c r="H194" s="15" t="s">
        <v>275</v>
      </c>
      <c r="I194" s="13" t="str">
        <f>("MR. Test_185_EXCH9_"&amp;D194&amp;"")</f>
        <v>MR. Test_185_EXCH9_835</v>
      </c>
      <c r="J194" s="13"/>
      <c r="K194" s="19" t="s">
        <v>425</v>
      </c>
      <c r="L194" s="13" t="str">
        <f t="shared" si="204"/>
        <v>Cust. Ref-835</v>
      </c>
      <c r="M194" s="15" t="s">
        <v>48</v>
      </c>
      <c r="N194" s="15" t="s">
        <v>425</v>
      </c>
      <c r="O194" s="13"/>
      <c r="P194" s="13" t="str">
        <f t="shared" si="205"/>
        <v>SN-835</v>
      </c>
      <c r="Q194" s="13" t="str">
        <f t="shared" si="206"/>
        <v>SI-835</v>
      </c>
      <c r="R194" s="13" t="str">
        <f t="shared" si="207"/>
        <v>SE-835</v>
      </c>
      <c r="S194" s="135" t="str">
        <f t="shared" si="208"/>
        <v>Prev_RA-835</v>
      </c>
      <c r="T194" s="135" t="str">
        <f t="shared" si="209"/>
        <v>Prev_Comms-835</v>
      </c>
      <c r="U194" s="15" t="s">
        <v>75</v>
      </c>
      <c r="V194" s="15" t="s">
        <v>401</v>
      </c>
      <c r="W194" s="15" t="s">
        <v>75</v>
      </c>
      <c r="X194" s="15" t="s">
        <v>396</v>
      </c>
      <c r="Y194" s="13" t="str">
        <f t="shared" si="210"/>
        <v>Forward Add-835</v>
      </c>
      <c r="Z194" s="15" t="s">
        <v>401</v>
      </c>
      <c r="AA194" s="136" t="str">
        <f>'Run Parameters'!$B$2</f>
        <v>2018-08-13 08:00</v>
      </c>
      <c r="AB194" s="223" t="str">
        <f>'Run Parameters'!B$3</f>
        <v>2018-08-13 18:00</v>
      </c>
      <c r="AC194" s="26">
        <f>('Run Parameters'!$B$2) - 7</f>
        <v>43318.333333333336</v>
      </c>
      <c r="AD194" s="15" t="s">
        <v>75</v>
      </c>
      <c r="AE194" s="13" t="str">
        <f t="shared" si="211"/>
        <v>LAST_METER-835</v>
      </c>
      <c r="AF194" s="136" t="str">
        <f>'Run Parameters'!$B$2</f>
        <v>2018-08-13 08:00</v>
      </c>
      <c r="AG194" s="13" t="str">
        <f>'Run Parameters'!B$4</f>
        <v>AUTOTEST2</v>
      </c>
      <c r="AH194" s="135" t="str">
        <f t="shared" si="212"/>
        <v>Site_Contact_835</v>
      </c>
      <c r="AI194" s="136" t="str">
        <f>'Run Parameters'!B$2</f>
        <v>2018-08-13 08:00</v>
      </c>
      <c r="AJ194" s="223" t="str">
        <f>'Run Parameters'!B$3</f>
        <v>2018-08-13 18:00</v>
      </c>
      <c r="AK194" s="13" t="s">
        <v>396</v>
      </c>
      <c r="AL194" s="135" t="str">
        <f t="shared" si="213"/>
        <v>01159835</v>
      </c>
      <c r="AM194" s="13" t="str">
        <f t="shared" si="214"/>
        <v>0115835</v>
      </c>
      <c r="AN194" s="15"/>
      <c r="AO194" s="15"/>
      <c r="AP194" s="13">
        <v>1</v>
      </c>
      <c r="AQ194" s="15" t="s">
        <v>49</v>
      </c>
      <c r="AR194" s="15"/>
      <c r="AS194" s="13"/>
      <c r="AT194" s="15" t="s">
        <v>400</v>
      </c>
      <c r="AU194" s="15"/>
      <c r="AV194" s="13">
        <f t="shared" si="215"/>
        <v>835</v>
      </c>
      <c r="AW194" s="13" t="s">
        <v>858</v>
      </c>
      <c r="AX194" s="13" t="s">
        <v>420</v>
      </c>
      <c r="AY194" s="13" t="s">
        <v>421</v>
      </c>
      <c r="AZ194" s="15" t="s">
        <v>334</v>
      </c>
      <c r="BA194" s="15" t="s">
        <v>154</v>
      </c>
      <c r="BB194" s="13">
        <v>1</v>
      </c>
      <c r="BC194" s="13">
        <f t="shared" si="216"/>
        <v>835</v>
      </c>
      <c r="BD194" s="15" t="s">
        <v>962</v>
      </c>
      <c r="BE194" s="15" t="s">
        <v>390</v>
      </c>
      <c r="BF194" s="15" t="s">
        <v>390</v>
      </c>
      <c r="BG194" s="13" t="s">
        <v>857</v>
      </c>
      <c r="BH194" s="13" t="str">
        <f t="shared" si="217"/>
        <v>835_1</v>
      </c>
      <c r="BI194" s="13"/>
      <c r="BJ194" s="13" t="str">
        <f t="shared" si="218"/>
        <v>10000000835</v>
      </c>
      <c r="BK194" s="15" t="s">
        <v>51</v>
      </c>
      <c r="BL194" s="15" t="s">
        <v>54</v>
      </c>
      <c r="BM194" s="13" t="s">
        <v>277</v>
      </c>
      <c r="BN194" s="15" t="s">
        <v>51</v>
      </c>
      <c r="BO194" s="13" t="str">
        <f t="shared" si="219"/>
        <v>S05S835</v>
      </c>
      <c r="BP194" s="15" t="s">
        <v>392</v>
      </c>
      <c r="BQ194" s="15" t="s">
        <v>392</v>
      </c>
      <c r="BR194" s="13" t="s">
        <v>159</v>
      </c>
      <c r="BS194" s="15" t="s">
        <v>963</v>
      </c>
      <c r="BT194" s="15" t="s">
        <v>964</v>
      </c>
      <c r="BU194" s="15" t="s">
        <v>393</v>
      </c>
      <c r="BV194" s="15" t="s">
        <v>51</v>
      </c>
      <c r="BW194" s="15" t="s">
        <v>154</v>
      </c>
      <c r="BX194" s="15"/>
      <c r="BY194" s="15"/>
      <c r="BZ194" s="15" t="s">
        <v>157</v>
      </c>
      <c r="CA194" s="15" t="s">
        <v>269</v>
      </c>
      <c r="CB194" s="15" t="s">
        <v>51</v>
      </c>
      <c r="CC194" s="15" t="s">
        <v>965</v>
      </c>
      <c r="CD194" s="15" t="s">
        <v>392</v>
      </c>
      <c r="CE194" s="15" t="s">
        <v>396</v>
      </c>
      <c r="CF194" s="15" t="s">
        <v>398</v>
      </c>
      <c r="CG194" s="15" t="s">
        <v>856</v>
      </c>
      <c r="CH194" s="15" t="s">
        <v>159</v>
      </c>
      <c r="CI194" s="13">
        <v>1</v>
      </c>
      <c r="CJ194" s="13" t="str">
        <f t="shared" si="220"/>
        <v>GAS_ENQ_NO-835</v>
      </c>
      <c r="CK194" s="15" t="s">
        <v>779</v>
      </c>
      <c r="CL194" s="15" t="s">
        <v>391</v>
      </c>
      <c r="CM194" s="15" t="s">
        <v>390</v>
      </c>
      <c r="CN194" s="13" t="s">
        <v>780</v>
      </c>
      <c r="CO194" s="13" t="str">
        <f t="shared" si="221"/>
        <v>GAS_JOB_ID-835</v>
      </c>
      <c r="CP194" s="15"/>
      <c r="CQ194" s="13" t="str">
        <f t="shared" si="222"/>
        <v>10000835</v>
      </c>
      <c r="CR194" s="13" t="s">
        <v>154</v>
      </c>
      <c r="CS194" s="15" t="s">
        <v>51</v>
      </c>
      <c r="CT194" s="227" t="str">
        <f t="shared" si="223"/>
        <v>GMETER835</v>
      </c>
      <c r="CU194" s="13" t="s">
        <v>161</v>
      </c>
      <c r="CV194" s="15" t="s">
        <v>165</v>
      </c>
      <c r="CW194" s="15" t="s">
        <v>414</v>
      </c>
      <c r="CX194" s="15"/>
      <c r="CY194" s="15"/>
      <c r="CZ194" s="15" t="s">
        <v>394</v>
      </c>
      <c r="DA194" s="15" t="s">
        <v>395</v>
      </c>
      <c r="DB194" s="13" t="str">
        <f t="shared" si="163"/>
        <v>GAS_INST_ID-835</v>
      </c>
      <c r="DC194" s="15" t="s">
        <v>161</v>
      </c>
      <c r="DD194" s="15"/>
      <c r="DE194" s="15" t="s">
        <v>51</v>
      </c>
      <c r="DF194" s="15" t="s">
        <v>264</v>
      </c>
      <c r="DG194" s="15"/>
      <c r="DH194" s="15" t="s">
        <v>397</v>
      </c>
      <c r="DI194" s="15" t="s">
        <v>399</v>
      </c>
      <c r="DJ194" s="15" t="s">
        <v>856</v>
      </c>
      <c r="DK194" s="15" t="s">
        <v>140</v>
      </c>
      <c r="DL194" s="228"/>
      <c r="DM194" s="228"/>
      <c r="DN194" s="13" t="str">
        <f t="shared" si="164"/>
        <v>DS_Pass-835</v>
      </c>
      <c r="DO194" s="15"/>
      <c r="DP194" s="15"/>
      <c r="DQ194" s="15"/>
      <c r="DR194" s="13"/>
      <c r="DS194" s="13"/>
      <c r="DT194" s="15" t="s">
        <v>52</v>
      </c>
      <c r="DU194" s="15"/>
      <c r="DV194" s="15"/>
      <c r="DW194" s="13"/>
      <c r="DX194" s="15" t="s">
        <v>54</v>
      </c>
      <c r="DY194" s="15" t="s">
        <v>61</v>
      </c>
      <c r="DZ194" s="15" t="s">
        <v>402</v>
      </c>
      <c r="EA194" s="135" t="str">
        <f t="shared" si="224"/>
        <v>835CUSTOMER_ADDRESSEXCH9 ROADCUSTOMER_ADDRESSTESTINGHAMCUSTOMER_ADDRESSTESTINGHAMSHIRE</v>
      </c>
      <c r="EB194" s="15" t="s">
        <v>856</v>
      </c>
      <c r="EC194" s="228"/>
      <c r="ED194" s="228"/>
      <c r="EE194" s="228"/>
    </row>
    <row r="195" spans="1:135" s="229" customFormat="1">
      <c r="A195" s="219" t="s">
        <v>1013</v>
      </c>
      <c r="B195" s="219" t="s">
        <v>868</v>
      </c>
      <c r="C195" s="219" t="s">
        <v>865</v>
      </c>
      <c r="D195" s="13">
        <f>'Run Parameters'!$B$1 + ROW()-1</f>
        <v>836</v>
      </c>
      <c r="E195" s="15" t="s">
        <v>47</v>
      </c>
      <c r="F195" s="13" t="s">
        <v>857</v>
      </c>
      <c r="G195" s="13" t="str">
        <f t="shared" si="203"/>
        <v>Access Dtls-836</v>
      </c>
      <c r="H195" s="15" t="s">
        <v>275</v>
      </c>
      <c r="I195" s="13" t="str">
        <f>("MR. Test_186_EXCH9_"&amp;D195&amp;"")</f>
        <v>MR. Test_186_EXCH9_836</v>
      </c>
      <c r="J195" s="13"/>
      <c r="K195" s="19" t="s">
        <v>425</v>
      </c>
      <c r="L195" s="13" t="str">
        <f t="shared" si="204"/>
        <v>Cust. Ref-836</v>
      </c>
      <c r="M195" s="15" t="s">
        <v>48</v>
      </c>
      <c r="N195" s="15" t="s">
        <v>425</v>
      </c>
      <c r="O195" s="13"/>
      <c r="P195" s="13" t="str">
        <f t="shared" si="205"/>
        <v>SN-836</v>
      </c>
      <c r="Q195" s="13" t="str">
        <f t="shared" si="206"/>
        <v>SI-836</v>
      </c>
      <c r="R195" s="13" t="str">
        <f t="shared" si="207"/>
        <v>SE-836</v>
      </c>
      <c r="S195" s="135" t="str">
        <f t="shared" si="208"/>
        <v>Prev_RA-836</v>
      </c>
      <c r="T195" s="135" t="str">
        <f t="shared" si="209"/>
        <v>Prev_Comms-836</v>
      </c>
      <c r="U195" s="15" t="s">
        <v>75</v>
      </c>
      <c r="V195" s="15" t="s">
        <v>401</v>
      </c>
      <c r="W195" s="15" t="s">
        <v>75</v>
      </c>
      <c r="X195" s="15" t="s">
        <v>396</v>
      </c>
      <c r="Y195" s="13" t="str">
        <f t="shared" si="210"/>
        <v>Forward Add-836</v>
      </c>
      <c r="Z195" s="15" t="s">
        <v>401</v>
      </c>
      <c r="AA195" s="136" t="str">
        <f>'Run Parameters'!$B$2</f>
        <v>2018-08-13 08:00</v>
      </c>
      <c r="AB195" s="223" t="str">
        <f>'Run Parameters'!B$3</f>
        <v>2018-08-13 18:00</v>
      </c>
      <c r="AC195" s="26">
        <f>('Run Parameters'!$B$2) - 7</f>
        <v>43318.333333333336</v>
      </c>
      <c r="AD195" s="15" t="s">
        <v>75</v>
      </c>
      <c r="AE195" s="13" t="str">
        <f t="shared" si="211"/>
        <v>LAST_METER-836</v>
      </c>
      <c r="AF195" s="136" t="str">
        <f>'Run Parameters'!$B$2</f>
        <v>2018-08-13 08:00</v>
      </c>
      <c r="AG195" s="13" t="str">
        <f>'Run Parameters'!B$4</f>
        <v>AUTOTEST2</v>
      </c>
      <c r="AH195" s="135" t="str">
        <f t="shared" si="212"/>
        <v>Site_Contact_836</v>
      </c>
      <c r="AI195" s="136" t="str">
        <f>'Run Parameters'!B$2</f>
        <v>2018-08-13 08:00</v>
      </c>
      <c r="AJ195" s="223" t="str">
        <f>'Run Parameters'!B$3</f>
        <v>2018-08-13 18:00</v>
      </c>
      <c r="AK195" s="13" t="s">
        <v>396</v>
      </c>
      <c r="AL195" s="135" t="str">
        <f t="shared" si="213"/>
        <v>01159836</v>
      </c>
      <c r="AM195" s="13" t="str">
        <f t="shared" si="214"/>
        <v>0115836</v>
      </c>
      <c r="AN195" s="15"/>
      <c r="AO195" s="15"/>
      <c r="AP195" s="13">
        <v>1</v>
      </c>
      <c r="AQ195" s="15" t="s">
        <v>49</v>
      </c>
      <c r="AR195" s="15"/>
      <c r="AS195" s="13"/>
      <c r="AT195" s="15" t="s">
        <v>400</v>
      </c>
      <c r="AU195" s="15"/>
      <c r="AV195" s="13">
        <f t="shared" si="215"/>
        <v>836</v>
      </c>
      <c r="AW195" s="13" t="s">
        <v>858</v>
      </c>
      <c r="AX195" s="13" t="s">
        <v>420</v>
      </c>
      <c r="AY195" s="13" t="s">
        <v>421</v>
      </c>
      <c r="AZ195" s="15" t="s">
        <v>334</v>
      </c>
      <c r="BA195" s="15" t="s">
        <v>154</v>
      </c>
      <c r="BB195" s="13">
        <v>1</v>
      </c>
      <c r="BC195" s="13">
        <f t="shared" si="216"/>
        <v>836</v>
      </c>
      <c r="BD195" s="15" t="s">
        <v>962</v>
      </c>
      <c r="BE195" s="15" t="s">
        <v>390</v>
      </c>
      <c r="BF195" s="15" t="s">
        <v>390</v>
      </c>
      <c r="BG195" s="13" t="s">
        <v>857</v>
      </c>
      <c r="BH195" s="13" t="str">
        <f t="shared" si="217"/>
        <v>836_1</v>
      </c>
      <c r="BI195" s="13"/>
      <c r="BJ195" s="13" t="str">
        <f t="shared" si="218"/>
        <v>10000000836</v>
      </c>
      <c r="BK195" s="15" t="s">
        <v>51</v>
      </c>
      <c r="BL195" s="15" t="s">
        <v>54</v>
      </c>
      <c r="BM195" s="13" t="s">
        <v>277</v>
      </c>
      <c r="BN195" s="15" t="s">
        <v>51</v>
      </c>
      <c r="BO195" s="13" t="str">
        <f t="shared" si="219"/>
        <v>S05S836</v>
      </c>
      <c r="BP195" s="15" t="s">
        <v>392</v>
      </c>
      <c r="BQ195" s="15" t="s">
        <v>392</v>
      </c>
      <c r="BR195" s="13" t="s">
        <v>159</v>
      </c>
      <c r="BS195" s="15" t="s">
        <v>963</v>
      </c>
      <c r="BT195" s="15" t="s">
        <v>964</v>
      </c>
      <c r="BU195" s="15" t="s">
        <v>393</v>
      </c>
      <c r="BV195" s="15" t="s">
        <v>51</v>
      </c>
      <c r="BW195" s="15" t="s">
        <v>154</v>
      </c>
      <c r="BX195" s="15"/>
      <c r="BY195" s="15"/>
      <c r="BZ195" s="15" t="s">
        <v>157</v>
      </c>
      <c r="CA195" s="15" t="s">
        <v>269</v>
      </c>
      <c r="CB195" s="15" t="s">
        <v>51</v>
      </c>
      <c r="CC195" s="15" t="s">
        <v>965</v>
      </c>
      <c r="CD195" s="15" t="s">
        <v>392</v>
      </c>
      <c r="CE195" s="15" t="s">
        <v>396</v>
      </c>
      <c r="CF195" s="15" t="s">
        <v>398</v>
      </c>
      <c r="CG195" s="15" t="s">
        <v>856</v>
      </c>
      <c r="CH195" s="15" t="s">
        <v>159</v>
      </c>
      <c r="CI195" s="13">
        <v>1</v>
      </c>
      <c r="CJ195" s="13" t="str">
        <f t="shared" si="220"/>
        <v>GAS_ENQ_NO-836</v>
      </c>
      <c r="CK195" s="15" t="s">
        <v>779</v>
      </c>
      <c r="CL195" s="15" t="s">
        <v>391</v>
      </c>
      <c r="CM195" s="15" t="s">
        <v>390</v>
      </c>
      <c r="CN195" s="13" t="s">
        <v>780</v>
      </c>
      <c r="CO195" s="13" t="str">
        <f t="shared" si="221"/>
        <v>GAS_JOB_ID-836</v>
      </c>
      <c r="CP195" s="15"/>
      <c r="CQ195" s="13" t="str">
        <f t="shared" si="222"/>
        <v>10000836</v>
      </c>
      <c r="CR195" s="13" t="s">
        <v>154</v>
      </c>
      <c r="CS195" s="15" t="s">
        <v>51</v>
      </c>
      <c r="CT195" s="227" t="str">
        <f t="shared" si="223"/>
        <v>GMETER836</v>
      </c>
      <c r="CU195" s="13" t="s">
        <v>161</v>
      </c>
      <c r="CV195" s="15" t="s">
        <v>165</v>
      </c>
      <c r="CW195" s="15" t="s">
        <v>414</v>
      </c>
      <c r="CX195" s="15"/>
      <c r="CY195" s="15"/>
      <c r="CZ195" s="15" t="s">
        <v>394</v>
      </c>
      <c r="DA195" s="15" t="s">
        <v>395</v>
      </c>
      <c r="DB195" s="13" t="str">
        <f t="shared" si="163"/>
        <v>GAS_INST_ID-836</v>
      </c>
      <c r="DC195" s="15" t="s">
        <v>161</v>
      </c>
      <c r="DD195" s="15"/>
      <c r="DE195" s="15" t="s">
        <v>51</v>
      </c>
      <c r="DF195" s="15" t="s">
        <v>264</v>
      </c>
      <c r="DG195" s="15"/>
      <c r="DH195" s="15" t="s">
        <v>397</v>
      </c>
      <c r="DI195" s="15" t="s">
        <v>399</v>
      </c>
      <c r="DJ195" s="15" t="s">
        <v>856</v>
      </c>
      <c r="DK195" s="15" t="s">
        <v>140</v>
      </c>
      <c r="DL195" s="228"/>
      <c r="DM195" s="228"/>
      <c r="DN195" s="13" t="str">
        <f t="shared" si="164"/>
        <v>DS_Pass-836</v>
      </c>
      <c r="DO195" s="15"/>
      <c r="DP195" s="15"/>
      <c r="DQ195" s="15"/>
      <c r="DR195" s="13"/>
      <c r="DS195" s="13"/>
      <c r="DT195" s="15" t="s">
        <v>52</v>
      </c>
      <c r="DU195" s="15"/>
      <c r="DV195" s="15"/>
      <c r="DW195" s="13"/>
      <c r="DX195" s="15" t="s">
        <v>54</v>
      </c>
      <c r="DY195" s="15" t="s">
        <v>61</v>
      </c>
      <c r="DZ195" s="15" t="s">
        <v>402</v>
      </c>
      <c r="EA195" s="135" t="str">
        <f t="shared" si="224"/>
        <v>836CUSTOMER_ADDRESSEXCH9 ROADCUSTOMER_ADDRESSTESTINGHAMCUSTOMER_ADDRESSTESTINGHAMSHIRE</v>
      </c>
      <c r="EB195" s="15" t="s">
        <v>856</v>
      </c>
      <c r="EC195" s="228"/>
      <c r="ED195" s="228"/>
      <c r="EE195" s="228"/>
    </row>
    <row r="196" spans="1:135" s="229" customFormat="1">
      <c r="A196" s="219" t="s">
        <v>1014</v>
      </c>
      <c r="B196" s="219" t="s">
        <v>892</v>
      </c>
      <c r="C196" s="219" t="s">
        <v>865</v>
      </c>
      <c r="D196" s="13">
        <f>'Run Parameters'!$B$1 + ROW()-1</f>
        <v>837</v>
      </c>
      <c r="E196" s="15" t="s">
        <v>47</v>
      </c>
      <c r="F196" s="13" t="s">
        <v>857</v>
      </c>
      <c r="G196" s="13" t="str">
        <f t="shared" si="203"/>
        <v>Access Dtls-837</v>
      </c>
      <c r="H196" s="15" t="s">
        <v>275</v>
      </c>
      <c r="I196" s="13" t="str">
        <f>("MR. Test_187_EXCH9_"&amp;D196&amp;"")</f>
        <v>MR. Test_187_EXCH9_837</v>
      </c>
      <c r="J196" s="13"/>
      <c r="K196" s="19" t="s">
        <v>425</v>
      </c>
      <c r="L196" s="13" t="str">
        <f t="shared" si="204"/>
        <v>Cust. Ref-837</v>
      </c>
      <c r="M196" s="15" t="s">
        <v>48</v>
      </c>
      <c r="N196" s="15" t="s">
        <v>425</v>
      </c>
      <c r="O196" s="13"/>
      <c r="P196" s="13" t="str">
        <f t="shared" si="205"/>
        <v>SN-837</v>
      </c>
      <c r="Q196" s="13" t="str">
        <f t="shared" si="206"/>
        <v>SI-837</v>
      </c>
      <c r="R196" s="13" t="str">
        <f t="shared" si="207"/>
        <v>SE-837</v>
      </c>
      <c r="S196" s="135" t="str">
        <f t="shared" si="208"/>
        <v>Prev_RA-837</v>
      </c>
      <c r="T196" s="135" t="str">
        <f t="shared" si="209"/>
        <v>Prev_Comms-837</v>
      </c>
      <c r="U196" s="15" t="s">
        <v>75</v>
      </c>
      <c r="V196" s="15" t="s">
        <v>401</v>
      </c>
      <c r="W196" s="15" t="s">
        <v>75</v>
      </c>
      <c r="X196" s="15" t="s">
        <v>396</v>
      </c>
      <c r="Y196" s="13" t="str">
        <f t="shared" si="210"/>
        <v>Forward Add-837</v>
      </c>
      <c r="Z196" s="15" t="s">
        <v>401</v>
      </c>
      <c r="AA196" s="136" t="str">
        <f>'Run Parameters'!$B$2</f>
        <v>2018-08-13 08:00</v>
      </c>
      <c r="AB196" s="223" t="str">
        <f>'Run Parameters'!B$3</f>
        <v>2018-08-13 18:00</v>
      </c>
      <c r="AC196" s="26">
        <f>('Run Parameters'!$B$2) - 7</f>
        <v>43318.333333333336</v>
      </c>
      <c r="AD196" s="15" t="s">
        <v>75</v>
      </c>
      <c r="AE196" s="13" t="str">
        <f t="shared" si="211"/>
        <v>LAST_METER-837</v>
      </c>
      <c r="AF196" s="136" t="str">
        <f>'Run Parameters'!$B$2</f>
        <v>2018-08-13 08:00</v>
      </c>
      <c r="AG196" s="13" t="str">
        <f>'Run Parameters'!B$4</f>
        <v>AUTOTEST2</v>
      </c>
      <c r="AH196" s="135" t="str">
        <f t="shared" si="212"/>
        <v>Site_Contact_837</v>
      </c>
      <c r="AI196" s="136" t="str">
        <f>'Run Parameters'!B$2</f>
        <v>2018-08-13 08:00</v>
      </c>
      <c r="AJ196" s="223" t="str">
        <f>'Run Parameters'!B$3</f>
        <v>2018-08-13 18:00</v>
      </c>
      <c r="AK196" s="13" t="s">
        <v>396</v>
      </c>
      <c r="AL196" s="135" t="str">
        <f t="shared" si="213"/>
        <v>01159837</v>
      </c>
      <c r="AM196" s="13" t="str">
        <f t="shared" si="214"/>
        <v>0115837</v>
      </c>
      <c r="AN196" s="15"/>
      <c r="AO196" s="15"/>
      <c r="AP196" s="13">
        <v>1</v>
      </c>
      <c r="AQ196" s="15" t="s">
        <v>49</v>
      </c>
      <c r="AR196" s="15"/>
      <c r="AS196" s="13"/>
      <c r="AT196" s="15" t="s">
        <v>400</v>
      </c>
      <c r="AU196" s="15"/>
      <c r="AV196" s="13">
        <f t="shared" si="215"/>
        <v>837</v>
      </c>
      <c r="AW196" s="13" t="s">
        <v>858</v>
      </c>
      <c r="AX196" s="13" t="s">
        <v>420</v>
      </c>
      <c r="AY196" s="13" t="s">
        <v>421</v>
      </c>
      <c r="AZ196" s="15" t="s">
        <v>334</v>
      </c>
      <c r="BA196" s="15" t="s">
        <v>154</v>
      </c>
      <c r="BB196" s="13">
        <v>1</v>
      </c>
      <c r="BC196" s="13">
        <f t="shared" si="216"/>
        <v>837</v>
      </c>
      <c r="BD196" s="15" t="s">
        <v>962</v>
      </c>
      <c r="BE196" s="15" t="s">
        <v>390</v>
      </c>
      <c r="BF196" s="15" t="s">
        <v>390</v>
      </c>
      <c r="BG196" s="13" t="s">
        <v>857</v>
      </c>
      <c r="BH196" s="13" t="str">
        <f t="shared" si="217"/>
        <v>837_1</v>
      </c>
      <c r="BI196" s="13"/>
      <c r="BJ196" s="13" t="str">
        <f t="shared" si="218"/>
        <v>10000000837</v>
      </c>
      <c r="BK196" s="15" t="s">
        <v>51</v>
      </c>
      <c r="BL196" s="15" t="s">
        <v>54</v>
      </c>
      <c r="BM196" s="13" t="s">
        <v>277</v>
      </c>
      <c r="BN196" s="15" t="s">
        <v>51</v>
      </c>
      <c r="BO196" s="13" t="str">
        <f t="shared" si="219"/>
        <v>S05S837</v>
      </c>
      <c r="BP196" s="15" t="s">
        <v>392</v>
      </c>
      <c r="BQ196" s="15" t="s">
        <v>392</v>
      </c>
      <c r="BR196" s="13" t="s">
        <v>159</v>
      </c>
      <c r="BS196" s="15" t="s">
        <v>963</v>
      </c>
      <c r="BT196" s="15" t="s">
        <v>964</v>
      </c>
      <c r="BU196" s="15" t="s">
        <v>393</v>
      </c>
      <c r="BV196" s="15" t="s">
        <v>51</v>
      </c>
      <c r="BW196" s="15" t="s">
        <v>154</v>
      </c>
      <c r="BX196" s="15"/>
      <c r="BY196" s="15"/>
      <c r="BZ196" s="15" t="s">
        <v>157</v>
      </c>
      <c r="CA196" s="15" t="s">
        <v>269</v>
      </c>
      <c r="CB196" s="15" t="s">
        <v>51</v>
      </c>
      <c r="CC196" s="15" t="s">
        <v>965</v>
      </c>
      <c r="CD196" s="15" t="s">
        <v>392</v>
      </c>
      <c r="CE196" s="15" t="s">
        <v>396</v>
      </c>
      <c r="CF196" s="15" t="s">
        <v>398</v>
      </c>
      <c r="CG196" s="15" t="s">
        <v>856</v>
      </c>
      <c r="CH196" s="15" t="s">
        <v>159</v>
      </c>
      <c r="CI196" s="13">
        <v>1</v>
      </c>
      <c r="CJ196" s="13" t="str">
        <f t="shared" si="220"/>
        <v>GAS_ENQ_NO-837</v>
      </c>
      <c r="CK196" s="15" t="s">
        <v>779</v>
      </c>
      <c r="CL196" s="15" t="s">
        <v>391</v>
      </c>
      <c r="CM196" s="15" t="s">
        <v>390</v>
      </c>
      <c r="CN196" s="13" t="s">
        <v>780</v>
      </c>
      <c r="CO196" s="13" t="str">
        <f t="shared" si="221"/>
        <v>GAS_JOB_ID-837</v>
      </c>
      <c r="CP196" s="15"/>
      <c r="CQ196" s="13" t="str">
        <f t="shared" si="222"/>
        <v>10000837</v>
      </c>
      <c r="CR196" s="13" t="s">
        <v>154</v>
      </c>
      <c r="CS196" s="15" t="s">
        <v>51</v>
      </c>
      <c r="CT196" s="227" t="str">
        <f t="shared" si="223"/>
        <v>GMETER837</v>
      </c>
      <c r="CU196" s="13" t="s">
        <v>161</v>
      </c>
      <c r="CV196" s="15" t="s">
        <v>165</v>
      </c>
      <c r="CW196" s="15" t="s">
        <v>414</v>
      </c>
      <c r="CX196" s="15"/>
      <c r="CY196" s="15"/>
      <c r="CZ196" s="15" t="s">
        <v>394</v>
      </c>
      <c r="DA196" s="15" t="s">
        <v>395</v>
      </c>
      <c r="DB196" s="13" t="str">
        <f t="shared" si="163"/>
        <v>GAS_INST_ID-837</v>
      </c>
      <c r="DC196" s="15" t="s">
        <v>161</v>
      </c>
      <c r="DD196" s="15"/>
      <c r="DE196" s="15" t="s">
        <v>51</v>
      </c>
      <c r="DF196" s="15" t="s">
        <v>264</v>
      </c>
      <c r="DG196" s="15"/>
      <c r="DH196" s="15" t="s">
        <v>397</v>
      </c>
      <c r="DI196" s="15" t="s">
        <v>399</v>
      </c>
      <c r="DJ196" s="15" t="s">
        <v>856</v>
      </c>
      <c r="DK196" s="15" t="s">
        <v>140</v>
      </c>
      <c r="DL196" s="228"/>
      <c r="DM196" s="228"/>
      <c r="DN196" s="13" t="str">
        <f t="shared" si="164"/>
        <v>DS_Pass-837</v>
      </c>
      <c r="DO196" s="15"/>
      <c r="DP196" s="15"/>
      <c r="DQ196" s="15"/>
      <c r="DR196" s="13"/>
      <c r="DS196" s="13"/>
      <c r="DT196" s="15" t="s">
        <v>52</v>
      </c>
      <c r="DU196" s="15"/>
      <c r="DV196" s="15"/>
      <c r="DW196" s="13"/>
      <c r="DX196" s="15" t="s">
        <v>54</v>
      </c>
      <c r="DY196" s="15" t="s">
        <v>61</v>
      </c>
      <c r="DZ196" s="15" t="s">
        <v>402</v>
      </c>
      <c r="EA196" s="135" t="str">
        <f t="shared" si="224"/>
        <v>837CUSTOMER_ADDRESSEXCH9 ROADCUSTOMER_ADDRESSTESTINGHAMCUSTOMER_ADDRESSTESTINGHAMSHIRE</v>
      </c>
      <c r="EB196" s="15" t="s">
        <v>856</v>
      </c>
      <c r="EC196" s="228"/>
      <c r="ED196" s="228"/>
      <c r="EE196" s="228"/>
    </row>
    <row r="197" spans="1:135" s="229" customFormat="1">
      <c r="A197" s="219" t="s">
        <v>1015</v>
      </c>
      <c r="B197" s="219" t="s">
        <v>868</v>
      </c>
      <c r="C197" s="219" t="s">
        <v>865</v>
      </c>
      <c r="D197" s="13">
        <f>'Run Parameters'!$B$1 + ROW()-1</f>
        <v>838</v>
      </c>
      <c r="E197" s="15" t="s">
        <v>47</v>
      </c>
      <c r="F197" s="13" t="s">
        <v>857</v>
      </c>
      <c r="G197" s="13" t="str">
        <f t="shared" si="203"/>
        <v>Access Dtls-838</v>
      </c>
      <c r="H197" s="15" t="s">
        <v>275</v>
      </c>
      <c r="I197" s="13" t="str">
        <f>("MR. Test_188_EXCH9_"&amp;D197&amp;"")</f>
        <v>MR. Test_188_EXCH9_838</v>
      </c>
      <c r="J197" s="13"/>
      <c r="K197" s="19" t="s">
        <v>425</v>
      </c>
      <c r="L197" s="13" t="str">
        <f t="shared" si="204"/>
        <v>Cust. Ref-838</v>
      </c>
      <c r="M197" s="15" t="s">
        <v>48</v>
      </c>
      <c r="N197" s="15" t="s">
        <v>425</v>
      </c>
      <c r="O197" s="13"/>
      <c r="P197" s="13" t="str">
        <f t="shared" si="205"/>
        <v>SN-838</v>
      </c>
      <c r="Q197" s="13" t="str">
        <f t="shared" si="206"/>
        <v>SI-838</v>
      </c>
      <c r="R197" s="13" t="str">
        <f t="shared" si="207"/>
        <v>SE-838</v>
      </c>
      <c r="S197" s="135" t="str">
        <f t="shared" si="208"/>
        <v>Prev_RA-838</v>
      </c>
      <c r="T197" s="135" t="str">
        <f t="shared" si="209"/>
        <v>Prev_Comms-838</v>
      </c>
      <c r="U197" s="15" t="s">
        <v>75</v>
      </c>
      <c r="V197" s="15" t="s">
        <v>401</v>
      </c>
      <c r="W197" s="15" t="s">
        <v>75</v>
      </c>
      <c r="X197" s="15" t="s">
        <v>396</v>
      </c>
      <c r="Y197" s="13" t="str">
        <f t="shared" si="210"/>
        <v>Forward Add-838</v>
      </c>
      <c r="Z197" s="15" t="s">
        <v>401</v>
      </c>
      <c r="AA197" s="136" t="str">
        <f>'Run Parameters'!$B$2</f>
        <v>2018-08-13 08:00</v>
      </c>
      <c r="AB197" s="223" t="str">
        <f>'Run Parameters'!B$3</f>
        <v>2018-08-13 18:00</v>
      </c>
      <c r="AC197" s="26">
        <f>('Run Parameters'!$B$2) - 7</f>
        <v>43318.333333333336</v>
      </c>
      <c r="AD197" s="15" t="s">
        <v>75</v>
      </c>
      <c r="AE197" s="13" t="str">
        <f t="shared" si="211"/>
        <v>LAST_METER-838</v>
      </c>
      <c r="AF197" s="136" t="str">
        <f>'Run Parameters'!$B$2</f>
        <v>2018-08-13 08:00</v>
      </c>
      <c r="AG197" s="13" t="str">
        <f>'Run Parameters'!B$4</f>
        <v>AUTOTEST2</v>
      </c>
      <c r="AH197" s="135" t="str">
        <f t="shared" si="212"/>
        <v>Site_Contact_838</v>
      </c>
      <c r="AI197" s="136" t="str">
        <f>'Run Parameters'!B$2</f>
        <v>2018-08-13 08:00</v>
      </c>
      <c r="AJ197" s="223" t="str">
        <f>'Run Parameters'!B$3</f>
        <v>2018-08-13 18:00</v>
      </c>
      <c r="AK197" s="13" t="s">
        <v>396</v>
      </c>
      <c r="AL197" s="135" t="str">
        <f t="shared" si="213"/>
        <v>01159838</v>
      </c>
      <c r="AM197" s="13" t="str">
        <f t="shared" si="214"/>
        <v>0115838</v>
      </c>
      <c r="AN197" s="15"/>
      <c r="AO197" s="15"/>
      <c r="AP197" s="13">
        <v>1</v>
      </c>
      <c r="AQ197" s="15" t="s">
        <v>49</v>
      </c>
      <c r="AR197" s="15"/>
      <c r="AS197" s="13"/>
      <c r="AT197" s="15" t="s">
        <v>400</v>
      </c>
      <c r="AU197" s="15"/>
      <c r="AV197" s="13">
        <f t="shared" si="215"/>
        <v>838</v>
      </c>
      <c r="AW197" s="13" t="s">
        <v>858</v>
      </c>
      <c r="AX197" s="13" t="s">
        <v>420</v>
      </c>
      <c r="AY197" s="13" t="s">
        <v>421</v>
      </c>
      <c r="AZ197" s="15" t="s">
        <v>334</v>
      </c>
      <c r="BA197" s="15" t="s">
        <v>154</v>
      </c>
      <c r="BB197" s="13">
        <v>1</v>
      </c>
      <c r="BC197" s="13">
        <f t="shared" si="216"/>
        <v>838</v>
      </c>
      <c r="BD197" s="15" t="s">
        <v>962</v>
      </c>
      <c r="BE197" s="15" t="s">
        <v>390</v>
      </c>
      <c r="BF197" s="15" t="s">
        <v>390</v>
      </c>
      <c r="BG197" s="13" t="s">
        <v>857</v>
      </c>
      <c r="BH197" s="13" t="str">
        <f t="shared" si="217"/>
        <v>838_1</v>
      </c>
      <c r="BI197" s="13"/>
      <c r="BJ197" s="13" t="str">
        <f t="shared" si="218"/>
        <v>10000000838</v>
      </c>
      <c r="BK197" s="15" t="s">
        <v>51</v>
      </c>
      <c r="BL197" s="15" t="s">
        <v>54</v>
      </c>
      <c r="BM197" s="13" t="s">
        <v>277</v>
      </c>
      <c r="BN197" s="15" t="s">
        <v>51</v>
      </c>
      <c r="BO197" s="13" t="str">
        <f t="shared" si="219"/>
        <v>S05S838</v>
      </c>
      <c r="BP197" s="15" t="s">
        <v>392</v>
      </c>
      <c r="BQ197" s="15" t="s">
        <v>392</v>
      </c>
      <c r="BR197" s="13" t="s">
        <v>159</v>
      </c>
      <c r="BS197" s="15" t="s">
        <v>963</v>
      </c>
      <c r="BT197" s="15" t="s">
        <v>964</v>
      </c>
      <c r="BU197" s="15" t="s">
        <v>393</v>
      </c>
      <c r="BV197" s="15" t="s">
        <v>51</v>
      </c>
      <c r="BW197" s="15" t="s">
        <v>154</v>
      </c>
      <c r="BX197" s="15"/>
      <c r="BY197" s="15"/>
      <c r="BZ197" s="15" t="s">
        <v>157</v>
      </c>
      <c r="CA197" s="15" t="s">
        <v>269</v>
      </c>
      <c r="CB197" s="15" t="s">
        <v>51</v>
      </c>
      <c r="CC197" s="15" t="s">
        <v>965</v>
      </c>
      <c r="CD197" s="15" t="s">
        <v>392</v>
      </c>
      <c r="CE197" s="15" t="s">
        <v>396</v>
      </c>
      <c r="CF197" s="15" t="s">
        <v>398</v>
      </c>
      <c r="CG197" s="15" t="s">
        <v>856</v>
      </c>
      <c r="CH197" s="15" t="s">
        <v>159</v>
      </c>
      <c r="CI197" s="13">
        <v>1</v>
      </c>
      <c r="CJ197" s="13" t="str">
        <f t="shared" si="220"/>
        <v>GAS_ENQ_NO-838</v>
      </c>
      <c r="CK197" s="15" t="s">
        <v>779</v>
      </c>
      <c r="CL197" s="15" t="s">
        <v>391</v>
      </c>
      <c r="CM197" s="15" t="s">
        <v>390</v>
      </c>
      <c r="CN197" s="13" t="s">
        <v>780</v>
      </c>
      <c r="CO197" s="13" t="str">
        <f t="shared" si="221"/>
        <v>GAS_JOB_ID-838</v>
      </c>
      <c r="CP197" s="15"/>
      <c r="CQ197" s="13" t="str">
        <f t="shared" si="222"/>
        <v>10000838</v>
      </c>
      <c r="CR197" s="13" t="s">
        <v>154</v>
      </c>
      <c r="CS197" s="15" t="s">
        <v>51</v>
      </c>
      <c r="CT197" s="227" t="str">
        <f t="shared" si="223"/>
        <v>GMETER838</v>
      </c>
      <c r="CU197" s="13" t="s">
        <v>161</v>
      </c>
      <c r="CV197" s="15" t="s">
        <v>165</v>
      </c>
      <c r="CW197" s="15" t="s">
        <v>414</v>
      </c>
      <c r="CX197" s="15"/>
      <c r="CY197" s="15"/>
      <c r="CZ197" s="15" t="s">
        <v>394</v>
      </c>
      <c r="DA197" s="15" t="s">
        <v>395</v>
      </c>
      <c r="DB197" s="13" t="str">
        <f t="shared" si="163"/>
        <v>GAS_INST_ID-838</v>
      </c>
      <c r="DC197" s="15" t="s">
        <v>161</v>
      </c>
      <c r="DD197" s="15"/>
      <c r="DE197" s="15" t="s">
        <v>51</v>
      </c>
      <c r="DF197" s="15" t="s">
        <v>264</v>
      </c>
      <c r="DG197" s="15"/>
      <c r="DH197" s="15" t="s">
        <v>397</v>
      </c>
      <c r="DI197" s="15" t="s">
        <v>399</v>
      </c>
      <c r="DJ197" s="15" t="s">
        <v>856</v>
      </c>
      <c r="DK197" s="15" t="s">
        <v>140</v>
      </c>
      <c r="DL197" s="228"/>
      <c r="DM197" s="228"/>
      <c r="DN197" s="13" t="str">
        <f t="shared" si="164"/>
        <v>DS_Pass-838</v>
      </c>
      <c r="DO197" s="15"/>
      <c r="DP197" s="15"/>
      <c r="DQ197" s="15"/>
      <c r="DR197" s="13"/>
      <c r="DS197" s="13"/>
      <c r="DT197" s="15" t="s">
        <v>52</v>
      </c>
      <c r="DU197" s="15"/>
      <c r="DV197" s="15"/>
      <c r="DW197" s="13"/>
      <c r="DX197" s="15" t="s">
        <v>54</v>
      </c>
      <c r="DY197" s="15" t="s">
        <v>61</v>
      </c>
      <c r="DZ197" s="15" t="s">
        <v>402</v>
      </c>
      <c r="EA197" s="135" t="str">
        <f t="shared" si="224"/>
        <v>838CUSTOMER_ADDRESSEXCH9 ROADCUSTOMER_ADDRESSTESTINGHAMCUSTOMER_ADDRESSTESTINGHAMSHIRE</v>
      </c>
      <c r="EB197" s="15" t="s">
        <v>856</v>
      </c>
      <c r="EC197" s="228"/>
      <c r="ED197" s="228"/>
      <c r="EE197" s="228"/>
    </row>
    <row r="198" spans="1:135" s="229" customFormat="1">
      <c r="A198" s="219" t="s">
        <v>1016</v>
      </c>
      <c r="B198" s="219" t="s">
        <v>892</v>
      </c>
      <c r="C198" s="219" t="s">
        <v>865</v>
      </c>
      <c r="D198" s="13">
        <f>'Run Parameters'!$B$1 + ROW()-1</f>
        <v>839</v>
      </c>
      <c r="E198" s="15" t="s">
        <v>47</v>
      </c>
      <c r="F198" s="13" t="s">
        <v>857</v>
      </c>
      <c r="G198" s="13" t="str">
        <f t="shared" si="203"/>
        <v>Access Dtls-839</v>
      </c>
      <c r="H198" s="15" t="s">
        <v>275</v>
      </c>
      <c r="I198" s="13" t="str">
        <f>("MR. Test_189_EXCH9_"&amp;D198&amp;"")</f>
        <v>MR. Test_189_EXCH9_839</v>
      </c>
      <c r="J198" s="13"/>
      <c r="K198" s="19" t="s">
        <v>425</v>
      </c>
      <c r="L198" s="13" t="str">
        <f t="shared" si="204"/>
        <v>Cust. Ref-839</v>
      </c>
      <c r="M198" s="15" t="s">
        <v>48</v>
      </c>
      <c r="N198" s="15" t="s">
        <v>425</v>
      </c>
      <c r="O198" s="13"/>
      <c r="P198" s="13" t="str">
        <f t="shared" si="205"/>
        <v>SN-839</v>
      </c>
      <c r="Q198" s="13" t="str">
        <f t="shared" si="206"/>
        <v>SI-839</v>
      </c>
      <c r="R198" s="13" t="str">
        <f t="shared" si="207"/>
        <v>SE-839</v>
      </c>
      <c r="S198" s="135" t="str">
        <f t="shared" si="208"/>
        <v>Prev_RA-839</v>
      </c>
      <c r="T198" s="135" t="str">
        <f t="shared" si="209"/>
        <v>Prev_Comms-839</v>
      </c>
      <c r="U198" s="15" t="s">
        <v>75</v>
      </c>
      <c r="V198" s="15" t="s">
        <v>401</v>
      </c>
      <c r="W198" s="15" t="s">
        <v>75</v>
      </c>
      <c r="X198" s="15" t="s">
        <v>396</v>
      </c>
      <c r="Y198" s="13" t="str">
        <f t="shared" si="210"/>
        <v>Forward Add-839</v>
      </c>
      <c r="Z198" s="15" t="s">
        <v>401</v>
      </c>
      <c r="AA198" s="136" t="str">
        <f>'Run Parameters'!$B$2</f>
        <v>2018-08-13 08:00</v>
      </c>
      <c r="AB198" s="223" t="str">
        <f>'Run Parameters'!B$3</f>
        <v>2018-08-13 18:00</v>
      </c>
      <c r="AC198" s="26">
        <f>('Run Parameters'!$B$2) - 7</f>
        <v>43318.333333333336</v>
      </c>
      <c r="AD198" s="15" t="s">
        <v>75</v>
      </c>
      <c r="AE198" s="13" t="str">
        <f t="shared" si="211"/>
        <v>LAST_METER-839</v>
      </c>
      <c r="AF198" s="136" t="str">
        <f>'Run Parameters'!$B$2</f>
        <v>2018-08-13 08:00</v>
      </c>
      <c r="AG198" s="13" t="str">
        <f>'Run Parameters'!B$4</f>
        <v>AUTOTEST2</v>
      </c>
      <c r="AH198" s="135" t="str">
        <f t="shared" si="212"/>
        <v>Site_Contact_839</v>
      </c>
      <c r="AI198" s="136" t="str">
        <f>'Run Parameters'!B$2</f>
        <v>2018-08-13 08:00</v>
      </c>
      <c r="AJ198" s="223" t="str">
        <f>'Run Parameters'!B$3</f>
        <v>2018-08-13 18:00</v>
      </c>
      <c r="AK198" s="13" t="s">
        <v>396</v>
      </c>
      <c r="AL198" s="135" t="str">
        <f t="shared" si="213"/>
        <v>01159839</v>
      </c>
      <c r="AM198" s="13" t="str">
        <f t="shared" si="214"/>
        <v>0115839</v>
      </c>
      <c r="AN198" s="15"/>
      <c r="AO198" s="15"/>
      <c r="AP198" s="13">
        <v>1</v>
      </c>
      <c r="AQ198" s="15" t="s">
        <v>49</v>
      </c>
      <c r="AR198" s="15"/>
      <c r="AS198" s="13"/>
      <c r="AT198" s="15" t="s">
        <v>400</v>
      </c>
      <c r="AU198" s="15"/>
      <c r="AV198" s="13">
        <f t="shared" si="215"/>
        <v>839</v>
      </c>
      <c r="AW198" s="13" t="s">
        <v>858</v>
      </c>
      <c r="AX198" s="13" t="s">
        <v>420</v>
      </c>
      <c r="AY198" s="13" t="s">
        <v>421</v>
      </c>
      <c r="AZ198" s="15" t="s">
        <v>334</v>
      </c>
      <c r="BA198" s="15" t="s">
        <v>154</v>
      </c>
      <c r="BB198" s="13">
        <v>1</v>
      </c>
      <c r="BC198" s="13">
        <f t="shared" si="216"/>
        <v>839</v>
      </c>
      <c r="BD198" s="15" t="s">
        <v>962</v>
      </c>
      <c r="BE198" s="15" t="s">
        <v>390</v>
      </c>
      <c r="BF198" s="15" t="s">
        <v>390</v>
      </c>
      <c r="BG198" s="13" t="s">
        <v>857</v>
      </c>
      <c r="BH198" s="13" t="str">
        <f t="shared" si="217"/>
        <v>839_1</v>
      </c>
      <c r="BI198" s="13"/>
      <c r="BJ198" s="13" t="str">
        <f t="shared" si="218"/>
        <v>10000000839</v>
      </c>
      <c r="BK198" s="15" t="s">
        <v>51</v>
      </c>
      <c r="BL198" s="15" t="s">
        <v>54</v>
      </c>
      <c r="BM198" s="13" t="s">
        <v>277</v>
      </c>
      <c r="BN198" s="15" t="s">
        <v>51</v>
      </c>
      <c r="BO198" s="13" t="str">
        <f t="shared" si="219"/>
        <v>S05S839</v>
      </c>
      <c r="BP198" s="15" t="s">
        <v>392</v>
      </c>
      <c r="BQ198" s="15" t="s">
        <v>392</v>
      </c>
      <c r="BR198" s="13" t="s">
        <v>159</v>
      </c>
      <c r="BS198" s="15" t="s">
        <v>963</v>
      </c>
      <c r="BT198" s="15" t="s">
        <v>964</v>
      </c>
      <c r="BU198" s="15" t="s">
        <v>393</v>
      </c>
      <c r="BV198" s="15" t="s">
        <v>51</v>
      </c>
      <c r="BW198" s="15" t="s">
        <v>154</v>
      </c>
      <c r="BX198" s="15"/>
      <c r="BY198" s="15"/>
      <c r="BZ198" s="15" t="s">
        <v>157</v>
      </c>
      <c r="CA198" s="15" t="s">
        <v>269</v>
      </c>
      <c r="CB198" s="15" t="s">
        <v>51</v>
      </c>
      <c r="CC198" s="15" t="s">
        <v>965</v>
      </c>
      <c r="CD198" s="15" t="s">
        <v>392</v>
      </c>
      <c r="CE198" s="15" t="s">
        <v>396</v>
      </c>
      <c r="CF198" s="15" t="s">
        <v>398</v>
      </c>
      <c r="CG198" s="15" t="s">
        <v>856</v>
      </c>
      <c r="CH198" s="15" t="s">
        <v>159</v>
      </c>
      <c r="CI198" s="13">
        <v>1</v>
      </c>
      <c r="CJ198" s="13" t="str">
        <f t="shared" si="220"/>
        <v>GAS_ENQ_NO-839</v>
      </c>
      <c r="CK198" s="15" t="s">
        <v>779</v>
      </c>
      <c r="CL198" s="15" t="s">
        <v>391</v>
      </c>
      <c r="CM198" s="15" t="s">
        <v>390</v>
      </c>
      <c r="CN198" s="13" t="s">
        <v>780</v>
      </c>
      <c r="CO198" s="13" t="str">
        <f t="shared" si="221"/>
        <v>GAS_JOB_ID-839</v>
      </c>
      <c r="CP198" s="15"/>
      <c r="CQ198" s="13" t="str">
        <f t="shared" si="222"/>
        <v>10000839</v>
      </c>
      <c r="CR198" s="13" t="s">
        <v>154</v>
      </c>
      <c r="CS198" s="15" t="s">
        <v>51</v>
      </c>
      <c r="CT198" s="227" t="str">
        <f t="shared" si="223"/>
        <v>GMETER839</v>
      </c>
      <c r="CU198" s="13" t="s">
        <v>161</v>
      </c>
      <c r="CV198" s="15" t="s">
        <v>165</v>
      </c>
      <c r="CW198" s="15" t="s">
        <v>414</v>
      </c>
      <c r="CX198" s="15"/>
      <c r="CY198" s="15"/>
      <c r="CZ198" s="15" t="s">
        <v>394</v>
      </c>
      <c r="DA198" s="15" t="s">
        <v>395</v>
      </c>
      <c r="DB198" s="13" t="str">
        <f t="shared" si="163"/>
        <v>GAS_INST_ID-839</v>
      </c>
      <c r="DC198" s="15" t="s">
        <v>161</v>
      </c>
      <c r="DD198" s="15"/>
      <c r="DE198" s="15" t="s">
        <v>51</v>
      </c>
      <c r="DF198" s="15" t="s">
        <v>264</v>
      </c>
      <c r="DG198" s="15"/>
      <c r="DH198" s="15" t="s">
        <v>397</v>
      </c>
      <c r="DI198" s="15" t="s">
        <v>399</v>
      </c>
      <c r="DJ198" s="15" t="s">
        <v>856</v>
      </c>
      <c r="DK198" s="15" t="s">
        <v>140</v>
      </c>
      <c r="DL198" s="228"/>
      <c r="DM198" s="228"/>
      <c r="DN198" s="13" t="str">
        <f t="shared" si="164"/>
        <v>DS_Pass-839</v>
      </c>
      <c r="DO198" s="15"/>
      <c r="DP198" s="15"/>
      <c r="DQ198" s="15"/>
      <c r="DR198" s="13"/>
      <c r="DS198" s="13"/>
      <c r="DT198" s="15" t="s">
        <v>52</v>
      </c>
      <c r="DU198" s="15"/>
      <c r="DV198" s="15"/>
      <c r="DW198" s="13"/>
      <c r="DX198" s="15" t="s">
        <v>54</v>
      </c>
      <c r="DY198" s="15" t="s">
        <v>61</v>
      </c>
      <c r="DZ198" s="15" t="s">
        <v>402</v>
      </c>
      <c r="EA198" s="135" t="str">
        <f t="shared" si="224"/>
        <v>839CUSTOMER_ADDRESSEXCH9 ROADCUSTOMER_ADDRESSTESTINGHAMCUSTOMER_ADDRESSTESTINGHAMSHIRE</v>
      </c>
      <c r="EB198" s="15" t="s">
        <v>856</v>
      </c>
      <c r="EC198" s="228"/>
      <c r="ED198" s="228"/>
      <c r="EE198" s="228"/>
    </row>
    <row r="199" spans="1:135" s="229" customFormat="1">
      <c r="A199" s="219" t="s">
        <v>1017</v>
      </c>
      <c r="B199" s="219" t="s">
        <v>868</v>
      </c>
      <c r="C199" s="219" t="s">
        <v>865</v>
      </c>
      <c r="D199" s="13">
        <f>'Run Parameters'!$B$1 + ROW()-1</f>
        <v>840</v>
      </c>
      <c r="E199" s="15" t="s">
        <v>47</v>
      </c>
      <c r="F199" s="13" t="s">
        <v>857</v>
      </c>
      <c r="G199" s="13" t="str">
        <f t="shared" si="203"/>
        <v>Access Dtls-840</v>
      </c>
      <c r="H199" s="15" t="s">
        <v>275</v>
      </c>
      <c r="I199" s="13" t="str">
        <f>("MR. Test_190_EXCH9_"&amp;D199&amp;"")</f>
        <v>MR. Test_190_EXCH9_840</v>
      </c>
      <c r="J199" s="13"/>
      <c r="K199" s="19" t="s">
        <v>425</v>
      </c>
      <c r="L199" s="13" t="str">
        <f t="shared" si="204"/>
        <v>Cust. Ref-840</v>
      </c>
      <c r="M199" s="15" t="s">
        <v>48</v>
      </c>
      <c r="N199" s="15" t="s">
        <v>425</v>
      </c>
      <c r="O199" s="13"/>
      <c r="P199" s="13" t="str">
        <f t="shared" si="205"/>
        <v>SN-840</v>
      </c>
      <c r="Q199" s="13" t="str">
        <f t="shared" si="206"/>
        <v>SI-840</v>
      </c>
      <c r="R199" s="13" t="str">
        <f t="shared" si="207"/>
        <v>SE-840</v>
      </c>
      <c r="S199" s="135" t="str">
        <f t="shared" si="208"/>
        <v>Prev_RA-840</v>
      </c>
      <c r="T199" s="135" t="str">
        <f t="shared" si="209"/>
        <v>Prev_Comms-840</v>
      </c>
      <c r="U199" s="15" t="s">
        <v>75</v>
      </c>
      <c r="V199" s="15" t="s">
        <v>401</v>
      </c>
      <c r="W199" s="15" t="s">
        <v>75</v>
      </c>
      <c r="X199" s="15" t="s">
        <v>396</v>
      </c>
      <c r="Y199" s="13" t="str">
        <f t="shared" si="210"/>
        <v>Forward Add-840</v>
      </c>
      <c r="Z199" s="15" t="s">
        <v>401</v>
      </c>
      <c r="AA199" s="136" t="str">
        <f>'Run Parameters'!$B$2</f>
        <v>2018-08-13 08:00</v>
      </c>
      <c r="AB199" s="223" t="str">
        <f>'Run Parameters'!B$3</f>
        <v>2018-08-13 18:00</v>
      </c>
      <c r="AC199" s="26">
        <f>('Run Parameters'!$B$2) - 7</f>
        <v>43318.333333333336</v>
      </c>
      <c r="AD199" s="15" t="s">
        <v>75</v>
      </c>
      <c r="AE199" s="13" t="str">
        <f t="shared" si="211"/>
        <v>LAST_METER-840</v>
      </c>
      <c r="AF199" s="136" t="str">
        <f>'Run Parameters'!$B$2</f>
        <v>2018-08-13 08:00</v>
      </c>
      <c r="AG199" s="13" t="str">
        <f>'Run Parameters'!B$4</f>
        <v>AUTOTEST2</v>
      </c>
      <c r="AH199" s="135" t="str">
        <f t="shared" si="212"/>
        <v>Site_Contact_840</v>
      </c>
      <c r="AI199" s="136" t="str">
        <f>'Run Parameters'!B$2</f>
        <v>2018-08-13 08:00</v>
      </c>
      <c r="AJ199" s="223" t="str">
        <f>'Run Parameters'!B$3</f>
        <v>2018-08-13 18:00</v>
      </c>
      <c r="AK199" s="13" t="s">
        <v>396</v>
      </c>
      <c r="AL199" s="135" t="str">
        <f t="shared" si="213"/>
        <v>01159840</v>
      </c>
      <c r="AM199" s="13" t="str">
        <f t="shared" si="214"/>
        <v>0115840</v>
      </c>
      <c r="AN199" s="15"/>
      <c r="AO199" s="15"/>
      <c r="AP199" s="13">
        <v>1</v>
      </c>
      <c r="AQ199" s="15" t="s">
        <v>49</v>
      </c>
      <c r="AR199" s="15"/>
      <c r="AS199" s="13"/>
      <c r="AT199" s="15" t="s">
        <v>400</v>
      </c>
      <c r="AU199" s="15"/>
      <c r="AV199" s="13">
        <f t="shared" si="215"/>
        <v>840</v>
      </c>
      <c r="AW199" s="13" t="s">
        <v>858</v>
      </c>
      <c r="AX199" s="13" t="s">
        <v>420</v>
      </c>
      <c r="AY199" s="13" t="s">
        <v>421</v>
      </c>
      <c r="AZ199" s="15" t="s">
        <v>334</v>
      </c>
      <c r="BA199" s="15" t="s">
        <v>154</v>
      </c>
      <c r="BB199" s="13">
        <v>1</v>
      </c>
      <c r="BC199" s="13">
        <f t="shared" si="216"/>
        <v>840</v>
      </c>
      <c r="BD199" s="15" t="s">
        <v>962</v>
      </c>
      <c r="BE199" s="15" t="s">
        <v>390</v>
      </c>
      <c r="BF199" s="15" t="s">
        <v>390</v>
      </c>
      <c r="BG199" s="13" t="s">
        <v>857</v>
      </c>
      <c r="BH199" s="13" t="str">
        <f t="shared" si="217"/>
        <v>840_1</v>
      </c>
      <c r="BI199" s="13"/>
      <c r="BJ199" s="13" t="str">
        <f t="shared" si="218"/>
        <v>10000000840</v>
      </c>
      <c r="BK199" s="15" t="s">
        <v>51</v>
      </c>
      <c r="BL199" s="15" t="s">
        <v>54</v>
      </c>
      <c r="BM199" s="13" t="s">
        <v>277</v>
      </c>
      <c r="BN199" s="15" t="s">
        <v>51</v>
      </c>
      <c r="BO199" s="13" t="str">
        <f t="shared" si="219"/>
        <v>S05S840</v>
      </c>
      <c r="BP199" s="15" t="s">
        <v>392</v>
      </c>
      <c r="BQ199" s="15" t="s">
        <v>392</v>
      </c>
      <c r="BR199" s="13" t="s">
        <v>159</v>
      </c>
      <c r="BS199" s="15" t="s">
        <v>963</v>
      </c>
      <c r="BT199" s="15" t="s">
        <v>964</v>
      </c>
      <c r="BU199" s="15" t="s">
        <v>393</v>
      </c>
      <c r="BV199" s="15" t="s">
        <v>51</v>
      </c>
      <c r="BW199" s="15" t="s">
        <v>154</v>
      </c>
      <c r="BX199" s="15"/>
      <c r="BY199" s="15"/>
      <c r="BZ199" s="15" t="s">
        <v>157</v>
      </c>
      <c r="CA199" s="15" t="s">
        <v>269</v>
      </c>
      <c r="CB199" s="15" t="s">
        <v>51</v>
      </c>
      <c r="CC199" s="15" t="s">
        <v>965</v>
      </c>
      <c r="CD199" s="15" t="s">
        <v>392</v>
      </c>
      <c r="CE199" s="15" t="s">
        <v>396</v>
      </c>
      <c r="CF199" s="15" t="s">
        <v>398</v>
      </c>
      <c r="CG199" s="15" t="s">
        <v>856</v>
      </c>
      <c r="CH199" s="15" t="s">
        <v>159</v>
      </c>
      <c r="CI199" s="13">
        <v>1</v>
      </c>
      <c r="CJ199" s="13" t="str">
        <f t="shared" si="220"/>
        <v>GAS_ENQ_NO-840</v>
      </c>
      <c r="CK199" s="15" t="s">
        <v>779</v>
      </c>
      <c r="CL199" s="15" t="s">
        <v>391</v>
      </c>
      <c r="CM199" s="15" t="s">
        <v>390</v>
      </c>
      <c r="CN199" s="13" t="s">
        <v>780</v>
      </c>
      <c r="CO199" s="13" t="str">
        <f t="shared" si="221"/>
        <v>GAS_JOB_ID-840</v>
      </c>
      <c r="CP199" s="15"/>
      <c r="CQ199" s="13" t="str">
        <f t="shared" si="222"/>
        <v>10000840</v>
      </c>
      <c r="CR199" s="13" t="s">
        <v>154</v>
      </c>
      <c r="CS199" s="15" t="s">
        <v>51</v>
      </c>
      <c r="CT199" s="227" t="str">
        <f t="shared" si="223"/>
        <v>GMETER840</v>
      </c>
      <c r="CU199" s="13" t="s">
        <v>161</v>
      </c>
      <c r="CV199" s="15" t="s">
        <v>165</v>
      </c>
      <c r="CW199" s="15" t="s">
        <v>414</v>
      </c>
      <c r="CX199" s="15"/>
      <c r="CY199" s="15"/>
      <c r="CZ199" s="15" t="s">
        <v>394</v>
      </c>
      <c r="DA199" s="15" t="s">
        <v>395</v>
      </c>
      <c r="DB199" s="13" t="str">
        <f t="shared" si="163"/>
        <v>GAS_INST_ID-840</v>
      </c>
      <c r="DC199" s="15" t="s">
        <v>161</v>
      </c>
      <c r="DD199" s="15"/>
      <c r="DE199" s="15" t="s">
        <v>51</v>
      </c>
      <c r="DF199" s="15" t="s">
        <v>264</v>
      </c>
      <c r="DG199" s="15"/>
      <c r="DH199" s="15" t="s">
        <v>397</v>
      </c>
      <c r="DI199" s="15" t="s">
        <v>399</v>
      </c>
      <c r="DJ199" s="15" t="s">
        <v>856</v>
      </c>
      <c r="DK199" s="15" t="s">
        <v>140</v>
      </c>
      <c r="DL199" s="228"/>
      <c r="DM199" s="228"/>
      <c r="DN199" s="13" t="str">
        <f t="shared" si="164"/>
        <v>DS_Pass-840</v>
      </c>
      <c r="DO199" s="15"/>
      <c r="DP199" s="15"/>
      <c r="DQ199" s="15"/>
      <c r="DR199" s="13"/>
      <c r="DS199" s="13"/>
      <c r="DT199" s="15" t="s">
        <v>52</v>
      </c>
      <c r="DU199" s="15"/>
      <c r="DV199" s="15"/>
      <c r="DW199" s="13"/>
      <c r="DX199" s="15" t="s">
        <v>54</v>
      </c>
      <c r="DY199" s="15" t="s">
        <v>61</v>
      </c>
      <c r="DZ199" s="15" t="s">
        <v>402</v>
      </c>
      <c r="EA199" s="135" t="str">
        <f t="shared" si="224"/>
        <v>840CUSTOMER_ADDRESSEXCH9 ROADCUSTOMER_ADDRESSTESTINGHAMCUSTOMER_ADDRESSTESTINGHAMSHIRE</v>
      </c>
      <c r="EB199" s="15" t="s">
        <v>856</v>
      </c>
      <c r="EC199" s="228"/>
      <c r="ED199" s="228"/>
      <c r="EE199" s="228"/>
    </row>
    <row r="200" spans="1:135" s="229" customFormat="1">
      <c r="A200" s="219" t="s">
        <v>1018</v>
      </c>
      <c r="B200" s="219" t="s">
        <v>892</v>
      </c>
      <c r="C200" s="219" t="s">
        <v>865</v>
      </c>
      <c r="D200" s="13">
        <f>'Run Parameters'!$B$1 + ROW()-1</f>
        <v>841</v>
      </c>
      <c r="E200" s="15" t="s">
        <v>47</v>
      </c>
      <c r="F200" s="13" t="s">
        <v>857</v>
      </c>
      <c r="G200" s="13" t="str">
        <f t="shared" si="203"/>
        <v>Access Dtls-841</v>
      </c>
      <c r="H200" s="15" t="s">
        <v>275</v>
      </c>
      <c r="I200" s="13" t="str">
        <f>("MR. Test_191_EXCH9_"&amp;D200&amp;"")</f>
        <v>MR. Test_191_EXCH9_841</v>
      </c>
      <c r="J200" s="13"/>
      <c r="K200" s="19" t="s">
        <v>425</v>
      </c>
      <c r="L200" s="13" t="str">
        <f t="shared" si="204"/>
        <v>Cust. Ref-841</v>
      </c>
      <c r="M200" s="15" t="s">
        <v>48</v>
      </c>
      <c r="N200" s="15" t="s">
        <v>425</v>
      </c>
      <c r="O200" s="13"/>
      <c r="P200" s="13" t="str">
        <f t="shared" si="205"/>
        <v>SN-841</v>
      </c>
      <c r="Q200" s="13" t="str">
        <f t="shared" si="206"/>
        <v>SI-841</v>
      </c>
      <c r="R200" s="13" t="str">
        <f t="shared" si="207"/>
        <v>SE-841</v>
      </c>
      <c r="S200" s="135" t="str">
        <f t="shared" si="208"/>
        <v>Prev_RA-841</v>
      </c>
      <c r="T200" s="135" t="str">
        <f t="shared" si="209"/>
        <v>Prev_Comms-841</v>
      </c>
      <c r="U200" s="15" t="s">
        <v>75</v>
      </c>
      <c r="V200" s="15" t="s">
        <v>401</v>
      </c>
      <c r="W200" s="15" t="s">
        <v>75</v>
      </c>
      <c r="X200" s="15" t="s">
        <v>396</v>
      </c>
      <c r="Y200" s="13" t="str">
        <f t="shared" si="210"/>
        <v>Forward Add-841</v>
      </c>
      <c r="Z200" s="15" t="s">
        <v>401</v>
      </c>
      <c r="AA200" s="136" t="str">
        <f>'Run Parameters'!$B$2</f>
        <v>2018-08-13 08:00</v>
      </c>
      <c r="AB200" s="223" t="str">
        <f>'Run Parameters'!B$3</f>
        <v>2018-08-13 18:00</v>
      </c>
      <c r="AC200" s="26">
        <f>('Run Parameters'!$B$2) - 7</f>
        <v>43318.333333333336</v>
      </c>
      <c r="AD200" s="15" t="s">
        <v>75</v>
      </c>
      <c r="AE200" s="13" t="str">
        <f t="shared" si="211"/>
        <v>LAST_METER-841</v>
      </c>
      <c r="AF200" s="136" t="str">
        <f>'Run Parameters'!$B$2</f>
        <v>2018-08-13 08:00</v>
      </c>
      <c r="AG200" s="13" t="str">
        <f>'Run Parameters'!B$4</f>
        <v>AUTOTEST2</v>
      </c>
      <c r="AH200" s="135" t="str">
        <f t="shared" si="212"/>
        <v>Site_Contact_841</v>
      </c>
      <c r="AI200" s="136" t="str">
        <f>'Run Parameters'!B$2</f>
        <v>2018-08-13 08:00</v>
      </c>
      <c r="AJ200" s="223" t="str">
        <f>'Run Parameters'!B$3</f>
        <v>2018-08-13 18:00</v>
      </c>
      <c r="AK200" s="13" t="s">
        <v>396</v>
      </c>
      <c r="AL200" s="135" t="str">
        <f t="shared" si="213"/>
        <v>01159841</v>
      </c>
      <c r="AM200" s="13" t="str">
        <f t="shared" si="214"/>
        <v>0115841</v>
      </c>
      <c r="AN200" s="15"/>
      <c r="AO200" s="15"/>
      <c r="AP200" s="13">
        <v>1</v>
      </c>
      <c r="AQ200" s="15" t="s">
        <v>49</v>
      </c>
      <c r="AR200" s="15"/>
      <c r="AS200" s="13"/>
      <c r="AT200" s="15" t="s">
        <v>400</v>
      </c>
      <c r="AU200" s="15"/>
      <c r="AV200" s="13">
        <f t="shared" si="215"/>
        <v>841</v>
      </c>
      <c r="AW200" s="13" t="s">
        <v>858</v>
      </c>
      <c r="AX200" s="13" t="s">
        <v>420</v>
      </c>
      <c r="AY200" s="13" t="s">
        <v>421</v>
      </c>
      <c r="AZ200" s="15" t="s">
        <v>334</v>
      </c>
      <c r="BA200" s="15" t="s">
        <v>154</v>
      </c>
      <c r="BB200" s="13">
        <v>1</v>
      </c>
      <c r="BC200" s="13">
        <f t="shared" si="216"/>
        <v>841</v>
      </c>
      <c r="BD200" s="15" t="s">
        <v>962</v>
      </c>
      <c r="BE200" s="15" t="s">
        <v>390</v>
      </c>
      <c r="BF200" s="15" t="s">
        <v>390</v>
      </c>
      <c r="BG200" s="13" t="s">
        <v>857</v>
      </c>
      <c r="BH200" s="13" t="str">
        <f t="shared" si="217"/>
        <v>841_1</v>
      </c>
      <c r="BI200" s="13"/>
      <c r="BJ200" s="13" t="str">
        <f t="shared" si="218"/>
        <v>10000000841</v>
      </c>
      <c r="BK200" s="15" t="s">
        <v>51</v>
      </c>
      <c r="BL200" s="15" t="s">
        <v>54</v>
      </c>
      <c r="BM200" s="13" t="s">
        <v>277</v>
      </c>
      <c r="BN200" s="15" t="s">
        <v>51</v>
      </c>
      <c r="BO200" s="13" t="str">
        <f t="shared" si="219"/>
        <v>S05S841</v>
      </c>
      <c r="BP200" s="15" t="s">
        <v>392</v>
      </c>
      <c r="BQ200" s="15" t="s">
        <v>392</v>
      </c>
      <c r="BR200" s="13" t="s">
        <v>159</v>
      </c>
      <c r="BS200" s="15" t="s">
        <v>963</v>
      </c>
      <c r="BT200" s="15" t="s">
        <v>964</v>
      </c>
      <c r="BU200" s="15" t="s">
        <v>393</v>
      </c>
      <c r="BV200" s="15" t="s">
        <v>51</v>
      </c>
      <c r="BW200" s="15" t="s">
        <v>154</v>
      </c>
      <c r="BX200" s="15"/>
      <c r="BY200" s="15"/>
      <c r="BZ200" s="15" t="s">
        <v>157</v>
      </c>
      <c r="CA200" s="15" t="s">
        <v>269</v>
      </c>
      <c r="CB200" s="15" t="s">
        <v>51</v>
      </c>
      <c r="CC200" s="15" t="s">
        <v>965</v>
      </c>
      <c r="CD200" s="15" t="s">
        <v>392</v>
      </c>
      <c r="CE200" s="15" t="s">
        <v>396</v>
      </c>
      <c r="CF200" s="15" t="s">
        <v>398</v>
      </c>
      <c r="CG200" s="15" t="s">
        <v>856</v>
      </c>
      <c r="CH200" s="15" t="s">
        <v>159</v>
      </c>
      <c r="CI200" s="13">
        <v>1</v>
      </c>
      <c r="CJ200" s="13" t="str">
        <f t="shared" si="220"/>
        <v>GAS_ENQ_NO-841</v>
      </c>
      <c r="CK200" s="15" t="s">
        <v>779</v>
      </c>
      <c r="CL200" s="15" t="s">
        <v>391</v>
      </c>
      <c r="CM200" s="15" t="s">
        <v>390</v>
      </c>
      <c r="CN200" s="13" t="s">
        <v>780</v>
      </c>
      <c r="CO200" s="13" t="str">
        <f t="shared" si="221"/>
        <v>GAS_JOB_ID-841</v>
      </c>
      <c r="CP200" s="15"/>
      <c r="CQ200" s="13" t="str">
        <f t="shared" si="222"/>
        <v>10000841</v>
      </c>
      <c r="CR200" s="13" t="s">
        <v>154</v>
      </c>
      <c r="CS200" s="15" t="s">
        <v>51</v>
      </c>
      <c r="CT200" s="227" t="str">
        <f t="shared" si="223"/>
        <v>GMETER841</v>
      </c>
      <c r="CU200" s="13" t="s">
        <v>161</v>
      </c>
      <c r="CV200" s="15" t="s">
        <v>165</v>
      </c>
      <c r="CW200" s="15" t="s">
        <v>414</v>
      </c>
      <c r="CX200" s="15"/>
      <c r="CY200" s="15"/>
      <c r="CZ200" s="15" t="s">
        <v>394</v>
      </c>
      <c r="DA200" s="15" t="s">
        <v>395</v>
      </c>
      <c r="DB200" s="13" t="str">
        <f t="shared" si="163"/>
        <v>GAS_INST_ID-841</v>
      </c>
      <c r="DC200" s="15" t="s">
        <v>161</v>
      </c>
      <c r="DD200" s="15"/>
      <c r="DE200" s="15" t="s">
        <v>51</v>
      </c>
      <c r="DF200" s="15" t="s">
        <v>264</v>
      </c>
      <c r="DG200" s="15"/>
      <c r="DH200" s="15" t="s">
        <v>397</v>
      </c>
      <c r="DI200" s="15" t="s">
        <v>399</v>
      </c>
      <c r="DJ200" s="15" t="s">
        <v>856</v>
      </c>
      <c r="DK200" s="15" t="s">
        <v>140</v>
      </c>
      <c r="DL200" s="228"/>
      <c r="DM200" s="228"/>
      <c r="DN200" s="13" t="str">
        <f t="shared" si="164"/>
        <v>DS_Pass-841</v>
      </c>
      <c r="DO200" s="15"/>
      <c r="DP200" s="15"/>
      <c r="DQ200" s="15"/>
      <c r="DR200" s="13"/>
      <c r="DS200" s="13"/>
      <c r="DT200" s="15" t="s">
        <v>52</v>
      </c>
      <c r="DU200" s="15"/>
      <c r="DV200" s="15"/>
      <c r="DW200" s="13"/>
      <c r="DX200" s="15" t="s">
        <v>54</v>
      </c>
      <c r="DY200" s="15" t="s">
        <v>61</v>
      </c>
      <c r="DZ200" s="15" t="s">
        <v>402</v>
      </c>
      <c r="EA200" s="135" t="str">
        <f t="shared" si="224"/>
        <v>841CUSTOMER_ADDRESSEXCH9 ROADCUSTOMER_ADDRESSTESTINGHAMCUSTOMER_ADDRESSTESTINGHAMSHIRE</v>
      </c>
      <c r="EB200" s="15" t="s">
        <v>856</v>
      </c>
      <c r="EC200" s="228"/>
      <c r="ED200" s="228"/>
      <c r="EE200" s="228"/>
    </row>
    <row r="201" spans="1:135" s="229" customFormat="1">
      <c r="A201" s="219" t="s">
        <v>1019</v>
      </c>
      <c r="B201" s="219" t="s">
        <v>868</v>
      </c>
      <c r="C201" s="219" t="s">
        <v>865</v>
      </c>
      <c r="D201" s="13">
        <f>'Run Parameters'!$B$1 + ROW()-1</f>
        <v>842</v>
      </c>
      <c r="E201" s="15" t="s">
        <v>47</v>
      </c>
      <c r="F201" s="13" t="s">
        <v>857</v>
      </c>
      <c r="G201" s="13" t="str">
        <f t="shared" si="203"/>
        <v>Access Dtls-842</v>
      </c>
      <c r="H201" s="15" t="s">
        <v>275</v>
      </c>
      <c r="I201" s="13" t="str">
        <f>("MR. Test_192_EXCH9_"&amp;D201&amp;"")</f>
        <v>MR. Test_192_EXCH9_842</v>
      </c>
      <c r="J201" s="13"/>
      <c r="K201" s="19" t="s">
        <v>425</v>
      </c>
      <c r="L201" s="13" t="str">
        <f t="shared" si="204"/>
        <v>Cust. Ref-842</v>
      </c>
      <c r="M201" s="15" t="s">
        <v>48</v>
      </c>
      <c r="N201" s="15" t="s">
        <v>425</v>
      </c>
      <c r="O201" s="13"/>
      <c r="P201" s="13" t="str">
        <f t="shared" si="205"/>
        <v>SN-842</v>
      </c>
      <c r="Q201" s="13" t="str">
        <f t="shared" si="206"/>
        <v>SI-842</v>
      </c>
      <c r="R201" s="13" t="str">
        <f t="shared" si="207"/>
        <v>SE-842</v>
      </c>
      <c r="S201" s="135" t="str">
        <f t="shared" si="208"/>
        <v>Prev_RA-842</v>
      </c>
      <c r="T201" s="135" t="str">
        <f t="shared" si="209"/>
        <v>Prev_Comms-842</v>
      </c>
      <c r="U201" s="15" t="s">
        <v>75</v>
      </c>
      <c r="V201" s="15" t="s">
        <v>401</v>
      </c>
      <c r="W201" s="15" t="s">
        <v>75</v>
      </c>
      <c r="X201" s="15" t="s">
        <v>396</v>
      </c>
      <c r="Y201" s="13" t="str">
        <f t="shared" si="210"/>
        <v>Forward Add-842</v>
      </c>
      <c r="Z201" s="15" t="s">
        <v>401</v>
      </c>
      <c r="AA201" s="136" t="str">
        <f>'Run Parameters'!$B$2</f>
        <v>2018-08-13 08:00</v>
      </c>
      <c r="AB201" s="223" t="str">
        <f>'Run Parameters'!B$3</f>
        <v>2018-08-13 18:00</v>
      </c>
      <c r="AC201" s="26">
        <f>('Run Parameters'!$B$2) - 7</f>
        <v>43318.333333333336</v>
      </c>
      <c r="AD201" s="15" t="s">
        <v>75</v>
      </c>
      <c r="AE201" s="13" t="str">
        <f t="shared" si="211"/>
        <v>LAST_METER-842</v>
      </c>
      <c r="AF201" s="136" t="str">
        <f>'Run Parameters'!$B$2</f>
        <v>2018-08-13 08:00</v>
      </c>
      <c r="AG201" s="13" t="str">
        <f>'Run Parameters'!B$4</f>
        <v>AUTOTEST2</v>
      </c>
      <c r="AH201" s="135" t="str">
        <f t="shared" si="212"/>
        <v>Site_Contact_842</v>
      </c>
      <c r="AI201" s="136" t="str">
        <f>'Run Parameters'!B$2</f>
        <v>2018-08-13 08:00</v>
      </c>
      <c r="AJ201" s="223" t="str">
        <f>'Run Parameters'!B$3</f>
        <v>2018-08-13 18:00</v>
      </c>
      <c r="AK201" s="13" t="s">
        <v>396</v>
      </c>
      <c r="AL201" s="135" t="str">
        <f t="shared" si="213"/>
        <v>01159842</v>
      </c>
      <c r="AM201" s="13" t="str">
        <f t="shared" si="214"/>
        <v>0115842</v>
      </c>
      <c r="AN201" s="15"/>
      <c r="AO201" s="15"/>
      <c r="AP201" s="13">
        <v>1</v>
      </c>
      <c r="AQ201" s="15" t="s">
        <v>49</v>
      </c>
      <c r="AR201" s="15"/>
      <c r="AS201" s="13"/>
      <c r="AT201" s="15" t="s">
        <v>400</v>
      </c>
      <c r="AU201" s="15"/>
      <c r="AV201" s="13">
        <f t="shared" si="215"/>
        <v>842</v>
      </c>
      <c r="AW201" s="13" t="s">
        <v>858</v>
      </c>
      <c r="AX201" s="13" t="s">
        <v>420</v>
      </c>
      <c r="AY201" s="13" t="s">
        <v>421</v>
      </c>
      <c r="AZ201" s="15" t="s">
        <v>334</v>
      </c>
      <c r="BA201" s="15" t="s">
        <v>154</v>
      </c>
      <c r="BB201" s="13">
        <v>1</v>
      </c>
      <c r="BC201" s="13">
        <f t="shared" si="216"/>
        <v>842</v>
      </c>
      <c r="BD201" s="15" t="s">
        <v>962</v>
      </c>
      <c r="BE201" s="15" t="s">
        <v>390</v>
      </c>
      <c r="BF201" s="15" t="s">
        <v>390</v>
      </c>
      <c r="BG201" s="13" t="s">
        <v>857</v>
      </c>
      <c r="BH201" s="13" t="str">
        <f t="shared" si="217"/>
        <v>842_1</v>
      </c>
      <c r="BI201" s="13"/>
      <c r="BJ201" s="13" t="str">
        <f t="shared" si="218"/>
        <v>10000000842</v>
      </c>
      <c r="BK201" s="15" t="s">
        <v>51</v>
      </c>
      <c r="BL201" s="15" t="s">
        <v>54</v>
      </c>
      <c r="BM201" s="13" t="s">
        <v>277</v>
      </c>
      <c r="BN201" s="15" t="s">
        <v>51</v>
      </c>
      <c r="BO201" s="13" t="str">
        <f t="shared" si="219"/>
        <v>S05S842</v>
      </c>
      <c r="BP201" s="15" t="s">
        <v>392</v>
      </c>
      <c r="BQ201" s="15" t="s">
        <v>392</v>
      </c>
      <c r="BR201" s="13" t="s">
        <v>159</v>
      </c>
      <c r="BS201" s="15" t="s">
        <v>963</v>
      </c>
      <c r="BT201" s="15" t="s">
        <v>964</v>
      </c>
      <c r="BU201" s="15" t="s">
        <v>393</v>
      </c>
      <c r="BV201" s="15" t="s">
        <v>51</v>
      </c>
      <c r="BW201" s="15" t="s">
        <v>154</v>
      </c>
      <c r="BX201" s="15"/>
      <c r="BY201" s="15"/>
      <c r="BZ201" s="15" t="s">
        <v>157</v>
      </c>
      <c r="CA201" s="15" t="s">
        <v>269</v>
      </c>
      <c r="CB201" s="15" t="s">
        <v>51</v>
      </c>
      <c r="CC201" s="15" t="s">
        <v>965</v>
      </c>
      <c r="CD201" s="15" t="s">
        <v>392</v>
      </c>
      <c r="CE201" s="15" t="s">
        <v>396</v>
      </c>
      <c r="CF201" s="15" t="s">
        <v>398</v>
      </c>
      <c r="CG201" s="15" t="s">
        <v>856</v>
      </c>
      <c r="CH201" s="15" t="s">
        <v>159</v>
      </c>
      <c r="CI201" s="13">
        <v>1</v>
      </c>
      <c r="CJ201" s="13" t="str">
        <f t="shared" si="220"/>
        <v>GAS_ENQ_NO-842</v>
      </c>
      <c r="CK201" s="15" t="s">
        <v>779</v>
      </c>
      <c r="CL201" s="15" t="s">
        <v>391</v>
      </c>
      <c r="CM201" s="15" t="s">
        <v>390</v>
      </c>
      <c r="CN201" s="13" t="s">
        <v>780</v>
      </c>
      <c r="CO201" s="13" t="str">
        <f t="shared" si="221"/>
        <v>GAS_JOB_ID-842</v>
      </c>
      <c r="CP201" s="15"/>
      <c r="CQ201" s="13" t="str">
        <f t="shared" si="222"/>
        <v>10000842</v>
      </c>
      <c r="CR201" s="13" t="s">
        <v>154</v>
      </c>
      <c r="CS201" s="15" t="s">
        <v>51</v>
      </c>
      <c r="CT201" s="227" t="str">
        <f t="shared" si="223"/>
        <v>GMETER842</v>
      </c>
      <c r="CU201" s="13" t="s">
        <v>161</v>
      </c>
      <c r="CV201" s="15" t="s">
        <v>165</v>
      </c>
      <c r="CW201" s="15" t="s">
        <v>414</v>
      </c>
      <c r="CX201" s="15"/>
      <c r="CY201" s="15"/>
      <c r="CZ201" s="15" t="s">
        <v>394</v>
      </c>
      <c r="DA201" s="15" t="s">
        <v>395</v>
      </c>
      <c r="DB201" s="13" t="str">
        <f t="shared" si="163"/>
        <v>GAS_INST_ID-842</v>
      </c>
      <c r="DC201" s="15" t="s">
        <v>161</v>
      </c>
      <c r="DD201" s="15"/>
      <c r="DE201" s="15" t="s">
        <v>51</v>
      </c>
      <c r="DF201" s="15" t="s">
        <v>264</v>
      </c>
      <c r="DG201" s="15"/>
      <c r="DH201" s="15" t="s">
        <v>397</v>
      </c>
      <c r="DI201" s="15" t="s">
        <v>399</v>
      </c>
      <c r="DJ201" s="15" t="s">
        <v>856</v>
      </c>
      <c r="DK201" s="15" t="s">
        <v>140</v>
      </c>
      <c r="DL201" s="228"/>
      <c r="DM201" s="228"/>
      <c r="DN201" s="13" t="str">
        <f t="shared" si="164"/>
        <v>DS_Pass-842</v>
      </c>
      <c r="DO201" s="15"/>
      <c r="DP201" s="15"/>
      <c r="DQ201" s="15"/>
      <c r="DR201" s="13"/>
      <c r="DS201" s="13"/>
      <c r="DT201" s="15" t="s">
        <v>52</v>
      </c>
      <c r="DU201" s="15"/>
      <c r="DV201" s="15"/>
      <c r="DW201" s="13"/>
      <c r="DX201" s="15" t="s">
        <v>54</v>
      </c>
      <c r="DY201" s="15" t="s">
        <v>61</v>
      </c>
      <c r="DZ201" s="15" t="s">
        <v>402</v>
      </c>
      <c r="EA201" s="135" t="str">
        <f t="shared" si="224"/>
        <v>842CUSTOMER_ADDRESSEXCH9 ROADCUSTOMER_ADDRESSTESTINGHAMCUSTOMER_ADDRESSTESTINGHAMSHIRE</v>
      </c>
      <c r="EB201" s="15" t="s">
        <v>856</v>
      </c>
      <c r="EC201" s="228"/>
      <c r="ED201" s="228"/>
      <c r="EE201" s="228"/>
    </row>
    <row r="202" spans="1:135" s="229" customFormat="1">
      <c r="A202" s="219" t="s">
        <v>1020</v>
      </c>
      <c r="B202" s="219" t="s">
        <v>892</v>
      </c>
      <c r="C202" s="219" t="s">
        <v>865</v>
      </c>
      <c r="D202" s="13">
        <f>'Run Parameters'!$B$1 + ROW()-1</f>
        <v>843</v>
      </c>
      <c r="E202" s="15" t="s">
        <v>47</v>
      </c>
      <c r="F202" s="13" t="s">
        <v>857</v>
      </c>
      <c r="G202" s="13" t="str">
        <f t="shared" si="203"/>
        <v>Access Dtls-843</v>
      </c>
      <c r="H202" s="15" t="s">
        <v>275</v>
      </c>
      <c r="I202" s="13" t="str">
        <f>("MR. Test_193_EXCH9_"&amp;D202&amp;"")</f>
        <v>MR. Test_193_EXCH9_843</v>
      </c>
      <c r="J202" s="13"/>
      <c r="K202" s="19" t="s">
        <v>425</v>
      </c>
      <c r="L202" s="13" t="str">
        <f t="shared" si="204"/>
        <v>Cust. Ref-843</v>
      </c>
      <c r="M202" s="15" t="s">
        <v>48</v>
      </c>
      <c r="N202" s="15" t="s">
        <v>425</v>
      </c>
      <c r="O202" s="13"/>
      <c r="P202" s="13" t="str">
        <f t="shared" si="205"/>
        <v>SN-843</v>
      </c>
      <c r="Q202" s="13" t="str">
        <f t="shared" si="206"/>
        <v>SI-843</v>
      </c>
      <c r="R202" s="13" t="str">
        <f t="shared" si="207"/>
        <v>SE-843</v>
      </c>
      <c r="S202" s="135" t="str">
        <f t="shared" si="208"/>
        <v>Prev_RA-843</v>
      </c>
      <c r="T202" s="135" t="str">
        <f t="shared" si="209"/>
        <v>Prev_Comms-843</v>
      </c>
      <c r="U202" s="15" t="s">
        <v>75</v>
      </c>
      <c r="V202" s="15" t="s">
        <v>401</v>
      </c>
      <c r="W202" s="15" t="s">
        <v>75</v>
      </c>
      <c r="X202" s="15" t="s">
        <v>396</v>
      </c>
      <c r="Y202" s="13" t="str">
        <f t="shared" si="210"/>
        <v>Forward Add-843</v>
      </c>
      <c r="Z202" s="15" t="s">
        <v>401</v>
      </c>
      <c r="AA202" s="136" t="str">
        <f>'Run Parameters'!$B$2</f>
        <v>2018-08-13 08:00</v>
      </c>
      <c r="AB202" s="223" t="str">
        <f>'Run Parameters'!B$3</f>
        <v>2018-08-13 18:00</v>
      </c>
      <c r="AC202" s="26">
        <f>('Run Parameters'!$B$2) - 7</f>
        <v>43318.333333333336</v>
      </c>
      <c r="AD202" s="15" t="s">
        <v>75</v>
      </c>
      <c r="AE202" s="13" t="str">
        <f t="shared" si="211"/>
        <v>LAST_METER-843</v>
      </c>
      <c r="AF202" s="136" t="str">
        <f>'Run Parameters'!$B$2</f>
        <v>2018-08-13 08:00</v>
      </c>
      <c r="AG202" s="13" t="str">
        <f>'Run Parameters'!B$4</f>
        <v>AUTOTEST2</v>
      </c>
      <c r="AH202" s="135" t="str">
        <f t="shared" si="212"/>
        <v>Site_Contact_843</v>
      </c>
      <c r="AI202" s="136" t="str">
        <f>'Run Parameters'!B$2</f>
        <v>2018-08-13 08:00</v>
      </c>
      <c r="AJ202" s="223" t="str">
        <f>'Run Parameters'!B$3</f>
        <v>2018-08-13 18:00</v>
      </c>
      <c r="AK202" s="13" t="s">
        <v>396</v>
      </c>
      <c r="AL202" s="135" t="str">
        <f t="shared" si="213"/>
        <v>01159843</v>
      </c>
      <c r="AM202" s="13" t="str">
        <f t="shared" si="214"/>
        <v>0115843</v>
      </c>
      <c r="AN202" s="15"/>
      <c r="AO202" s="15"/>
      <c r="AP202" s="13">
        <v>1</v>
      </c>
      <c r="AQ202" s="15" t="s">
        <v>49</v>
      </c>
      <c r="AR202" s="15"/>
      <c r="AS202" s="13"/>
      <c r="AT202" s="15" t="s">
        <v>400</v>
      </c>
      <c r="AU202" s="15"/>
      <c r="AV202" s="13">
        <f t="shared" si="215"/>
        <v>843</v>
      </c>
      <c r="AW202" s="13" t="s">
        <v>858</v>
      </c>
      <c r="AX202" s="13" t="s">
        <v>420</v>
      </c>
      <c r="AY202" s="13" t="s">
        <v>421</v>
      </c>
      <c r="AZ202" s="15" t="s">
        <v>334</v>
      </c>
      <c r="BA202" s="15" t="s">
        <v>154</v>
      </c>
      <c r="BB202" s="13">
        <v>1</v>
      </c>
      <c r="BC202" s="13">
        <f t="shared" si="216"/>
        <v>843</v>
      </c>
      <c r="BD202" s="15" t="s">
        <v>962</v>
      </c>
      <c r="BE202" s="15" t="s">
        <v>390</v>
      </c>
      <c r="BF202" s="15" t="s">
        <v>390</v>
      </c>
      <c r="BG202" s="13" t="s">
        <v>857</v>
      </c>
      <c r="BH202" s="13" t="str">
        <f t="shared" si="217"/>
        <v>843_1</v>
      </c>
      <c r="BI202" s="13"/>
      <c r="BJ202" s="13" t="str">
        <f t="shared" si="218"/>
        <v>10000000843</v>
      </c>
      <c r="BK202" s="15" t="s">
        <v>51</v>
      </c>
      <c r="BL202" s="15" t="s">
        <v>54</v>
      </c>
      <c r="BM202" s="13" t="s">
        <v>277</v>
      </c>
      <c r="BN202" s="15" t="s">
        <v>51</v>
      </c>
      <c r="BO202" s="13" t="str">
        <f t="shared" si="219"/>
        <v>S05S843</v>
      </c>
      <c r="BP202" s="15" t="s">
        <v>392</v>
      </c>
      <c r="BQ202" s="15" t="s">
        <v>392</v>
      </c>
      <c r="BR202" s="13" t="s">
        <v>159</v>
      </c>
      <c r="BS202" s="15" t="s">
        <v>963</v>
      </c>
      <c r="BT202" s="15" t="s">
        <v>964</v>
      </c>
      <c r="BU202" s="15" t="s">
        <v>393</v>
      </c>
      <c r="BV202" s="15" t="s">
        <v>51</v>
      </c>
      <c r="BW202" s="15" t="s">
        <v>154</v>
      </c>
      <c r="BX202" s="15"/>
      <c r="BY202" s="15"/>
      <c r="BZ202" s="15" t="s">
        <v>157</v>
      </c>
      <c r="CA202" s="15" t="s">
        <v>269</v>
      </c>
      <c r="CB202" s="15" t="s">
        <v>51</v>
      </c>
      <c r="CC202" s="15" t="s">
        <v>965</v>
      </c>
      <c r="CD202" s="15" t="s">
        <v>392</v>
      </c>
      <c r="CE202" s="15" t="s">
        <v>396</v>
      </c>
      <c r="CF202" s="15" t="s">
        <v>398</v>
      </c>
      <c r="CG202" s="15" t="s">
        <v>856</v>
      </c>
      <c r="CH202" s="15" t="s">
        <v>159</v>
      </c>
      <c r="CI202" s="13">
        <v>1</v>
      </c>
      <c r="CJ202" s="13" t="str">
        <f t="shared" si="220"/>
        <v>GAS_ENQ_NO-843</v>
      </c>
      <c r="CK202" s="15" t="s">
        <v>779</v>
      </c>
      <c r="CL202" s="15" t="s">
        <v>391</v>
      </c>
      <c r="CM202" s="15" t="s">
        <v>390</v>
      </c>
      <c r="CN202" s="13" t="s">
        <v>780</v>
      </c>
      <c r="CO202" s="13" t="str">
        <f t="shared" si="221"/>
        <v>GAS_JOB_ID-843</v>
      </c>
      <c r="CP202" s="15"/>
      <c r="CQ202" s="13" t="str">
        <f t="shared" si="222"/>
        <v>10000843</v>
      </c>
      <c r="CR202" s="13" t="s">
        <v>154</v>
      </c>
      <c r="CS202" s="15" t="s">
        <v>51</v>
      </c>
      <c r="CT202" s="227" t="str">
        <f t="shared" si="223"/>
        <v>GMETER843</v>
      </c>
      <c r="CU202" s="13" t="s">
        <v>161</v>
      </c>
      <c r="CV202" s="15" t="s">
        <v>165</v>
      </c>
      <c r="CW202" s="15" t="s">
        <v>414</v>
      </c>
      <c r="CX202" s="15"/>
      <c r="CY202" s="15"/>
      <c r="CZ202" s="15" t="s">
        <v>394</v>
      </c>
      <c r="DA202" s="15" t="s">
        <v>395</v>
      </c>
      <c r="DB202" s="13" t="str">
        <f t="shared" si="163"/>
        <v>GAS_INST_ID-843</v>
      </c>
      <c r="DC202" s="15" t="s">
        <v>161</v>
      </c>
      <c r="DD202" s="15"/>
      <c r="DE202" s="15" t="s">
        <v>51</v>
      </c>
      <c r="DF202" s="15" t="s">
        <v>264</v>
      </c>
      <c r="DG202" s="15"/>
      <c r="DH202" s="15" t="s">
        <v>397</v>
      </c>
      <c r="DI202" s="15" t="s">
        <v>399</v>
      </c>
      <c r="DJ202" s="15" t="s">
        <v>856</v>
      </c>
      <c r="DK202" s="15" t="s">
        <v>140</v>
      </c>
      <c r="DL202" s="228"/>
      <c r="DM202" s="228"/>
      <c r="DN202" s="13" t="str">
        <f t="shared" si="164"/>
        <v>DS_Pass-843</v>
      </c>
      <c r="DO202" s="15"/>
      <c r="DP202" s="15"/>
      <c r="DQ202" s="15"/>
      <c r="DR202" s="13"/>
      <c r="DS202" s="13"/>
      <c r="DT202" s="15" t="s">
        <v>52</v>
      </c>
      <c r="DU202" s="15"/>
      <c r="DV202" s="15"/>
      <c r="DW202" s="13"/>
      <c r="DX202" s="15" t="s">
        <v>54</v>
      </c>
      <c r="DY202" s="15" t="s">
        <v>61</v>
      </c>
      <c r="DZ202" s="15" t="s">
        <v>402</v>
      </c>
      <c r="EA202" s="135" t="str">
        <f t="shared" si="224"/>
        <v>843CUSTOMER_ADDRESSEXCH9 ROADCUSTOMER_ADDRESSTESTINGHAMCUSTOMER_ADDRESSTESTINGHAMSHIRE</v>
      </c>
      <c r="EB202" s="15" t="s">
        <v>856</v>
      </c>
      <c r="EC202" s="228"/>
      <c r="ED202" s="228"/>
      <c r="EE202" s="228"/>
    </row>
    <row r="203" spans="1:135" s="229" customFormat="1">
      <c r="A203" s="219" t="s">
        <v>1021</v>
      </c>
      <c r="B203" s="219" t="s">
        <v>868</v>
      </c>
      <c r="C203" s="219" t="s">
        <v>865</v>
      </c>
      <c r="D203" s="13">
        <f>'Run Parameters'!$B$1 + ROW()-1</f>
        <v>844</v>
      </c>
      <c r="E203" s="15" t="s">
        <v>47</v>
      </c>
      <c r="F203" s="13" t="s">
        <v>857</v>
      </c>
      <c r="G203" s="13" t="str">
        <f t="shared" si="203"/>
        <v>Access Dtls-844</v>
      </c>
      <c r="H203" s="15" t="s">
        <v>275</v>
      </c>
      <c r="I203" s="13" t="str">
        <f>("MR. Test_194_EXCH9_"&amp;D203&amp;"")</f>
        <v>MR. Test_194_EXCH9_844</v>
      </c>
      <c r="J203" s="13"/>
      <c r="K203" s="19" t="s">
        <v>425</v>
      </c>
      <c r="L203" s="13" t="str">
        <f t="shared" si="204"/>
        <v>Cust. Ref-844</v>
      </c>
      <c r="M203" s="15" t="s">
        <v>48</v>
      </c>
      <c r="N203" s="15" t="s">
        <v>425</v>
      </c>
      <c r="O203" s="13"/>
      <c r="P203" s="13" t="str">
        <f t="shared" si="205"/>
        <v>SN-844</v>
      </c>
      <c r="Q203" s="13" t="str">
        <f t="shared" si="206"/>
        <v>SI-844</v>
      </c>
      <c r="R203" s="13" t="str">
        <f t="shared" si="207"/>
        <v>SE-844</v>
      </c>
      <c r="S203" s="135" t="str">
        <f t="shared" si="208"/>
        <v>Prev_RA-844</v>
      </c>
      <c r="T203" s="135" t="str">
        <f t="shared" si="209"/>
        <v>Prev_Comms-844</v>
      </c>
      <c r="U203" s="15" t="s">
        <v>75</v>
      </c>
      <c r="V203" s="15" t="s">
        <v>401</v>
      </c>
      <c r="W203" s="15" t="s">
        <v>75</v>
      </c>
      <c r="X203" s="15" t="s">
        <v>396</v>
      </c>
      <c r="Y203" s="13" t="str">
        <f t="shared" si="210"/>
        <v>Forward Add-844</v>
      </c>
      <c r="Z203" s="15" t="s">
        <v>401</v>
      </c>
      <c r="AA203" s="136" t="str">
        <f>'Run Parameters'!$B$2</f>
        <v>2018-08-13 08:00</v>
      </c>
      <c r="AB203" s="223" t="str">
        <f>'Run Parameters'!B$3</f>
        <v>2018-08-13 18:00</v>
      </c>
      <c r="AC203" s="26">
        <f>('Run Parameters'!$B$2) - 7</f>
        <v>43318.333333333336</v>
      </c>
      <c r="AD203" s="15" t="s">
        <v>75</v>
      </c>
      <c r="AE203" s="13" t="str">
        <f t="shared" si="211"/>
        <v>LAST_METER-844</v>
      </c>
      <c r="AF203" s="136" t="str">
        <f>'Run Parameters'!$B$2</f>
        <v>2018-08-13 08:00</v>
      </c>
      <c r="AG203" s="13" t="str">
        <f>'Run Parameters'!B$4</f>
        <v>AUTOTEST2</v>
      </c>
      <c r="AH203" s="135" t="str">
        <f t="shared" si="212"/>
        <v>Site_Contact_844</v>
      </c>
      <c r="AI203" s="136" t="str">
        <f>'Run Parameters'!B$2</f>
        <v>2018-08-13 08:00</v>
      </c>
      <c r="AJ203" s="223" t="str">
        <f>'Run Parameters'!B$3</f>
        <v>2018-08-13 18:00</v>
      </c>
      <c r="AK203" s="13" t="s">
        <v>396</v>
      </c>
      <c r="AL203" s="135" t="str">
        <f t="shared" si="213"/>
        <v>01159844</v>
      </c>
      <c r="AM203" s="13" t="str">
        <f t="shared" si="214"/>
        <v>0115844</v>
      </c>
      <c r="AN203" s="15"/>
      <c r="AO203" s="15"/>
      <c r="AP203" s="13">
        <v>1</v>
      </c>
      <c r="AQ203" s="15" t="s">
        <v>49</v>
      </c>
      <c r="AR203" s="15"/>
      <c r="AS203" s="13"/>
      <c r="AT203" s="15" t="s">
        <v>400</v>
      </c>
      <c r="AU203" s="15"/>
      <c r="AV203" s="13">
        <f t="shared" si="215"/>
        <v>844</v>
      </c>
      <c r="AW203" s="13" t="s">
        <v>858</v>
      </c>
      <c r="AX203" s="13" t="s">
        <v>420</v>
      </c>
      <c r="AY203" s="13" t="s">
        <v>421</v>
      </c>
      <c r="AZ203" s="15" t="s">
        <v>334</v>
      </c>
      <c r="BA203" s="15" t="s">
        <v>154</v>
      </c>
      <c r="BB203" s="13">
        <v>1</v>
      </c>
      <c r="BC203" s="13">
        <f t="shared" si="216"/>
        <v>844</v>
      </c>
      <c r="BD203" s="15" t="s">
        <v>962</v>
      </c>
      <c r="BE203" s="15" t="s">
        <v>390</v>
      </c>
      <c r="BF203" s="15" t="s">
        <v>390</v>
      </c>
      <c r="BG203" s="13" t="s">
        <v>857</v>
      </c>
      <c r="BH203" s="13" t="str">
        <f t="shared" si="217"/>
        <v>844_1</v>
      </c>
      <c r="BI203" s="13"/>
      <c r="BJ203" s="13" t="str">
        <f t="shared" si="218"/>
        <v>10000000844</v>
      </c>
      <c r="BK203" s="15" t="s">
        <v>51</v>
      </c>
      <c r="BL203" s="15" t="s">
        <v>54</v>
      </c>
      <c r="BM203" s="13" t="s">
        <v>277</v>
      </c>
      <c r="BN203" s="15" t="s">
        <v>51</v>
      </c>
      <c r="BO203" s="13" t="str">
        <f t="shared" si="219"/>
        <v>S05S844</v>
      </c>
      <c r="BP203" s="15" t="s">
        <v>392</v>
      </c>
      <c r="BQ203" s="15" t="s">
        <v>392</v>
      </c>
      <c r="BR203" s="13" t="s">
        <v>159</v>
      </c>
      <c r="BS203" s="15" t="s">
        <v>963</v>
      </c>
      <c r="BT203" s="15" t="s">
        <v>964</v>
      </c>
      <c r="BU203" s="15" t="s">
        <v>393</v>
      </c>
      <c r="BV203" s="15" t="s">
        <v>51</v>
      </c>
      <c r="BW203" s="15" t="s">
        <v>154</v>
      </c>
      <c r="BX203" s="15"/>
      <c r="BY203" s="15"/>
      <c r="BZ203" s="15" t="s">
        <v>157</v>
      </c>
      <c r="CA203" s="15" t="s">
        <v>269</v>
      </c>
      <c r="CB203" s="15" t="s">
        <v>51</v>
      </c>
      <c r="CC203" s="15" t="s">
        <v>965</v>
      </c>
      <c r="CD203" s="15" t="s">
        <v>392</v>
      </c>
      <c r="CE203" s="15" t="s">
        <v>396</v>
      </c>
      <c r="CF203" s="15" t="s">
        <v>398</v>
      </c>
      <c r="CG203" s="15" t="s">
        <v>856</v>
      </c>
      <c r="CH203" s="15" t="s">
        <v>159</v>
      </c>
      <c r="CI203" s="13">
        <v>1</v>
      </c>
      <c r="CJ203" s="13" t="str">
        <f t="shared" si="220"/>
        <v>GAS_ENQ_NO-844</v>
      </c>
      <c r="CK203" s="15" t="s">
        <v>779</v>
      </c>
      <c r="CL203" s="15" t="s">
        <v>391</v>
      </c>
      <c r="CM203" s="15" t="s">
        <v>390</v>
      </c>
      <c r="CN203" s="13" t="s">
        <v>780</v>
      </c>
      <c r="CO203" s="13" t="str">
        <f t="shared" si="221"/>
        <v>GAS_JOB_ID-844</v>
      </c>
      <c r="CP203" s="15"/>
      <c r="CQ203" s="13" t="str">
        <f t="shared" si="222"/>
        <v>10000844</v>
      </c>
      <c r="CR203" s="13" t="s">
        <v>154</v>
      </c>
      <c r="CS203" s="15" t="s">
        <v>51</v>
      </c>
      <c r="CT203" s="227" t="str">
        <f t="shared" si="223"/>
        <v>GMETER844</v>
      </c>
      <c r="CU203" s="13" t="s">
        <v>161</v>
      </c>
      <c r="CV203" s="15" t="s">
        <v>165</v>
      </c>
      <c r="CW203" s="15" t="s">
        <v>414</v>
      </c>
      <c r="CX203" s="15"/>
      <c r="CY203" s="15"/>
      <c r="CZ203" s="15" t="s">
        <v>394</v>
      </c>
      <c r="DA203" s="15" t="s">
        <v>395</v>
      </c>
      <c r="DB203" s="13" t="str">
        <f t="shared" si="163"/>
        <v>GAS_INST_ID-844</v>
      </c>
      <c r="DC203" s="15" t="s">
        <v>161</v>
      </c>
      <c r="DD203" s="15"/>
      <c r="DE203" s="15" t="s">
        <v>51</v>
      </c>
      <c r="DF203" s="15" t="s">
        <v>264</v>
      </c>
      <c r="DG203" s="15"/>
      <c r="DH203" s="15" t="s">
        <v>397</v>
      </c>
      <c r="DI203" s="15" t="s">
        <v>399</v>
      </c>
      <c r="DJ203" s="15" t="s">
        <v>856</v>
      </c>
      <c r="DK203" s="15" t="s">
        <v>140</v>
      </c>
      <c r="DL203" s="228"/>
      <c r="DM203" s="228"/>
      <c r="DN203" s="13" t="str">
        <f t="shared" si="164"/>
        <v>DS_Pass-844</v>
      </c>
      <c r="DO203" s="15"/>
      <c r="DP203" s="15"/>
      <c r="DQ203" s="15"/>
      <c r="DR203" s="13"/>
      <c r="DS203" s="13"/>
      <c r="DT203" s="15" t="s">
        <v>52</v>
      </c>
      <c r="DU203" s="15"/>
      <c r="DV203" s="15"/>
      <c r="DW203" s="13"/>
      <c r="DX203" s="15" t="s">
        <v>54</v>
      </c>
      <c r="DY203" s="15" t="s">
        <v>61</v>
      </c>
      <c r="DZ203" s="15" t="s">
        <v>402</v>
      </c>
      <c r="EA203" s="135" t="str">
        <f t="shared" si="224"/>
        <v>844CUSTOMER_ADDRESSEXCH9 ROADCUSTOMER_ADDRESSTESTINGHAMCUSTOMER_ADDRESSTESTINGHAMSHIRE</v>
      </c>
      <c r="EB203" s="15" t="s">
        <v>856</v>
      </c>
      <c r="EC203" s="228"/>
      <c r="ED203" s="228"/>
      <c r="EE203" s="228"/>
    </row>
    <row r="204" spans="1:135" s="229" customFormat="1">
      <c r="A204" s="219" t="s">
        <v>1108</v>
      </c>
      <c r="B204" s="219" t="s">
        <v>892</v>
      </c>
      <c r="C204" s="219" t="s">
        <v>865</v>
      </c>
      <c r="D204" s="13">
        <f>'Run Parameters'!$B$1 + ROW()-1</f>
        <v>845</v>
      </c>
      <c r="E204" s="15" t="s">
        <v>47</v>
      </c>
      <c r="F204" s="13" t="s">
        <v>1153</v>
      </c>
      <c r="G204" s="13" t="str">
        <f t="shared" ref="G204" si="225">("Access Dtls-" &amp; D204)</f>
        <v>Access Dtls-845</v>
      </c>
      <c r="H204" s="15" t="s">
        <v>275</v>
      </c>
      <c r="I204" s="13" t="str">
        <f>("MR. Test_195_INST3_"&amp;D204&amp;"")</f>
        <v>MR. Test_195_INST3_845</v>
      </c>
      <c r="J204" s="13"/>
      <c r="K204" s="19" t="s">
        <v>425</v>
      </c>
      <c r="L204" s="13" t="str">
        <f t="shared" ref="L204" si="226">("Cust. Ref-" &amp; D204)</f>
        <v>Cust. Ref-845</v>
      </c>
      <c r="M204" s="15" t="s">
        <v>48</v>
      </c>
      <c r="N204" s="15" t="s">
        <v>425</v>
      </c>
      <c r="O204" s="13"/>
      <c r="P204" s="13" t="str">
        <f t="shared" ref="P204" si="227">("SN-" &amp; D204)</f>
        <v>SN-845</v>
      </c>
      <c r="Q204" s="13" t="str">
        <f t="shared" ref="Q204" si="228">("SI-" &amp; D204)</f>
        <v>SI-845</v>
      </c>
      <c r="R204" s="13" t="str">
        <f t="shared" ref="R204" si="229">("SE-" &amp; D204)</f>
        <v>SE-845</v>
      </c>
      <c r="S204" s="135" t="str">
        <f t="shared" ref="S204" si="230">("Prev_RA-" &amp; D204)</f>
        <v>Prev_RA-845</v>
      </c>
      <c r="T204" s="135" t="str">
        <f t="shared" ref="T204" si="231">("Prev_Comms-" &amp; D204)</f>
        <v>Prev_Comms-845</v>
      </c>
      <c r="U204" s="15" t="s">
        <v>75</v>
      </c>
      <c r="V204" s="15" t="s">
        <v>401</v>
      </c>
      <c r="W204" s="15" t="s">
        <v>75</v>
      </c>
      <c r="X204" s="15" t="s">
        <v>1093</v>
      </c>
      <c r="Y204" s="13" t="str">
        <f t="shared" ref="Y204" si="232">("Forward Add-" &amp; D204)</f>
        <v>Forward Add-845</v>
      </c>
      <c r="Z204" s="15" t="s">
        <v>401</v>
      </c>
      <c r="AA204" s="136" t="str">
        <f>'Run Parameters'!$B$2</f>
        <v>2018-08-13 08:00</v>
      </c>
      <c r="AB204" s="223" t="str">
        <f>'Run Parameters'!B$3</f>
        <v>2018-08-13 18:00</v>
      </c>
      <c r="AC204" s="26">
        <f>('Run Parameters'!$B$2) - 7</f>
        <v>43318.333333333336</v>
      </c>
      <c r="AD204" s="15" t="s">
        <v>75</v>
      </c>
      <c r="AE204" s="13" t="str">
        <f t="shared" ref="AE204" si="233">("LAST_METER-" &amp; D204)</f>
        <v>LAST_METER-845</v>
      </c>
      <c r="AF204" s="136" t="str">
        <f>'Run Parameters'!$B$2</f>
        <v>2018-08-13 08:00</v>
      </c>
      <c r="AG204" s="13" t="str">
        <f>'Run Parameters'!B$4</f>
        <v>AUTOTEST2</v>
      </c>
      <c r="AH204" s="135" t="str">
        <f t="shared" ref="AH204" si="234">("Site_Contact_" &amp; D204)</f>
        <v>Site_Contact_845</v>
      </c>
      <c r="AI204" s="136" t="str">
        <f>'Run Parameters'!B$2</f>
        <v>2018-08-13 08:00</v>
      </c>
      <c r="AJ204" s="223" t="str">
        <f>'Run Parameters'!B$3</f>
        <v>2018-08-13 18:00</v>
      </c>
      <c r="AK204" s="13" t="s">
        <v>1093</v>
      </c>
      <c r="AL204" s="135" t="str">
        <f t="shared" ref="AL204" si="235">"01159" &amp; D204</f>
        <v>01159845</v>
      </c>
      <c r="AM204" s="13" t="str">
        <f t="shared" ref="AM204" si="236">("0115" &amp; D204)</f>
        <v>0115845</v>
      </c>
      <c r="AN204" s="15"/>
      <c r="AO204" s="15"/>
      <c r="AP204" s="13">
        <v>1</v>
      </c>
      <c r="AQ204" s="15" t="s">
        <v>49</v>
      </c>
      <c r="AR204" s="15"/>
      <c r="AS204" s="13"/>
      <c r="AT204" s="15" t="s">
        <v>400</v>
      </c>
      <c r="AU204" s="15"/>
      <c r="AV204" s="13">
        <f t="shared" ref="AV204" si="237">D204</f>
        <v>845</v>
      </c>
      <c r="AW204" s="13" t="s">
        <v>1104</v>
      </c>
      <c r="AX204" s="13" t="s">
        <v>420</v>
      </c>
      <c r="AY204" s="13" t="s">
        <v>421</v>
      </c>
      <c r="AZ204" s="15" t="s">
        <v>334</v>
      </c>
      <c r="BA204" s="15" t="s">
        <v>154</v>
      </c>
      <c r="BB204" s="13">
        <v>1</v>
      </c>
      <c r="BC204" s="13">
        <f t="shared" ref="BC204" si="238">D204</f>
        <v>845</v>
      </c>
      <c r="BD204" s="15" t="s">
        <v>1103</v>
      </c>
      <c r="BE204" s="15" t="s">
        <v>391</v>
      </c>
      <c r="BF204" s="15" t="s">
        <v>390</v>
      </c>
      <c r="BG204" s="13" t="s">
        <v>1153</v>
      </c>
      <c r="BH204" s="13" t="str">
        <f t="shared" ref="BH204" si="239">BC204&amp;"_"&amp;BB204</f>
        <v>845_1</v>
      </c>
      <c r="BI204" s="13"/>
      <c r="BJ204" s="13" t="str">
        <f t="shared" ref="BJ204" si="240">"10000000" &amp; D204</f>
        <v>10000000845</v>
      </c>
      <c r="BK204" s="15" t="s">
        <v>51</v>
      </c>
      <c r="BL204" s="15" t="s">
        <v>54</v>
      </c>
      <c r="BM204" s="13"/>
      <c r="BN204" s="15" t="s">
        <v>49</v>
      </c>
      <c r="BO204" s="13"/>
      <c r="BP204" s="15"/>
      <c r="BQ204" s="15"/>
      <c r="BR204" s="13"/>
      <c r="BS204" s="15"/>
      <c r="BT204" s="15"/>
      <c r="BU204" s="15"/>
      <c r="BV204" s="15"/>
      <c r="BW204" s="15"/>
      <c r="BX204" s="15"/>
      <c r="BY204" s="15"/>
      <c r="BZ204" s="15"/>
      <c r="CA204" s="15"/>
      <c r="CB204" s="15"/>
      <c r="CC204" s="15"/>
      <c r="CD204" s="15" t="s">
        <v>392</v>
      </c>
      <c r="CE204" s="15" t="s">
        <v>1093</v>
      </c>
      <c r="CF204" s="15" t="s">
        <v>398</v>
      </c>
      <c r="CG204" s="15" t="s">
        <v>1105</v>
      </c>
      <c r="CH204" s="15" t="s">
        <v>159</v>
      </c>
      <c r="CI204" s="13">
        <v>1</v>
      </c>
      <c r="CJ204" s="13" t="str">
        <f t="shared" ref="CJ204" si="241">("GAS_ENQ_NO-" &amp; D204)</f>
        <v>GAS_ENQ_NO-845</v>
      </c>
      <c r="CK204" s="15" t="s">
        <v>165</v>
      </c>
      <c r="CL204" s="15" t="s">
        <v>391</v>
      </c>
      <c r="CM204" s="15" t="s">
        <v>390</v>
      </c>
      <c r="CN204" s="13" t="s">
        <v>1106</v>
      </c>
      <c r="CO204" s="13" t="str">
        <f t="shared" ref="CO204" si="242">("GAS_JOB_ID-" &amp; D204)</f>
        <v>GAS_JOB_ID-845</v>
      </c>
      <c r="CP204" s="15"/>
      <c r="CQ204" s="13" t="str">
        <f t="shared" ref="CQ204" si="243">"10000" &amp; D204</f>
        <v>10000845</v>
      </c>
      <c r="CR204" s="13"/>
      <c r="CS204" s="15" t="s">
        <v>49</v>
      </c>
      <c r="CT204" s="227"/>
      <c r="CU204" s="13"/>
      <c r="CV204" s="15"/>
      <c r="CW204" s="15"/>
      <c r="CX204" s="15"/>
      <c r="CY204" s="15"/>
      <c r="CZ204" s="15"/>
      <c r="DA204" s="15" t="s">
        <v>395</v>
      </c>
      <c r="DB204" s="13" t="str">
        <f t="shared" si="163"/>
        <v>GAS_INST_ID-845</v>
      </c>
      <c r="DC204" s="15"/>
      <c r="DD204" s="15"/>
      <c r="DE204" s="15"/>
      <c r="DF204" s="15"/>
      <c r="DG204" s="15"/>
      <c r="DH204" s="15" t="s">
        <v>397</v>
      </c>
      <c r="DI204" s="15" t="s">
        <v>399</v>
      </c>
      <c r="DJ204" s="15" t="s">
        <v>1105</v>
      </c>
      <c r="DK204" s="15" t="s">
        <v>140</v>
      </c>
      <c r="DL204" s="228"/>
      <c r="DM204" s="228"/>
      <c r="DN204" s="13" t="str">
        <f t="shared" si="164"/>
        <v>DS_Pass-845</v>
      </c>
      <c r="DO204" s="15"/>
      <c r="DP204" s="15"/>
      <c r="DQ204" s="15"/>
      <c r="DR204" s="13"/>
      <c r="DS204" s="13"/>
      <c r="DT204" s="15" t="s">
        <v>52</v>
      </c>
      <c r="DU204" s="15"/>
      <c r="DV204" s="15"/>
      <c r="DW204" s="13"/>
      <c r="DX204" s="15" t="s">
        <v>54</v>
      </c>
      <c r="DY204" s="15" t="s">
        <v>61</v>
      </c>
      <c r="DZ204" s="15" t="s">
        <v>402</v>
      </c>
      <c r="EA204" s="135" t="str">
        <f t="shared" ref="EA204" si="244">CONCATENATE(AV204, $EA$1, AW204, $EA$1, AX204, $EA$1, AY204)</f>
        <v>845CUSTOMER_ADDRESSINST3 ROADCUSTOMER_ADDRESSTESTINGHAMCUSTOMER_ADDRESSTESTINGHAMSHIRE</v>
      </c>
      <c r="EB204" s="15" t="s">
        <v>1105</v>
      </c>
      <c r="EC204" s="228"/>
      <c r="ED204" s="228"/>
      <c r="EE204" s="228"/>
    </row>
    <row r="205" spans="1:135" s="229" customFormat="1">
      <c r="A205" s="219" t="s">
        <v>1118</v>
      </c>
      <c r="B205" s="219" t="s">
        <v>892</v>
      </c>
      <c r="C205" s="219" t="s">
        <v>865</v>
      </c>
      <c r="D205" s="13">
        <f>'Run Parameters'!$B$1 + ROW()-1</f>
        <v>846</v>
      </c>
      <c r="E205" s="15" t="s">
        <v>47</v>
      </c>
      <c r="F205" s="13" t="s">
        <v>1153</v>
      </c>
      <c r="G205" s="13" t="str">
        <f t="shared" ref="G205:G216" si="245">("Access Dtls-" &amp; D205)</f>
        <v>Access Dtls-846</v>
      </c>
      <c r="H205" s="15" t="s">
        <v>275</v>
      </c>
      <c r="I205" s="13" t="str">
        <f>("MR. Test_196_INST3_"&amp;D205&amp;"")</f>
        <v>MR. Test_196_INST3_846</v>
      </c>
      <c r="J205" s="13"/>
      <c r="K205" s="19" t="s">
        <v>425</v>
      </c>
      <c r="L205" s="13" t="str">
        <f t="shared" ref="L205:L216" si="246">("Cust. Ref-" &amp; D205)</f>
        <v>Cust. Ref-846</v>
      </c>
      <c r="M205" s="15" t="s">
        <v>48</v>
      </c>
      <c r="N205" s="15" t="s">
        <v>425</v>
      </c>
      <c r="O205" s="13"/>
      <c r="P205" s="13" t="str">
        <f t="shared" ref="P205:P216" si="247">("SN-" &amp; D205)</f>
        <v>SN-846</v>
      </c>
      <c r="Q205" s="13" t="str">
        <f t="shared" ref="Q205:Q216" si="248">("SI-" &amp; D205)</f>
        <v>SI-846</v>
      </c>
      <c r="R205" s="13" t="str">
        <f t="shared" ref="R205:R216" si="249">("SE-" &amp; D205)</f>
        <v>SE-846</v>
      </c>
      <c r="S205" s="135" t="str">
        <f t="shared" ref="S205:S216" si="250">("Prev_RA-" &amp; D205)</f>
        <v>Prev_RA-846</v>
      </c>
      <c r="T205" s="135" t="str">
        <f t="shared" ref="T205:T216" si="251">("Prev_Comms-" &amp; D205)</f>
        <v>Prev_Comms-846</v>
      </c>
      <c r="U205" s="15" t="s">
        <v>75</v>
      </c>
      <c r="V205" s="15" t="s">
        <v>401</v>
      </c>
      <c r="W205" s="15" t="s">
        <v>75</v>
      </c>
      <c r="X205" s="15" t="s">
        <v>1093</v>
      </c>
      <c r="Y205" s="13" t="str">
        <f t="shared" ref="Y205:Y216" si="252">("Forward Add-" &amp; D205)</f>
        <v>Forward Add-846</v>
      </c>
      <c r="Z205" s="15" t="s">
        <v>401</v>
      </c>
      <c r="AA205" s="136" t="str">
        <f>'Run Parameters'!$B$2</f>
        <v>2018-08-13 08:00</v>
      </c>
      <c r="AB205" s="223" t="str">
        <f>'Run Parameters'!B$3</f>
        <v>2018-08-13 18:00</v>
      </c>
      <c r="AC205" s="26">
        <f>('Run Parameters'!$B$2) - 7</f>
        <v>43318.333333333336</v>
      </c>
      <c r="AD205" s="15" t="s">
        <v>75</v>
      </c>
      <c r="AE205" s="13" t="str">
        <f t="shared" ref="AE205:AE216" si="253">("LAST_METER-" &amp; D205)</f>
        <v>LAST_METER-846</v>
      </c>
      <c r="AF205" s="136" t="str">
        <f>'Run Parameters'!$B$2</f>
        <v>2018-08-13 08:00</v>
      </c>
      <c r="AG205" s="13" t="str">
        <f>'Run Parameters'!B$4</f>
        <v>AUTOTEST2</v>
      </c>
      <c r="AH205" s="135" t="str">
        <f t="shared" ref="AH205:AH216" si="254">("Site_Contact_" &amp; D205)</f>
        <v>Site_Contact_846</v>
      </c>
      <c r="AI205" s="136" t="str">
        <f>'Run Parameters'!B$2</f>
        <v>2018-08-13 08:00</v>
      </c>
      <c r="AJ205" s="223" t="str">
        <f>'Run Parameters'!B$3</f>
        <v>2018-08-13 18:00</v>
      </c>
      <c r="AK205" s="13" t="s">
        <v>1093</v>
      </c>
      <c r="AL205" s="135" t="str">
        <f t="shared" ref="AL205:AL216" si="255">"01159" &amp; D205</f>
        <v>01159846</v>
      </c>
      <c r="AM205" s="13" t="str">
        <f t="shared" ref="AM205:AM216" si="256">("0115" &amp; D205)</f>
        <v>0115846</v>
      </c>
      <c r="AN205" s="15"/>
      <c r="AO205" s="15"/>
      <c r="AP205" s="13">
        <v>1</v>
      </c>
      <c r="AQ205" s="15" t="s">
        <v>49</v>
      </c>
      <c r="AR205" s="15"/>
      <c r="AS205" s="13"/>
      <c r="AT205" s="15" t="s">
        <v>845</v>
      </c>
      <c r="AU205" s="15"/>
      <c r="AV205" s="13">
        <f t="shared" ref="AV205:AV216" si="257">D205</f>
        <v>846</v>
      </c>
      <c r="AW205" s="13" t="s">
        <v>1104</v>
      </c>
      <c r="AX205" s="13" t="s">
        <v>420</v>
      </c>
      <c r="AY205" s="13" t="s">
        <v>421</v>
      </c>
      <c r="AZ205" s="15" t="s">
        <v>334</v>
      </c>
      <c r="BA205" s="15" t="s">
        <v>154</v>
      </c>
      <c r="BB205" s="13">
        <v>1</v>
      </c>
      <c r="BC205" s="13">
        <f t="shared" ref="BC205:BC216" si="258">D205</f>
        <v>846</v>
      </c>
      <c r="BD205" s="15" t="s">
        <v>1103</v>
      </c>
      <c r="BE205" s="15" t="s">
        <v>391</v>
      </c>
      <c r="BF205" s="15" t="s">
        <v>390</v>
      </c>
      <c r="BG205" s="13" t="s">
        <v>1153</v>
      </c>
      <c r="BH205" s="13" t="str">
        <f t="shared" ref="BH205:BH216" si="259">BC205&amp;"_"&amp;BB205</f>
        <v>846_1</v>
      </c>
      <c r="BI205" s="13"/>
      <c r="BJ205" s="13" t="str">
        <f t="shared" ref="BJ205:BJ216" si="260">"10000000" &amp; D205</f>
        <v>10000000846</v>
      </c>
      <c r="BK205" s="15" t="s">
        <v>51</v>
      </c>
      <c r="BL205" s="15" t="s">
        <v>54</v>
      </c>
      <c r="BM205" s="13"/>
      <c r="BN205" s="15" t="s">
        <v>49</v>
      </c>
      <c r="BO205" s="13"/>
      <c r="BP205" s="15"/>
      <c r="BQ205" s="15"/>
      <c r="BR205" s="13"/>
      <c r="BS205" s="15"/>
      <c r="BT205" s="15"/>
      <c r="BU205" s="15"/>
      <c r="BV205" s="15"/>
      <c r="BW205" s="15"/>
      <c r="BX205" s="15"/>
      <c r="BY205" s="15"/>
      <c r="BZ205" s="15"/>
      <c r="CA205" s="15"/>
      <c r="CB205" s="15"/>
      <c r="CC205" s="15"/>
      <c r="CD205" s="15" t="s">
        <v>392</v>
      </c>
      <c r="CE205" s="15" t="s">
        <v>1093</v>
      </c>
      <c r="CF205" s="15" t="s">
        <v>398</v>
      </c>
      <c r="CG205" s="15" t="s">
        <v>1105</v>
      </c>
      <c r="CH205" s="15" t="s">
        <v>159</v>
      </c>
      <c r="CI205" s="13">
        <v>1</v>
      </c>
      <c r="CJ205" s="13" t="str">
        <f t="shared" ref="CJ205:CJ216" si="261">("GAS_ENQ_NO-" &amp; D205)</f>
        <v>GAS_ENQ_NO-846</v>
      </c>
      <c r="CK205" s="15" t="s">
        <v>165</v>
      </c>
      <c r="CL205" s="15" t="s">
        <v>391</v>
      </c>
      <c r="CM205" s="15" t="s">
        <v>390</v>
      </c>
      <c r="CN205" s="13" t="s">
        <v>1106</v>
      </c>
      <c r="CO205" s="13" t="str">
        <f t="shared" ref="CO205:CO216" si="262">("GAS_JOB_ID-" &amp; D205)</f>
        <v>GAS_JOB_ID-846</v>
      </c>
      <c r="CP205" s="15"/>
      <c r="CQ205" s="13" t="str">
        <f t="shared" ref="CQ205:CQ216" si="263">"10000" &amp; D205</f>
        <v>10000846</v>
      </c>
      <c r="CR205" s="13"/>
      <c r="CS205" s="15" t="s">
        <v>49</v>
      </c>
      <c r="CT205" s="227"/>
      <c r="CU205" s="13"/>
      <c r="CV205" s="15"/>
      <c r="CW205" s="15"/>
      <c r="CX205" s="15"/>
      <c r="CY205" s="15"/>
      <c r="CZ205" s="15"/>
      <c r="DA205" s="15" t="s">
        <v>395</v>
      </c>
      <c r="DB205" s="13" t="str">
        <f t="shared" si="163"/>
        <v>GAS_INST_ID-846</v>
      </c>
      <c r="DC205" s="15"/>
      <c r="DD205" s="15"/>
      <c r="DE205" s="15"/>
      <c r="DF205" s="15"/>
      <c r="DG205" s="15"/>
      <c r="DH205" s="15" t="s">
        <v>397</v>
      </c>
      <c r="DI205" s="15" t="s">
        <v>399</v>
      </c>
      <c r="DJ205" s="15" t="s">
        <v>1105</v>
      </c>
      <c r="DK205" s="15" t="s">
        <v>140</v>
      </c>
      <c r="DL205" s="228"/>
      <c r="DM205" s="228"/>
      <c r="DN205" s="13" t="str">
        <f t="shared" si="164"/>
        <v>DS_Pass-846</v>
      </c>
      <c r="DO205" s="15"/>
      <c r="DP205" s="15"/>
      <c r="DQ205" s="15"/>
      <c r="DR205" s="13"/>
      <c r="DS205" s="13"/>
      <c r="DT205" s="15" t="s">
        <v>52</v>
      </c>
      <c r="DU205" s="15"/>
      <c r="DV205" s="15"/>
      <c r="DW205" s="13"/>
      <c r="DX205" s="15" t="s">
        <v>54</v>
      </c>
      <c r="DY205" s="15" t="s">
        <v>61</v>
      </c>
      <c r="DZ205" s="15" t="s">
        <v>402</v>
      </c>
      <c r="EA205" s="135" t="str">
        <f t="shared" ref="EA205:EA216" si="264">CONCATENATE(AV205, $EA$1, AW205, $EA$1, AX205, $EA$1, AY205)</f>
        <v>846CUSTOMER_ADDRESSINST3 ROADCUSTOMER_ADDRESSTESTINGHAMCUSTOMER_ADDRESSTESTINGHAMSHIRE</v>
      </c>
      <c r="EB205" s="15" t="s">
        <v>1105</v>
      </c>
      <c r="EC205" s="228"/>
      <c r="ED205" s="228"/>
      <c r="EE205" s="228"/>
    </row>
    <row r="206" spans="1:135" s="229" customFormat="1">
      <c r="A206" s="219" t="s">
        <v>1119</v>
      </c>
      <c r="B206" s="219" t="s">
        <v>892</v>
      </c>
      <c r="C206" s="219" t="s">
        <v>865</v>
      </c>
      <c r="D206" s="13">
        <f>'Run Parameters'!$B$1 + ROW()-1</f>
        <v>847</v>
      </c>
      <c r="E206" s="15" t="s">
        <v>47</v>
      </c>
      <c r="F206" s="13" t="s">
        <v>1153</v>
      </c>
      <c r="G206" s="13" t="str">
        <f t="shared" si="245"/>
        <v>Access Dtls-847</v>
      </c>
      <c r="H206" s="15" t="s">
        <v>275</v>
      </c>
      <c r="I206" s="13" t="str">
        <f>("MR. Test_197_INST3_"&amp;D206&amp;"")</f>
        <v>MR. Test_197_INST3_847</v>
      </c>
      <c r="J206" s="13"/>
      <c r="K206" s="19" t="s">
        <v>425</v>
      </c>
      <c r="L206" s="13" t="str">
        <f t="shared" si="246"/>
        <v>Cust. Ref-847</v>
      </c>
      <c r="M206" s="15" t="s">
        <v>48</v>
      </c>
      <c r="N206" s="15" t="s">
        <v>425</v>
      </c>
      <c r="O206" s="13"/>
      <c r="P206" s="13" t="str">
        <f t="shared" si="247"/>
        <v>SN-847</v>
      </c>
      <c r="Q206" s="13" t="str">
        <f t="shared" si="248"/>
        <v>SI-847</v>
      </c>
      <c r="R206" s="13" t="str">
        <f t="shared" si="249"/>
        <v>SE-847</v>
      </c>
      <c r="S206" s="135" t="str">
        <f t="shared" si="250"/>
        <v>Prev_RA-847</v>
      </c>
      <c r="T206" s="135" t="str">
        <f t="shared" si="251"/>
        <v>Prev_Comms-847</v>
      </c>
      <c r="U206" s="15" t="s">
        <v>75</v>
      </c>
      <c r="V206" s="15" t="s">
        <v>401</v>
      </c>
      <c r="W206" s="15" t="s">
        <v>75</v>
      </c>
      <c r="X206" s="15" t="s">
        <v>1093</v>
      </c>
      <c r="Y206" s="13" t="str">
        <f t="shared" si="252"/>
        <v>Forward Add-847</v>
      </c>
      <c r="Z206" s="15" t="s">
        <v>401</v>
      </c>
      <c r="AA206" s="136" t="str">
        <f>'Run Parameters'!$B$2</f>
        <v>2018-08-13 08:00</v>
      </c>
      <c r="AB206" s="223" t="str">
        <f>'Run Parameters'!B$3</f>
        <v>2018-08-13 18:00</v>
      </c>
      <c r="AC206" s="26">
        <f>('Run Parameters'!$B$2) - 7</f>
        <v>43318.333333333336</v>
      </c>
      <c r="AD206" s="15" t="s">
        <v>75</v>
      </c>
      <c r="AE206" s="13" t="str">
        <f t="shared" si="253"/>
        <v>LAST_METER-847</v>
      </c>
      <c r="AF206" s="136" t="str">
        <f>'Run Parameters'!$B$2</f>
        <v>2018-08-13 08:00</v>
      </c>
      <c r="AG206" s="13" t="str">
        <f>'Run Parameters'!B$4</f>
        <v>AUTOTEST2</v>
      </c>
      <c r="AH206" s="135" t="str">
        <f t="shared" si="254"/>
        <v>Site_Contact_847</v>
      </c>
      <c r="AI206" s="136" t="str">
        <f>'Run Parameters'!B$2</f>
        <v>2018-08-13 08:00</v>
      </c>
      <c r="AJ206" s="223" t="str">
        <f>'Run Parameters'!B$3</f>
        <v>2018-08-13 18:00</v>
      </c>
      <c r="AK206" s="13" t="s">
        <v>1093</v>
      </c>
      <c r="AL206" s="135" t="str">
        <f t="shared" si="255"/>
        <v>01159847</v>
      </c>
      <c r="AM206" s="13" t="str">
        <f t="shared" si="256"/>
        <v>0115847</v>
      </c>
      <c r="AN206" s="15"/>
      <c r="AO206" s="15"/>
      <c r="AP206" s="13">
        <v>1</v>
      </c>
      <c r="AQ206" s="15" t="s">
        <v>49</v>
      </c>
      <c r="AR206" s="15"/>
      <c r="AS206" s="13"/>
      <c r="AT206" s="15" t="s">
        <v>1109</v>
      </c>
      <c r="AU206" s="15"/>
      <c r="AV206" s="13">
        <f t="shared" si="257"/>
        <v>847</v>
      </c>
      <c r="AW206" s="13" t="s">
        <v>1104</v>
      </c>
      <c r="AX206" s="13" t="s">
        <v>420</v>
      </c>
      <c r="AY206" s="13" t="s">
        <v>421</v>
      </c>
      <c r="AZ206" s="15" t="s">
        <v>334</v>
      </c>
      <c r="BA206" s="15" t="s">
        <v>154</v>
      </c>
      <c r="BB206" s="13">
        <v>1</v>
      </c>
      <c r="BC206" s="13">
        <f t="shared" si="258"/>
        <v>847</v>
      </c>
      <c r="BD206" s="15" t="s">
        <v>1103</v>
      </c>
      <c r="BE206" s="15" t="s">
        <v>391</v>
      </c>
      <c r="BF206" s="15" t="s">
        <v>390</v>
      </c>
      <c r="BG206" s="13" t="s">
        <v>1153</v>
      </c>
      <c r="BH206" s="13" t="str">
        <f t="shared" si="259"/>
        <v>847_1</v>
      </c>
      <c r="BI206" s="13"/>
      <c r="BJ206" s="13" t="str">
        <f t="shared" si="260"/>
        <v>10000000847</v>
      </c>
      <c r="BK206" s="15" t="s">
        <v>51</v>
      </c>
      <c r="BL206" s="15" t="s">
        <v>54</v>
      </c>
      <c r="BM206" s="13"/>
      <c r="BN206" s="15" t="s">
        <v>49</v>
      </c>
      <c r="BO206" s="13"/>
      <c r="BP206" s="15"/>
      <c r="BQ206" s="15"/>
      <c r="BR206" s="13"/>
      <c r="BS206" s="15"/>
      <c r="BT206" s="15"/>
      <c r="BU206" s="15"/>
      <c r="BV206" s="15"/>
      <c r="BW206" s="15"/>
      <c r="BX206" s="15"/>
      <c r="BY206" s="15"/>
      <c r="BZ206" s="15"/>
      <c r="CA206" s="15"/>
      <c r="CB206" s="15"/>
      <c r="CC206" s="15"/>
      <c r="CD206" s="15" t="s">
        <v>392</v>
      </c>
      <c r="CE206" s="15" t="s">
        <v>1093</v>
      </c>
      <c r="CF206" s="15" t="s">
        <v>398</v>
      </c>
      <c r="CG206" s="15" t="s">
        <v>1105</v>
      </c>
      <c r="CH206" s="15" t="s">
        <v>159</v>
      </c>
      <c r="CI206" s="13">
        <v>1</v>
      </c>
      <c r="CJ206" s="13" t="str">
        <f t="shared" si="261"/>
        <v>GAS_ENQ_NO-847</v>
      </c>
      <c r="CK206" s="15" t="s">
        <v>165</v>
      </c>
      <c r="CL206" s="15" t="s">
        <v>391</v>
      </c>
      <c r="CM206" s="15" t="s">
        <v>390</v>
      </c>
      <c r="CN206" s="13" t="s">
        <v>1106</v>
      </c>
      <c r="CO206" s="13" t="str">
        <f t="shared" si="262"/>
        <v>GAS_JOB_ID-847</v>
      </c>
      <c r="CP206" s="15"/>
      <c r="CQ206" s="13" t="str">
        <f t="shared" si="263"/>
        <v>10000847</v>
      </c>
      <c r="CR206" s="13"/>
      <c r="CS206" s="15" t="s">
        <v>49</v>
      </c>
      <c r="CT206" s="227"/>
      <c r="CU206" s="13"/>
      <c r="CV206" s="15"/>
      <c r="CW206" s="15"/>
      <c r="CX206" s="15"/>
      <c r="CY206" s="15"/>
      <c r="CZ206" s="15"/>
      <c r="DA206" s="15" t="s">
        <v>395</v>
      </c>
      <c r="DB206" s="13" t="str">
        <f t="shared" si="163"/>
        <v>GAS_INST_ID-847</v>
      </c>
      <c r="DC206" s="15"/>
      <c r="DD206" s="15"/>
      <c r="DE206" s="15"/>
      <c r="DF206" s="15"/>
      <c r="DG206" s="15"/>
      <c r="DH206" s="15" t="s">
        <v>397</v>
      </c>
      <c r="DI206" s="15" t="s">
        <v>399</v>
      </c>
      <c r="DJ206" s="15" t="s">
        <v>1105</v>
      </c>
      <c r="DK206" s="15" t="s">
        <v>140</v>
      </c>
      <c r="DL206" s="228"/>
      <c r="DM206" s="228"/>
      <c r="DN206" s="13" t="str">
        <f t="shared" si="164"/>
        <v>DS_Pass-847</v>
      </c>
      <c r="DO206" s="15"/>
      <c r="DP206" s="15"/>
      <c r="DQ206" s="15"/>
      <c r="DR206" s="13"/>
      <c r="DS206" s="13"/>
      <c r="DT206" s="15" t="s">
        <v>52</v>
      </c>
      <c r="DU206" s="15"/>
      <c r="DV206" s="15"/>
      <c r="DW206" s="13"/>
      <c r="DX206" s="15" t="s">
        <v>54</v>
      </c>
      <c r="DY206" s="15" t="s">
        <v>61</v>
      </c>
      <c r="DZ206" s="15" t="s">
        <v>402</v>
      </c>
      <c r="EA206" s="135" t="str">
        <f t="shared" si="264"/>
        <v>847CUSTOMER_ADDRESSINST3 ROADCUSTOMER_ADDRESSTESTINGHAMCUSTOMER_ADDRESSTESTINGHAMSHIRE</v>
      </c>
      <c r="EB206" s="15" t="s">
        <v>1105</v>
      </c>
      <c r="EC206" s="228"/>
      <c r="ED206" s="228"/>
      <c r="EE206" s="228"/>
    </row>
    <row r="207" spans="1:135" s="229" customFormat="1">
      <c r="A207" s="219" t="s">
        <v>1120</v>
      </c>
      <c r="B207" s="219" t="s">
        <v>892</v>
      </c>
      <c r="C207" s="219" t="s">
        <v>865</v>
      </c>
      <c r="D207" s="13">
        <f>'Run Parameters'!$B$1 + ROW()-1</f>
        <v>848</v>
      </c>
      <c r="E207" s="15" t="s">
        <v>47</v>
      </c>
      <c r="F207" s="13" t="s">
        <v>1153</v>
      </c>
      <c r="G207" s="13" t="str">
        <f t="shared" si="245"/>
        <v>Access Dtls-848</v>
      </c>
      <c r="H207" s="15" t="s">
        <v>275</v>
      </c>
      <c r="I207" s="13" t="str">
        <f>("MR. Test_198_INST3_"&amp;D207&amp;"")</f>
        <v>MR. Test_198_INST3_848</v>
      </c>
      <c r="J207" s="13"/>
      <c r="K207" s="19" t="s">
        <v>425</v>
      </c>
      <c r="L207" s="13" t="str">
        <f t="shared" si="246"/>
        <v>Cust. Ref-848</v>
      </c>
      <c r="M207" s="15" t="s">
        <v>48</v>
      </c>
      <c r="N207" s="15" t="s">
        <v>425</v>
      </c>
      <c r="O207" s="13"/>
      <c r="P207" s="13" t="str">
        <f t="shared" si="247"/>
        <v>SN-848</v>
      </c>
      <c r="Q207" s="13" t="str">
        <f t="shared" si="248"/>
        <v>SI-848</v>
      </c>
      <c r="R207" s="13" t="str">
        <f t="shared" si="249"/>
        <v>SE-848</v>
      </c>
      <c r="S207" s="135" t="str">
        <f t="shared" si="250"/>
        <v>Prev_RA-848</v>
      </c>
      <c r="T207" s="135" t="str">
        <f t="shared" si="251"/>
        <v>Prev_Comms-848</v>
      </c>
      <c r="U207" s="15" t="s">
        <v>75</v>
      </c>
      <c r="V207" s="15" t="s">
        <v>401</v>
      </c>
      <c r="W207" s="15" t="s">
        <v>75</v>
      </c>
      <c r="X207" s="15" t="s">
        <v>1093</v>
      </c>
      <c r="Y207" s="13" t="str">
        <f t="shared" si="252"/>
        <v>Forward Add-848</v>
      </c>
      <c r="Z207" s="15" t="s">
        <v>401</v>
      </c>
      <c r="AA207" s="136" t="str">
        <f>'Run Parameters'!$B$2</f>
        <v>2018-08-13 08:00</v>
      </c>
      <c r="AB207" s="223" t="str">
        <f>'Run Parameters'!B$3</f>
        <v>2018-08-13 18:00</v>
      </c>
      <c r="AC207" s="26">
        <f>('Run Parameters'!$B$2) - 7</f>
        <v>43318.333333333336</v>
      </c>
      <c r="AD207" s="15" t="s">
        <v>75</v>
      </c>
      <c r="AE207" s="13" t="str">
        <f t="shared" si="253"/>
        <v>LAST_METER-848</v>
      </c>
      <c r="AF207" s="136" t="str">
        <f>'Run Parameters'!$B$2</f>
        <v>2018-08-13 08:00</v>
      </c>
      <c r="AG207" s="13" t="str">
        <f>'Run Parameters'!B$4</f>
        <v>AUTOTEST2</v>
      </c>
      <c r="AH207" s="135" t="str">
        <f t="shared" si="254"/>
        <v>Site_Contact_848</v>
      </c>
      <c r="AI207" s="136" t="str">
        <f>'Run Parameters'!B$2</f>
        <v>2018-08-13 08:00</v>
      </c>
      <c r="AJ207" s="223" t="str">
        <f>'Run Parameters'!B$3</f>
        <v>2018-08-13 18:00</v>
      </c>
      <c r="AK207" s="13" t="s">
        <v>1093</v>
      </c>
      <c r="AL207" s="135" t="str">
        <f t="shared" si="255"/>
        <v>01159848</v>
      </c>
      <c r="AM207" s="13" t="str">
        <f t="shared" si="256"/>
        <v>0115848</v>
      </c>
      <c r="AN207" s="15"/>
      <c r="AO207" s="15"/>
      <c r="AP207" s="13">
        <v>1</v>
      </c>
      <c r="AQ207" s="15" t="s">
        <v>49</v>
      </c>
      <c r="AR207" s="15"/>
      <c r="AS207" s="13"/>
      <c r="AT207" s="15" t="s">
        <v>1110</v>
      </c>
      <c r="AU207" s="15"/>
      <c r="AV207" s="13">
        <f t="shared" si="257"/>
        <v>848</v>
      </c>
      <c r="AW207" s="13" t="s">
        <v>1104</v>
      </c>
      <c r="AX207" s="13" t="s">
        <v>420</v>
      </c>
      <c r="AY207" s="13" t="s">
        <v>421</v>
      </c>
      <c r="AZ207" s="15" t="s">
        <v>334</v>
      </c>
      <c r="BA207" s="15" t="s">
        <v>154</v>
      </c>
      <c r="BB207" s="13">
        <v>1</v>
      </c>
      <c r="BC207" s="13">
        <f t="shared" si="258"/>
        <v>848</v>
      </c>
      <c r="BD207" s="15" t="s">
        <v>1103</v>
      </c>
      <c r="BE207" s="15" t="s">
        <v>391</v>
      </c>
      <c r="BF207" s="15" t="s">
        <v>390</v>
      </c>
      <c r="BG207" s="13" t="s">
        <v>1153</v>
      </c>
      <c r="BH207" s="13" t="str">
        <f t="shared" si="259"/>
        <v>848_1</v>
      </c>
      <c r="BI207" s="13"/>
      <c r="BJ207" s="13" t="str">
        <f t="shared" si="260"/>
        <v>10000000848</v>
      </c>
      <c r="BK207" s="15" t="s">
        <v>51</v>
      </c>
      <c r="BL207" s="15" t="s">
        <v>54</v>
      </c>
      <c r="BM207" s="13"/>
      <c r="BN207" s="15" t="s">
        <v>49</v>
      </c>
      <c r="BO207" s="13"/>
      <c r="BP207" s="15"/>
      <c r="BQ207" s="15"/>
      <c r="BR207" s="13"/>
      <c r="BS207" s="15"/>
      <c r="BT207" s="15"/>
      <c r="BU207" s="15"/>
      <c r="BV207" s="15"/>
      <c r="BW207" s="15"/>
      <c r="BX207" s="15"/>
      <c r="BY207" s="15"/>
      <c r="BZ207" s="15"/>
      <c r="CA207" s="15"/>
      <c r="CB207" s="15"/>
      <c r="CC207" s="15"/>
      <c r="CD207" s="15" t="s">
        <v>392</v>
      </c>
      <c r="CE207" s="15" t="s">
        <v>1093</v>
      </c>
      <c r="CF207" s="15" t="s">
        <v>398</v>
      </c>
      <c r="CG207" s="15" t="s">
        <v>1105</v>
      </c>
      <c r="CH207" s="15" t="s">
        <v>159</v>
      </c>
      <c r="CI207" s="13">
        <v>1</v>
      </c>
      <c r="CJ207" s="13" t="str">
        <f t="shared" si="261"/>
        <v>GAS_ENQ_NO-848</v>
      </c>
      <c r="CK207" s="15" t="s">
        <v>165</v>
      </c>
      <c r="CL207" s="15" t="s">
        <v>391</v>
      </c>
      <c r="CM207" s="15" t="s">
        <v>390</v>
      </c>
      <c r="CN207" s="13" t="s">
        <v>1106</v>
      </c>
      <c r="CO207" s="13" t="str">
        <f t="shared" si="262"/>
        <v>GAS_JOB_ID-848</v>
      </c>
      <c r="CP207" s="15"/>
      <c r="CQ207" s="13" t="str">
        <f t="shared" si="263"/>
        <v>10000848</v>
      </c>
      <c r="CR207" s="13"/>
      <c r="CS207" s="15" t="s">
        <v>49</v>
      </c>
      <c r="CT207" s="227"/>
      <c r="CU207" s="13"/>
      <c r="CV207" s="15"/>
      <c r="CW207" s="15"/>
      <c r="CX207" s="15"/>
      <c r="CY207" s="15"/>
      <c r="CZ207" s="15"/>
      <c r="DA207" s="15" t="s">
        <v>395</v>
      </c>
      <c r="DB207" s="13" t="str">
        <f t="shared" si="163"/>
        <v>GAS_INST_ID-848</v>
      </c>
      <c r="DC207" s="15"/>
      <c r="DD207" s="15"/>
      <c r="DE207" s="15"/>
      <c r="DF207" s="15"/>
      <c r="DG207" s="15"/>
      <c r="DH207" s="15" t="s">
        <v>397</v>
      </c>
      <c r="DI207" s="15" t="s">
        <v>399</v>
      </c>
      <c r="DJ207" s="15" t="s">
        <v>1105</v>
      </c>
      <c r="DK207" s="15" t="s">
        <v>140</v>
      </c>
      <c r="DL207" s="228"/>
      <c r="DM207" s="228"/>
      <c r="DN207" s="13" t="str">
        <f t="shared" si="164"/>
        <v>DS_Pass-848</v>
      </c>
      <c r="DO207" s="15"/>
      <c r="DP207" s="15"/>
      <c r="DQ207" s="15"/>
      <c r="DR207" s="13"/>
      <c r="DS207" s="13"/>
      <c r="DT207" s="15" t="s">
        <v>52</v>
      </c>
      <c r="DU207" s="15"/>
      <c r="DV207" s="15"/>
      <c r="DW207" s="13"/>
      <c r="DX207" s="15" t="s">
        <v>54</v>
      </c>
      <c r="DY207" s="15" t="s">
        <v>61</v>
      </c>
      <c r="DZ207" s="15" t="s">
        <v>402</v>
      </c>
      <c r="EA207" s="135" t="str">
        <f t="shared" si="264"/>
        <v>848CUSTOMER_ADDRESSINST3 ROADCUSTOMER_ADDRESSTESTINGHAMCUSTOMER_ADDRESSTESTINGHAMSHIRE</v>
      </c>
      <c r="EB207" s="15" t="s">
        <v>1105</v>
      </c>
      <c r="EC207" s="228"/>
      <c r="ED207" s="228"/>
      <c r="EE207" s="228"/>
    </row>
    <row r="208" spans="1:135" s="229" customFormat="1">
      <c r="A208" s="219" t="s">
        <v>1121</v>
      </c>
      <c r="B208" s="219" t="s">
        <v>892</v>
      </c>
      <c r="C208" s="219" t="s">
        <v>865</v>
      </c>
      <c r="D208" s="13">
        <f>'Run Parameters'!$B$1 + ROW()-1</f>
        <v>849</v>
      </c>
      <c r="E208" s="15" t="s">
        <v>47</v>
      </c>
      <c r="F208" s="13" t="s">
        <v>1153</v>
      </c>
      <c r="G208" s="13" t="str">
        <f t="shared" si="245"/>
        <v>Access Dtls-849</v>
      </c>
      <c r="H208" s="15" t="s">
        <v>275</v>
      </c>
      <c r="I208" s="13" t="str">
        <f>("MR. Test_199_INST3_"&amp;D208&amp;"")</f>
        <v>MR. Test_199_INST3_849</v>
      </c>
      <c r="J208" s="13"/>
      <c r="K208" s="19" t="s">
        <v>425</v>
      </c>
      <c r="L208" s="13" t="str">
        <f t="shared" si="246"/>
        <v>Cust. Ref-849</v>
      </c>
      <c r="M208" s="15" t="s">
        <v>48</v>
      </c>
      <c r="N208" s="15" t="s">
        <v>425</v>
      </c>
      <c r="O208" s="13"/>
      <c r="P208" s="13" t="str">
        <f t="shared" si="247"/>
        <v>SN-849</v>
      </c>
      <c r="Q208" s="13" t="str">
        <f t="shared" si="248"/>
        <v>SI-849</v>
      </c>
      <c r="R208" s="13" t="str">
        <f t="shared" si="249"/>
        <v>SE-849</v>
      </c>
      <c r="S208" s="135" t="str">
        <f t="shared" si="250"/>
        <v>Prev_RA-849</v>
      </c>
      <c r="T208" s="135" t="str">
        <f t="shared" si="251"/>
        <v>Prev_Comms-849</v>
      </c>
      <c r="U208" s="15" t="s">
        <v>75</v>
      </c>
      <c r="V208" s="15" t="s">
        <v>401</v>
      </c>
      <c r="W208" s="15" t="s">
        <v>75</v>
      </c>
      <c r="X208" s="15" t="s">
        <v>1093</v>
      </c>
      <c r="Y208" s="13" t="str">
        <f t="shared" si="252"/>
        <v>Forward Add-849</v>
      </c>
      <c r="Z208" s="15" t="s">
        <v>401</v>
      </c>
      <c r="AA208" s="136" t="str">
        <f>'Run Parameters'!$B$2</f>
        <v>2018-08-13 08:00</v>
      </c>
      <c r="AB208" s="223" t="str">
        <f>'Run Parameters'!B$3</f>
        <v>2018-08-13 18:00</v>
      </c>
      <c r="AC208" s="26">
        <f>('Run Parameters'!$B$2) - 7</f>
        <v>43318.333333333336</v>
      </c>
      <c r="AD208" s="15" t="s">
        <v>75</v>
      </c>
      <c r="AE208" s="13" t="str">
        <f t="shared" si="253"/>
        <v>LAST_METER-849</v>
      </c>
      <c r="AF208" s="136" t="str">
        <f>'Run Parameters'!$B$2</f>
        <v>2018-08-13 08:00</v>
      </c>
      <c r="AG208" s="13" t="str">
        <f>'Run Parameters'!B$4</f>
        <v>AUTOTEST2</v>
      </c>
      <c r="AH208" s="135" t="str">
        <f t="shared" si="254"/>
        <v>Site_Contact_849</v>
      </c>
      <c r="AI208" s="136" t="str">
        <f>'Run Parameters'!B$2</f>
        <v>2018-08-13 08:00</v>
      </c>
      <c r="AJ208" s="223" t="str">
        <f>'Run Parameters'!B$3</f>
        <v>2018-08-13 18:00</v>
      </c>
      <c r="AK208" s="13" t="s">
        <v>1093</v>
      </c>
      <c r="AL208" s="135" t="str">
        <f t="shared" si="255"/>
        <v>01159849</v>
      </c>
      <c r="AM208" s="13" t="str">
        <f t="shared" si="256"/>
        <v>0115849</v>
      </c>
      <c r="AN208" s="15"/>
      <c r="AO208" s="15"/>
      <c r="AP208" s="13">
        <v>1</v>
      </c>
      <c r="AQ208" s="15" t="s">
        <v>49</v>
      </c>
      <c r="AR208" s="15"/>
      <c r="AS208" s="13"/>
      <c r="AT208" s="15" t="s">
        <v>1111</v>
      </c>
      <c r="AU208" s="15"/>
      <c r="AV208" s="13">
        <f t="shared" si="257"/>
        <v>849</v>
      </c>
      <c r="AW208" s="13" t="s">
        <v>1104</v>
      </c>
      <c r="AX208" s="13" t="s">
        <v>420</v>
      </c>
      <c r="AY208" s="13" t="s">
        <v>421</v>
      </c>
      <c r="AZ208" s="15" t="s">
        <v>334</v>
      </c>
      <c r="BA208" s="15" t="s">
        <v>154</v>
      </c>
      <c r="BB208" s="13">
        <v>1</v>
      </c>
      <c r="BC208" s="13">
        <f t="shared" si="258"/>
        <v>849</v>
      </c>
      <c r="BD208" s="15" t="s">
        <v>1103</v>
      </c>
      <c r="BE208" s="15" t="s">
        <v>391</v>
      </c>
      <c r="BF208" s="15" t="s">
        <v>390</v>
      </c>
      <c r="BG208" s="13" t="s">
        <v>1153</v>
      </c>
      <c r="BH208" s="13" t="str">
        <f t="shared" si="259"/>
        <v>849_1</v>
      </c>
      <c r="BI208" s="13"/>
      <c r="BJ208" s="13" t="str">
        <f t="shared" si="260"/>
        <v>10000000849</v>
      </c>
      <c r="BK208" s="15" t="s">
        <v>51</v>
      </c>
      <c r="BL208" s="15" t="s">
        <v>54</v>
      </c>
      <c r="BM208" s="13"/>
      <c r="BN208" s="15" t="s">
        <v>49</v>
      </c>
      <c r="BO208" s="13"/>
      <c r="BP208" s="15"/>
      <c r="BQ208" s="15"/>
      <c r="BR208" s="13"/>
      <c r="BS208" s="15"/>
      <c r="BT208" s="15"/>
      <c r="BU208" s="15"/>
      <c r="BV208" s="15"/>
      <c r="BW208" s="15"/>
      <c r="BX208" s="15"/>
      <c r="BY208" s="15"/>
      <c r="BZ208" s="15"/>
      <c r="CA208" s="15"/>
      <c r="CB208" s="15"/>
      <c r="CC208" s="15"/>
      <c r="CD208" s="15" t="s">
        <v>392</v>
      </c>
      <c r="CE208" s="15" t="s">
        <v>1093</v>
      </c>
      <c r="CF208" s="15" t="s">
        <v>398</v>
      </c>
      <c r="CG208" s="15" t="s">
        <v>1105</v>
      </c>
      <c r="CH208" s="15" t="s">
        <v>159</v>
      </c>
      <c r="CI208" s="13">
        <v>1</v>
      </c>
      <c r="CJ208" s="13" t="str">
        <f t="shared" si="261"/>
        <v>GAS_ENQ_NO-849</v>
      </c>
      <c r="CK208" s="15" t="s">
        <v>165</v>
      </c>
      <c r="CL208" s="15" t="s">
        <v>391</v>
      </c>
      <c r="CM208" s="15" t="s">
        <v>390</v>
      </c>
      <c r="CN208" s="13" t="s">
        <v>1106</v>
      </c>
      <c r="CO208" s="13" t="str">
        <f t="shared" si="262"/>
        <v>GAS_JOB_ID-849</v>
      </c>
      <c r="CP208" s="15"/>
      <c r="CQ208" s="13" t="str">
        <f t="shared" si="263"/>
        <v>10000849</v>
      </c>
      <c r="CR208" s="13"/>
      <c r="CS208" s="15" t="s">
        <v>49</v>
      </c>
      <c r="CT208" s="227"/>
      <c r="CU208" s="13"/>
      <c r="CV208" s="15"/>
      <c r="CW208" s="15"/>
      <c r="CX208" s="15"/>
      <c r="CY208" s="15"/>
      <c r="CZ208" s="15"/>
      <c r="DA208" s="15" t="s">
        <v>395</v>
      </c>
      <c r="DB208" s="13" t="str">
        <f t="shared" si="163"/>
        <v>GAS_INST_ID-849</v>
      </c>
      <c r="DC208" s="15"/>
      <c r="DD208" s="15"/>
      <c r="DE208" s="15"/>
      <c r="DF208" s="15"/>
      <c r="DG208" s="15"/>
      <c r="DH208" s="15" t="s">
        <v>397</v>
      </c>
      <c r="DI208" s="15" t="s">
        <v>399</v>
      </c>
      <c r="DJ208" s="15" t="s">
        <v>1105</v>
      </c>
      <c r="DK208" s="15" t="s">
        <v>140</v>
      </c>
      <c r="DL208" s="228"/>
      <c r="DM208" s="228"/>
      <c r="DN208" s="13" t="str">
        <f t="shared" si="164"/>
        <v>DS_Pass-849</v>
      </c>
      <c r="DO208" s="15"/>
      <c r="DP208" s="15"/>
      <c r="DQ208" s="15"/>
      <c r="DR208" s="13"/>
      <c r="DS208" s="13"/>
      <c r="DT208" s="15" t="s">
        <v>52</v>
      </c>
      <c r="DU208" s="15"/>
      <c r="DV208" s="15"/>
      <c r="DW208" s="13"/>
      <c r="DX208" s="15" t="s">
        <v>54</v>
      </c>
      <c r="DY208" s="15" t="s">
        <v>61</v>
      </c>
      <c r="DZ208" s="15" t="s">
        <v>402</v>
      </c>
      <c r="EA208" s="135" t="str">
        <f t="shared" si="264"/>
        <v>849CUSTOMER_ADDRESSINST3 ROADCUSTOMER_ADDRESSTESTINGHAMCUSTOMER_ADDRESSTESTINGHAMSHIRE</v>
      </c>
      <c r="EB208" s="15" t="s">
        <v>1105</v>
      </c>
      <c r="EC208" s="228"/>
      <c r="ED208" s="228"/>
      <c r="EE208" s="228"/>
    </row>
    <row r="209" spans="1:135" s="229" customFormat="1">
      <c r="A209" s="219" t="s">
        <v>1122</v>
      </c>
      <c r="B209" s="219" t="s">
        <v>892</v>
      </c>
      <c r="C209" s="219" t="s">
        <v>865</v>
      </c>
      <c r="D209" s="13">
        <f>'Run Parameters'!$B$1 + ROW()-1</f>
        <v>850</v>
      </c>
      <c r="E209" s="15" t="s">
        <v>47</v>
      </c>
      <c r="F209" s="13" t="s">
        <v>1153</v>
      </c>
      <c r="G209" s="13" t="str">
        <f t="shared" si="245"/>
        <v>Access Dtls-850</v>
      </c>
      <c r="H209" s="15" t="s">
        <v>275</v>
      </c>
      <c r="I209" s="13" t="str">
        <f>("MR. Test_200_INST3_"&amp;D209&amp;"")</f>
        <v>MR. Test_200_INST3_850</v>
      </c>
      <c r="J209" s="13"/>
      <c r="K209" s="19" t="s">
        <v>425</v>
      </c>
      <c r="L209" s="13" t="str">
        <f t="shared" si="246"/>
        <v>Cust. Ref-850</v>
      </c>
      <c r="M209" s="15" t="s">
        <v>48</v>
      </c>
      <c r="N209" s="15" t="s">
        <v>425</v>
      </c>
      <c r="O209" s="13"/>
      <c r="P209" s="13" t="str">
        <f t="shared" si="247"/>
        <v>SN-850</v>
      </c>
      <c r="Q209" s="13" t="str">
        <f t="shared" si="248"/>
        <v>SI-850</v>
      </c>
      <c r="R209" s="13" t="str">
        <f t="shared" si="249"/>
        <v>SE-850</v>
      </c>
      <c r="S209" s="135" t="str">
        <f t="shared" si="250"/>
        <v>Prev_RA-850</v>
      </c>
      <c r="T209" s="135" t="str">
        <f t="shared" si="251"/>
        <v>Prev_Comms-850</v>
      </c>
      <c r="U209" s="15" t="s">
        <v>75</v>
      </c>
      <c r="V209" s="15" t="s">
        <v>401</v>
      </c>
      <c r="W209" s="15" t="s">
        <v>75</v>
      </c>
      <c r="X209" s="15" t="s">
        <v>1093</v>
      </c>
      <c r="Y209" s="13" t="str">
        <f t="shared" si="252"/>
        <v>Forward Add-850</v>
      </c>
      <c r="Z209" s="15" t="s">
        <v>401</v>
      </c>
      <c r="AA209" s="136" t="str">
        <f>'Run Parameters'!$B$2</f>
        <v>2018-08-13 08:00</v>
      </c>
      <c r="AB209" s="223" t="str">
        <f>'Run Parameters'!B$3</f>
        <v>2018-08-13 18:00</v>
      </c>
      <c r="AC209" s="26">
        <f>('Run Parameters'!$B$2) - 7</f>
        <v>43318.333333333336</v>
      </c>
      <c r="AD209" s="15" t="s">
        <v>75</v>
      </c>
      <c r="AE209" s="13" t="str">
        <f t="shared" si="253"/>
        <v>LAST_METER-850</v>
      </c>
      <c r="AF209" s="136" t="str">
        <f>'Run Parameters'!$B$2</f>
        <v>2018-08-13 08:00</v>
      </c>
      <c r="AG209" s="13" t="str">
        <f>'Run Parameters'!B$4</f>
        <v>AUTOTEST2</v>
      </c>
      <c r="AH209" s="135" t="str">
        <f t="shared" si="254"/>
        <v>Site_Contact_850</v>
      </c>
      <c r="AI209" s="136" t="str">
        <f>'Run Parameters'!B$2</f>
        <v>2018-08-13 08:00</v>
      </c>
      <c r="AJ209" s="223" t="str">
        <f>'Run Parameters'!B$3</f>
        <v>2018-08-13 18:00</v>
      </c>
      <c r="AK209" s="13" t="s">
        <v>1093</v>
      </c>
      <c r="AL209" s="135" t="str">
        <f t="shared" si="255"/>
        <v>01159850</v>
      </c>
      <c r="AM209" s="13" t="str">
        <f t="shared" si="256"/>
        <v>0115850</v>
      </c>
      <c r="AN209" s="15"/>
      <c r="AO209" s="15"/>
      <c r="AP209" s="13">
        <v>1</v>
      </c>
      <c r="AQ209" s="15" t="s">
        <v>49</v>
      </c>
      <c r="AR209" s="15"/>
      <c r="AS209" s="13"/>
      <c r="AT209" s="15" t="s">
        <v>1112</v>
      </c>
      <c r="AU209" s="15"/>
      <c r="AV209" s="13">
        <f t="shared" si="257"/>
        <v>850</v>
      </c>
      <c r="AW209" s="13" t="s">
        <v>1104</v>
      </c>
      <c r="AX209" s="13" t="s">
        <v>420</v>
      </c>
      <c r="AY209" s="13" t="s">
        <v>421</v>
      </c>
      <c r="AZ209" s="15" t="s">
        <v>334</v>
      </c>
      <c r="BA209" s="15" t="s">
        <v>154</v>
      </c>
      <c r="BB209" s="13">
        <v>1</v>
      </c>
      <c r="BC209" s="13">
        <f t="shared" si="258"/>
        <v>850</v>
      </c>
      <c r="BD209" s="15" t="s">
        <v>1103</v>
      </c>
      <c r="BE209" s="15" t="s">
        <v>391</v>
      </c>
      <c r="BF209" s="15" t="s">
        <v>390</v>
      </c>
      <c r="BG209" s="13" t="s">
        <v>1153</v>
      </c>
      <c r="BH209" s="13" t="str">
        <f t="shared" si="259"/>
        <v>850_1</v>
      </c>
      <c r="BI209" s="13"/>
      <c r="BJ209" s="13" t="str">
        <f t="shared" si="260"/>
        <v>10000000850</v>
      </c>
      <c r="BK209" s="15" t="s">
        <v>51</v>
      </c>
      <c r="BL209" s="15" t="s">
        <v>54</v>
      </c>
      <c r="BM209" s="13"/>
      <c r="BN209" s="15" t="s">
        <v>49</v>
      </c>
      <c r="BO209" s="13"/>
      <c r="BP209" s="15"/>
      <c r="BQ209" s="15"/>
      <c r="BR209" s="13"/>
      <c r="BS209" s="15"/>
      <c r="BT209" s="15"/>
      <c r="BU209" s="15"/>
      <c r="BV209" s="15"/>
      <c r="BW209" s="15"/>
      <c r="BX209" s="15"/>
      <c r="BY209" s="15"/>
      <c r="BZ209" s="15"/>
      <c r="CA209" s="15"/>
      <c r="CB209" s="15"/>
      <c r="CC209" s="15"/>
      <c r="CD209" s="15" t="s">
        <v>392</v>
      </c>
      <c r="CE209" s="15" t="s">
        <v>1093</v>
      </c>
      <c r="CF209" s="15" t="s">
        <v>398</v>
      </c>
      <c r="CG209" s="15" t="s">
        <v>1105</v>
      </c>
      <c r="CH209" s="15" t="s">
        <v>159</v>
      </c>
      <c r="CI209" s="13">
        <v>1</v>
      </c>
      <c r="CJ209" s="13" t="str">
        <f t="shared" si="261"/>
        <v>GAS_ENQ_NO-850</v>
      </c>
      <c r="CK209" s="15" t="s">
        <v>165</v>
      </c>
      <c r="CL209" s="15" t="s">
        <v>391</v>
      </c>
      <c r="CM209" s="15" t="s">
        <v>390</v>
      </c>
      <c r="CN209" s="13" t="s">
        <v>1106</v>
      </c>
      <c r="CO209" s="13" t="str">
        <f t="shared" si="262"/>
        <v>GAS_JOB_ID-850</v>
      </c>
      <c r="CP209" s="15"/>
      <c r="CQ209" s="13" t="str">
        <f t="shared" si="263"/>
        <v>10000850</v>
      </c>
      <c r="CR209" s="13"/>
      <c r="CS209" s="15" t="s">
        <v>49</v>
      </c>
      <c r="CT209" s="227"/>
      <c r="CU209" s="13"/>
      <c r="CV209" s="15"/>
      <c r="CW209" s="15"/>
      <c r="CX209" s="15"/>
      <c r="CY209" s="15"/>
      <c r="CZ209" s="15"/>
      <c r="DA209" s="15" t="s">
        <v>395</v>
      </c>
      <c r="DB209" s="13" t="str">
        <f t="shared" si="163"/>
        <v>GAS_INST_ID-850</v>
      </c>
      <c r="DC209" s="15"/>
      <c r="DD209" s="15"/>
      <c r="DE209" s="15"/>
      <c r="DF209" s="15"/>
      <c r="DG209" s="15"/>
      <c r="DH209" s="15" t="s">
        <v>397</v>
      </c>
      <c r="DI209" s="15" t="s">
        <v>399</v>
      </c>
      <c r="DJ209" s="15" t="s">
        <v>1105</v>
      </c>
      <c r="DK209" s="15" t="s">
        <v>140</v>
      </c>
      <c r="DL209" s="228"/>
      <c r="DM209" s="228"/>
      <c r="DN209" s="13" t="str">
        <f t="shared" si="164"/>
        <v>DS_Pass-850</v>
      </c>
      <c r="DO209" s="15"/>
      <c r="DP209" s="15"/>
      <c r="DQ209" s="15"/>
      <c r="DR209" s="13"/>
      <c r="DS209" s="13"/>
      <c r="DT209" s="15" t="s">
        <v>52</v>
      </c>
      <c r="DU209" s="15"/>
      <c r="DV209" s="15"/>
      <c r="DW209" s="13"/>
      <c r="DX209" s="15" t="s">
        <v>54</v>
      </c>
      <c r="DY209" s="15" t="s">
        <v>61</v>
      </c>
      <c r="DZ209" s="15" t="s">
        <v>402</v>
      </c>
      <c r="EA209" s="135" t="str">
        <f t="shared" si="264"/>
        <v>850CUSTOMER_ADDRESSINST3 ROADCUSTOMER_ADDRESSTESTINGHAMCUSTOMER_ADDRESSTESTINGHAMSHIRE</v>
      </c>
      <c r="EB209" s="15" t="s">
        <v>1105</v>
      </c>
      <c r="EC209" s="228"/>
      <c r="ED209" s="228"/>
      <c r="EE209" s="228"/>
    </row>
    <row r="210" spans="1:135" s="229" customFormat="1">
      <c r="A210" s="219" t="s">
        <v>1123</v>
      </c>
      <c r="B210" s="219" t="s">
        <v>892</v>
      </c>
      <c r="C210" s="219" t="s">
        <v>865</v>
      </c>
      <c r="D210" s="13">
        <f>'Run Parameters'!$B$1 + ROW()-1</f>
        <v>851</v>
      </c>
      <c r="E210" s="15" t="s">
        <v>47</v>
      </c>
      <c r="F210" s="13" t="s">
        <v>1153</v>
      </c>
      <c r="G210" s="13" t="str">
        <f t="shared" si="245"/>
        <v>Access Dtls-851</v>
      </c>
      <c r="H210" s="15" t="s">
        <v>275</v>
      </c>
      <c r="I210" s="13" t="str">
        <f>("MR. Test_201_INST3_"&amp;D210&amp;"")</f>
        <v>MR. Test_201_INST3_851</v>
      </c>
      <c r="J210" s="13"/>
      <c r="K210" s="19" t="s">
        <v>425</v>
      </c>
      <c r="L210" s="13" t="str">
        <f t="shared" si="246"/>
        <v>Cust. Ref-851</v>
      </c>
      <c r="M210" s="15" t="s">
        <v>48</v>
      </c>
      <c r="N210" s="15" t="s">
        <v>425</v>
      </c>
      <c r="O210" s="13"/>
      <c r="P210" s="13" t="str">
        <f t="shared" si="247"/>
        <v>SN-851</v>
      </c>
      <c r="Q210" s="13" t="str">
        <f t="shared" si="248"/>
        <v>SI-851</v>
      </c>
      <c r="R210" s="13" t="str">
        <f t="shared" si="249"/>
        <v>SE-851</v>
      </c>
      <c r="S210" s="135" t="str">
        <f t="shared" si="250"/>
        <v>Prev_RA-851</v>
      </c>
      <c r="T210" s="135" t="str">
        <f t="shared" si="251"/>
        <v>Prev_Comms-851</v>
      </c>
      <c r="U210" s="15" t="s">
        <v>75</v>
      </c>
      <c r="V210" s="15" t="s">
        <v>401</v>
      </c>
      <c r="W210" s="15" t="s">
        <v>75</v>
      </c>
      <c r="X210" s="15" t="s">
        <v>1093</v>
      </c>
      <c r="Y210" s="13" t="str">
        <f t="shared" si="252"/>
        <v>Forward Add-851</v>
      </c>
      <c r="Z210" s="15" t="s">
        <v>401</v>
      </c>
      <c r="AA210" s="136" t="str">
        <f>'Run Parameters'!$B$2</f>
        <v>2018-08-13 08:00</v>
      </c>
      <c r="AB210" s="223" t="str">
        <f>'Run Parameters'!B$3</f>
        <v>2018-08-13 18:00</v>
      </c>
      <c r="AC210" s="26">
        <f>('Run Parameters'!$B$2) - 7</f>
        <v>43318.333333333336</v>
      </c>
      <c r="AD210" s="15" t="s">
        <v>75</v>
      </c>
      <c r="AE210" s="13" t="str">
        <f t="shared" si="253"/>
        <v>LAST_METER-851</v>
      </c>
      <c r="AF210" s="136" t="str">
        <f>'Run Parameters'!$B$2</f>
        <v>2018-08-13 08:00</v>
      </c>
      <c r="AG210" s="13" t="str">
        <f>'Run Parameters'!B$4</f>
        <v>AUTOTEST2</v>
      </c>
      <c r="AH210" s="135" t="str">
        <f t="shared" si="254"/>
        <v>Site_Contact_851</v>
      </c>
      <c r="AI210" s="136" t="str">
        <f>'Run Parameters'!B$2</f>
        <v>2018-08-13 08:00</v>
      </c>
      <c r="AJ210" s="223" t="str">
        <f>'Run Parameters'!B$3</f>
        <v>2018-08-13 18:00</v>
      </c>
      <c r="AK210" s="13" t="s">
        <v>1093</v>
      </c>
      <c r="AL210" s="135" t="str">
        <f t="shared" si="255"/>
        <v>01159851</v>
      </c>
      <c r="AM210" s="13" t="str">
        <f t="shared" si="256"/>
        <v>0115851</v>
      </c>
      <c r="AN210" s="15"/>
      <c r="AO210" s="15"/>
      <c r="AP210" s="13">
        <v>1</v>
      </c>
      <c r="AQ210" s="15" t="s">
        <v>49</v>
      </c>
      <c r="AR210" s="15"/>
      <c r="AS210" s="13"/>
      <c r="AT210" s="15" t="s">
        <v>1113</v>
      </c>
      <c r="AU210" s="15"/>
      <c r="AV210" s="13">
        <f t="shared" si="257"/>
        <v>851</v>
      </c>
      <c r="AW210" s="13" t="s">
        <v>1104</v>
      </c>
      <c r="AX210" s="13" t="s">
        <v>420</v>
      </c>
      <c r="AY210" s="13" t="s">
        <v>421</v>
      </c>
      <c r="AZ210" s="15" t="s">
        <v>334</v>
      </c>
      <c r="BA210" s="15" t="s">
        <v>154</v>
      </c>
      <c r="BB210" s="13">
        <v>1</v>
      </c>
      <c r="BC210" s="13">
        <f t="shared" si="258"/>
        <v>851</v>
      </c>
      <c r="BD210" s="15" t="s">
        <v>1103</v>
      </c>
      <c r="BE210" s="15" t="s">
        <v>391</v>
      </c>
      <c r="BF210" s="15" t="s">
        <v>390</v>
      </c>
      <c r="BG210" s="13" t="s">
        <v>1153</v>
      </c>
      <c r="BH210" s="13" t="str">
        <f t="shared" si="259"/>
        <v>851_1</v>
      </c>
      <c r="BI210" s="13"/>
      <c r="BJ210" s="13" t="str">
        <f t="shared" si="260"/>
        <v>10000000851</v>
      </c>
      <c r="BK210" s="15" t="s">
        <v>51</v>
      </c>
      <c r="BL210" s="15" t="s">
        <v>54</v>
      </c>
      <c r="BM210" s="13"/>
      <c r="BN210" s="15" t="s">
        <v>49</v>
      </c>
      <c r="BO210" s="13"/>
      <c r="BP210" s="15"/>
      <c r="BQ210" s="15"/>
      <c r="BR210" s="13"/>
      <c r="BS210" s="15"/>
      <c r="BT210" s="15"/>
      <c r="BU210" s="15"/>
      <c r="BV210" s="15"/>
      <c r="BW210" s="15"/>
      <c r="BX210" s="15"/>
      <c r="BY210" s="15"/>
      <c r="BZ210" s="15"/>
      <c r="CA210" s="15"/>
      <c r="CB210" s="15"/>
      <c r="CC210" s="15"/>
      <c r="CD210" s="15" t="s">
        <v>392</v>
      </c>
      <c r="CE210" s="15" t="s">
        <v>1093</v>
      </c>
      <c r="CF210" s="15" t="s">
        <v>398</v>
      </c>
      <c r="CG210" s="15" t="s">
        <v>1105</v>
      </c>
      <c r="CH210" s="15" t="s">
        <v>159</v>
      </c>
      <c r="CI210" s="13">
        <v>1</v>
      </c>
      <c r="CJ210" s="13" t="str">
        <f t="shared" si="261"/>
        <v>GAS_ENQ_NO-851</v>
      </c>
      <c r="CK210" s="15" t="s">
        <v>165</v>
      </c>
      <c r="CL210" s="15" t="s">
        <v>391</v>
      </c>
      <c r="CM210" s="15" t="s">
        <v>390</v>
      </c>
      <c r="CN210" s="13" t="s">
        <v>1106</v>
      </c>
      <c r="CO210" s="13" t="str">
        <f t="shared" si="262"/>
        <v>GAS_JOB_ID-851</v>
      </c>
      <c r="CP210" s="15"/>
      <c r="CQ210" s="13" t="str">
        <f t="shared" si="263"/>
        <v>10000851</v>
      </c>
      <c r="CR210" s="13"/>
      <c r="CS210" s="15" t="s">
        <v>49</v>
      </c>
      <c r="CT210" s="227"/>
      <c r="CU210" s="13"/>
      <c r="CV210" s="15"/>
      <c r="CW210" s="15"/>
      <c r="CX210" s="15"/>
      <c r="CY210" s="15"/>
      <c r="CZ210" s="15"/>
      <c r="DA210" s="15" t="s">
        <v>395</v>
      </c>
      <c r="DB210" s="13" t="str">
        <f t="shared" si="163"/>
        <v>GAS_INST_ID-851</v>
      </c>
      <c r="DC210" s="15"/>
      <c r="DD210" s="15"/>
      <c r="DE210" s="15"/>
      <c r="DF210" s="15"/>
      <c r="DG210" s="15"/>
      <c r="DH210" s="15" t="s">
        <v>397</v>
      </c>
      <c r="DI210" s="15" t="s">
        <v>399</v>
      </c>
      <c r="DJ210" s="15" t="s">
        <v>1105</v>
      </c>
      <c r="DK210" s="15" t="s">
        <v>140</v>
      </c>
      <c r="DL210" s="228"/>
      <c r="DM210" s="228"/>
      <c r="DN210" s="13" t="str">
        <f t="shared" si="164"/>
        <v>DS_Pass-851</v>
      </c>
      <c r="DO210" s="15"/>
      <c r="DP210" s="15"/>
      <c r="DQ210" s="15"/>
      <c r="DR210" s="13"/>
      <c r="DS210" s="13"/>
      <c r="DT210" s="15" t="s">
        <v>52</v>
      </c>
      <c r="DU210" s="15"/>
      <c r="DV210" s="15"/>
      <c r="DW210" s="13"/>
      <c r="DX210" s="15" t="s">
        <v>54</v>
      </c>
      <c r="DY210" s="15" t="s">
        <v>61</v>
      </c>
      <c r="DZ210" s="15" t="s">
        <v>402</v>
      </c>
      <c r="EA210" s="135" t="str">
        <f t="shared" si="264"/>
        <v>851CUSTOMER_ADDRESSINST3 ROADCUSTOMER_ADDRESSTESTINGHAMCUSTOMER_ADDRESSTESTINGHAMSHIRE</v>
      </c>
      <c r="EB210" s="15" t="s">
        <v>1105</v>
      </c>
      <c r="EC210" s="228"/>
      <c r="ED210" s="228"/>
      <c r="EE210" s="228"/>
    </row>
    <row r="211" spans="1:135" s="229" customFormat="1">
      <c r="A211" s="219" t="s">
        <v>1107</v>
      </c>
      <c r="B211" s="219" t="s">
        <v>892</v>
      </c>
      <c r="C211" s="219" t="s">
        <v>865</v>
      </c>
      <c r="D211" s="13">
        <f>'Run Parameters'!$B$1 + ROW()-1</f>
        <v>852</v>
      </c>
      <c r="E211" s="15" t="s">
        <v>47</v>
      </c>
      <c r="F211" s="13" t="s">
        <v>1153</v>
      </c>
      <c r="G211" s="13" t="str">
        <f t="shared" si="245"/>
        <v>Access Dtls-852</v>
      </c>
      <c r="H211" s="15" t="s">
        <v>275</v>
      </c>
      <c r="I211" s="13" t="str">
        <f>("MR. Test_202_INST3_"&amp;D211&amp;"")</f>
        <v>MR. Test_202_INST3_852</v>
      </c>
      <c r="J211" s="13"/>
      <c r="K211" s="19" t="s">
        <v>425</v>
      </c>
      <c r="L211" s="13" t="str">
        <f t="shared" si="246"/>
        <v>Cust. Ref-852</v>
      </c>
      <c r="M211" s="15" t="s">
        <v>48</v>
      </c>
      <c r="N211" s="15" t="s">
        <v>425</v>
      </c>
      <c r="O211" s="13"/>
      <c r="P211" s="13" t="str">
        <f t="shared" si="247"/>
        <v>SN-852</v>
      </c>
      <c r="Q211" s="13" t="str">
        <f t="shared" si="248"/>
        <v>SI-852</v>
      </c>
      <c r="R211" s="13" t="str">
        <f t="shared" si="249"/>
        <v>SE-852</v>
      </c>
      <c r="S211" s="135" t="str">
        <f t="shared" si="250"/>
        <v>Prev_RA-852</v>
      </c>
      <c r="T211" s="135" t="str">
        <f t="shared" si="251"/>
        <v>Prev_Comms-852</v>
      </c>
      <c r="U211" s="15" t="s">
        <v>75</v>
      </c>
      <c r="V211" s="15" t="s">
        <v>401</v>
      </c>
      <c r="W211" s="15" t="s">
        <v>75</v>
      </c>
      <c r="X211" s="15" t="s">
        <v>1093</v>
      </c>
      <c r="Y211" s="13" t="str">
        <f t="shared" si="252"/>
        <v>Forward Add-852</v>
      </c>
      <c r="Z211" s="15" t="s">
        <v>401</v>
      </c>
      <c r="AA211" s="136" t="str">
        <f>'Run Parameters'!$B$2</f>
        <v>2018-08-13 08:00</v>
      </c>
      <c r="AB211" s="223" t="str">
        <f>'Run Parameters'!B$3</f>
        <v>2018-08-13 18:00</v>
      </c>
      <c r="AC211" s="26">
        <f>('Run Parameters'!$B$2) - 7</f>
        <v>43318.333333333336</v>
      </c>
      <c r="AD211" s="15" t="s">
        <v>75</v>
      </c>
      <c r="AE211" s="13" t="str">
        <f t="shared" si="253"/>
        <v>LAST_METER-852</v>
      </c>
      <c r="AF211" s="136" t="str">
        <f>'Run Parameters'!$B$2</f>
        <v>2018-08-13 08:00</v>
      </c>
      <c r="AG211" s="13" t="str">
        <f>'Run Parameters'!B$4</f>
        <v>AUTOTEST2</v>
      </c>
      <c r="AH211" s="135" t="str">
        <f t="shared" si="254"/>
        <v>Site_Contact_852</v>
      </c>
      <c r="AI211" s="136" t="str">
        <f>'Run Parameters'!B$2</f>
        <v>2018-08-13 08:00</v>
      </c>
      <c r="AJ211" s="223" t="str">
        <f>'Run Parameters'!B$3</f>
        <v>2018-08-13 18:00</v>
      </c>
      <c r="AK211" s="13" t="s">
        <v>1093</v>
      </c>
      <c r="AL211" s="135" t="str">
        <f t="shared" si="255"/>
        <v>01159852</v>
      </c>
      <c r="AM211" s="13" t="str">
        <f t="shared" si="256"/>
        <v>0115852</v>
      </c>
      <c r="AN211" s="15"/>
      <c r="AO211" s="15"/>
      <c r="AP211" s="13">
        <v>1</v>
      </c>
      <c r="AQ211" s="15" t="s">
        <v>49</v>
      </c>
      <c r="AR211" s="15"/>
      <c r="AS211" s="13"/>
      <c r="AT211" s="15" t="s">
        <v>1114</v>
      </c>
      <c r="AU211" s="15"/>
      <c r="AV211" s="13">
        <f t="shared" si="257"/>
        <v>852</v>
      </c>
      <c r="AW211" s="13" t="s">
        <v>1104</v>
      </c>
      <c r="AX211" s="13" t="s">
        <v>420</v>
      </c>
      <c r="AY211" s="13" t="s">
        <v>421</v>
      </c>
      <c r="AZ211" s="15" t="s">
        <v>334</v>
      </c>
      <c r="BA211" s="15" t="s">
        <v>154</v>
      </c>
      <c r="BB211" s="13">
        <v>1</v>
      </c>
      <c r="BC211" s="13">
        <f t="shared" si="258"/>
        <v>852</v>
      </c>
      <c r="BD211" s="15" t="s">
        <v>1103</v>
      </c>
      <c r="BE211" s="15" t="s">
        <v>391</v>
      </c>
      <c r="BF211" s="15" t="s">
        <v>390</v>
      </c>
      <c r="BG211" s="13" t="s">
        <v>1153</v>
      </c>
      <c r="BH211" s="13" t="str">
        <f t="shared" si="259"/>
        <v>852_1</v>
      </c>
      <c r="BI211" s="13"/>
      <c r="BJ211" s="13" t="str">
        <f t="shared" si="260"/>
        <v>10000000852</v>
      </c>
      <c r="BK211" s="15" t="s">
        <v>51</v>
      </c>
      <c r="BL211" s="15" t="s">
        <v>54</v>
      </c>
      <c r="BM211" s="13"/>
      <c r="BN211" s="15" t="s">
        <v>49</v>
      </c>
      <c r="BO211" s="13"/>
      <c r="BP211" s="15"/>
      <c r="BQ211" s="15"/>
      <c r="BR211" s="13"/>
      <c r="BS211" s="15"/>
      <c r="BT211" s="15"/>
      <c r="BU211" s="15"/>
      <c r="BV211" s="15"/>
      <c r="BW211" s="15"/>
      <c r="BX211" s="15"/>
      <c r="BY211" s="15"/>
      <c r="BZ211" s="15"/>
      <c r="CA211" s="15"/>
      <c r="CB211" s="15"/>
      <c r="CC211" s="15"/>
      <c r="CD211" s="15" t="s">
        <v>392</v>
      </c>
      <c r="CE211" s="15" t="s">
        <v>1093</v>
      </c>
      <c r="CF211" s="15" t="s">
        <v>398</v>
      </c>
      <c r="CG211" s="15" t="s">
        <v>1105</v>
      </c>
      <c r="CH211" s="15" t="s">
        <v>159</v>
      </c>
      <c r="CI211" s="13">
        <v>1</v>
      </c>
      <c r="CJ211" s="13" t="str">
        <f t="shared" si="261"/>
        <v>GAS_ENQ_NO-852</v>
      </c>
      <c r="CK211" s="15" t="s">
        <v>165</v>
      </c>
      <c r="CL211" s="15" t="s">
        <v>391</v>
      </c>
      <c r="CM211" s="15" t="s">
        <v>390</v>
      </c>
      <c r="CN211" s="13" t="s">
        <v>1106</v>
      </c>
      <c r="CO211" s="13" t="str">
        <f t="shared" si="262"/>
        <v>GAS_JOB_ID-852</v>
      </c>
      <c r="CP211" s="15"/>
      <c r="CQ211" s="13" t="str">
        <f t="shared" si="263"/>
        <v>10000852</v>
      </c>
      <c r="CR211" s="13"/>
      <c r="CS211" s="15" t="s">
        <v>49</v>
      </c>
      <c r="CT211" s="227"/>
      <c r="CU211" s="13"/>
      <c r="CV211" s="15"/>
      <c r="CW211" s="15"/>
      <c r="CX211" s="15"/>
      <c r="CY211" s="15"/>
      <c r="CZ211" s="15"/>
      <c r="DA211" s="15" t="s">
        <v>395</v>
      </c>
      <c r="DB211" s="13" t="str">
        <f t="shared" si="163"/>
        <v>GAS_INST_ID-852</v>
      </c>
      <c r="DC211" s="15"/>
      <c r="DD211" s="15"/>
      <c r="DE211" s="15"/>
      <c r="DF211" s="15"/>
      <c r="DG211" s="15"/>
      <c r="DH211" s="15" t="s">
        <v>397</v>
      </c>
      <c r="DI211" s="15" t="s">
        <v>399</v>
      </c>
      <c r="DJ211" s="15" t="s">
        <v>1105</v>
      </c>
      <c r="DK211" s="15" t="s">
        <v>140</v>
      </c>
      <c r="DL211" s="228"/>
      <c r="DM211" s="228"/>
      <c r="DN211" s="13" t="str">
        <f t="shared" si="164"/>
        <v>DS_Pass-852</v>
      </c>
      <c r="DO211" s="15"/>
      <c r="DP211" s="15"/>
      <c r="DQ211" s="15"/>
      <c r="DR211" s="13"/>
      <c r="DS211" s="13"/>
      <c r="DT211" s="15" t="s">
        <v>52</v>
      </c>
      <c r="DU211" s="15"/>
      <c r="DV211" s="15"/>
      <c r="DW211" s="13"/>
      <c r="DX211" s="15" t="s">
        <v>54</v>
      </c>
      <c r="DY211" s="15" t="s">
        <v>61</v>
      </c>
      <c r="DZ211" s="15" t="s">
        <v>402</v>
      </c>
      <c r="EA211" s="135" t="str">
        <f t="shared" si="264"/>
        <v>852CUSTOMER_ADDRESSINST3 ROADCUSTOMER_ADDRESSTESTINGHAMCUSTOMER_ADDRESSTESTINGHAMSHIRE</v>
      </c>
      <c r="EB211" s="15" t="s">
        <v>1105</v>
      </c>
      <c r="EC211" s="228"/>
      <c r="ED211" s="228"/>
      <c r="EE211" s="228"/>
    </row>
    <row r="212" spans="1:135" s="229" customFormat="1">
      <c r="A212" s="219" t="s">
        <v>1124</v>
      </c>
      <c r="B212" s="219" t="s">
        <v>892</v>
      </c>
      <c r="C212" s="219" t="s">
        <v>865</v>
      </c>
      <c r="D212" s="13">
        <f>'Run Parameters'!$B$1 + ROW()-1</f>
        <v>853</v>
      </c>
      <c r="E212" s="15" t="s">
        <v>47</v>
      </c>
      <c r="F212" s="13" t="s">
        <v>1153</v>
      </c>
      <c r="G212" s="13" t="str">
        <f t="shared" si="245"/>
        <v>Access Dtls-853</v>
      </c>
      <c r="H212" s="15" t="s">
        <v>275</v>
      </c>
      <c r="I212" s="13" t="str">
        <f>("MR. Test_203_INST3_"&amp;D212&amp;"")</f>
        <v>MR. Test_203_INST3_853</v>
      </c>
      <c r="J212" s="13"/>
      <c r="K212" s="19" t="s">
        <v>425</v>
      </c>
      <c r="L212" s="13" t="str">
        <f t="shared" si="246"/>
        <v>Cust. Ref-853</v>
      </c>
      <c r="M212" s="15" t="s">
        <v>48</v>
      </c>
      <c r="N212" s="15" t="s">
        <v>425</v>
      </c>
      <c r="O212" s="13"/>
      <c r="P212" s="13" t="str">
        <f t="shared" si="247"/>
        <v>SN-853</v>
      </c>
      <c r="Q212" s="13" t="str">
        <f t="shared" si="248"/>
        <v>SI-853</v>
      </c>
      <c r="R212" s="13" t="str">
        <f t="shared" si="249"/>
        <v>SE-853</v>
      </c>
      <c r="S212" s="135" t="str">
        <f t="shared" si="250"/>
        <v>Prev_RA-853</v>
      </c>
      <c r="T212" s="135" t="str">
        <f t="shared" si="251"/>
        <v>Prev_Comms-853</v>
      </c>
      <c r="U212" s="15" t="s">
        <v>75</v>
      </c>
      <c r="V212" s="15" t="s">
        <v>401</v>
      </c>
      <c r="W212" s="15" t="s">
        <v>75</v>
      </c>
      <c r="X212" s="15" t="s">
        <v>1093</v>
      </c>
      <c r="Y212" s="13" t="str">
        <f t="shared" si="252"/>
        <v>Forward Add-853</v>
      </c>
      <c r="Z212" s="15" t="s">
        <v>401</v>
      </c>
      <c r="AA212" s="136" t="str">
        <f>'Run Parameters'!$B$2</f>
        <v>2018-08-13 08:00</v>
      </c>
      <c r="AB212" s="223" t="str">
        <f>'Run Parameters'!B$3</f>
        <v>2018-08-13 18:00</v>
      </c>
      <c r="AC212" s="26">
        <f>('Run Parameters'!$B$2) - 7</f>
        <v>43318.333333333336</v>
      </c>
      <c r="AD212" s="15" t="s">
        <v>75</v>
      </c>
      <c r="AE212" s="13" t="str">
        <f t="shared" si="253"/>
        <v>LAST_METER-853</v>
      </c>
      <c r="AF212" s="136" t="str">
        <f>'Run Parameters'!$B$2</f>
        <v>2018-08-13 08:00</v>
      </c>
      <c r="AG212" s="13" t="str">
        <f>'Run Parameters'!B$4</f>
        <v>AUTOTEST2</v>
      </c>
      <c r="AH212" s="135" t="str">
        <f t="shared" si="254"/>
        <v>Site_Contact_853</v>
      </c>
      <c r="AI212" s="136" t="str">
        <f>'Run Parameters'!B$2</f>
        <v>2018-08-13 08:00</v>
      </c>
      <c r="AJ212" s="223" t="str">
        <f>'Run Parameters'!B$3</f>
        <v>2018-08-13 18:00</v>
      </c>
      <c r="AK212" s="13" t="s">
        <v>1093</v>
      </c>
      <c r="AL212" s="135" t="str">
        <f t="shared" si="255"/>
        <v>01159853</v>
      </c>
      <c r="AM212" s="13" t="str">
        <f t="shared" si="256"/>
        <v>0115853</v>
      </c>
      <c r="AN212" s="15"/>
      <c r="AO212" s="15"/>
      <c r="AP212" s="13">
        <v>1</v>
      </c>
      <c r="AQ212" s="15" t="s">
        <v>49</v>
      </c>
      <c r="AR212" s="15"/>
      <c r="AS212" s="13"/>
      <c r="AT212" s="15" t="s">
        <v>1115</v>
      </c>
      <c r="AU212" s="15"/>
      <c r="AV212" s="13">
        <f t="shared" si="257"/>
        <v>853</v>
      </c>
      <c r="AW212" s="13" t="s">
        <v>1104</v>
      </c>
      <c r="AX212" s="13" t="s">
        <v>420</v>
      </c>
      <c r="AY212" s="13" t="s">
        <v>421</v>
      </c>
      <c r="AZ212" s="15" t="s">
        <v>334</v>
      </c>
      <c r="BA212" s="15" t="s">
        <v>154</v>
      </c>
      <c r="BB212" s="13">
        <v>1</v>
      </c>
      <c r="BC212" s="13">
        <f t="shared" si="258"/>
        <v>853</v>
      </c>
      <c r="BD212" s="15" t="s">
        <v>1103</v>
      </c>
      <c r="BE212" s="15" t="s">
        <v>391</v>
      </c>
      <c r="BF212" s="15" t="s">
        <v>390</v>
      </c>
      <c r="BG212" s="13" t="s">
        <v>1153</v>
      </c>
      <c r="BH212" s="13" t="str">
        <f t="shared" si="259"/>
        <v>853_1</v>
      </c>
      <c r="BI212" s="13"/>
      <c r="BJ212" s="13" t="str">
        <f t="shared" si="260"/>
        <v>10000000853</v>
      </c>
      <c r="BK212" s="15" t="s">
        <v>51</v>
      </c>
      <c r="BL212" s="15" t="s">
        <v>54</v>
      </c>
      <c r="BM212" s="13"/>
      <c r="BN212" s="15" t="s">
        <v>49</v>
      </c>
      <c r="BO212" s="13"/>
      <c r="BP212" s="15"/>
      <c r="BQ212" s="15"/>
      <c r="BR212" s="13"/>
      <c r="BS212" s="15"/>
      <c r="BT212" s="15"/>
      <c r="BU212" s="15"/>
      <c r="BV212" s="15"/>
      <c r="BW212" s="15"/>
      <c r="BX212" s="15"/>
      <c r="BY212" s="15"/>
      <c r="BZ212" s="15"/>
      <c r="CA212" s="15"/>
      <c r="CB212" s="15"/>
      <c r="CC212" s="15"/>
      <c r="CD212" s="15" t="s">
        <v>392</v>
      </c>
      <c r="CE212" s="15" t="s">
        <v>1093</v>
      </c>
      <c r="CF212" s="15" t="s">
        <v>398</v>
      </c>
      <c r="CG212" s="15" t="s">
        <v>1105</v>
      </c>
      <c r="CH212" s="15" t="s">
        <v>159</v>
      </c>
      <c r="CI212" s="13">
        <v>1</v>
      </c>
      <c r="CJ212" s="13" t="str">
        <f t="shared" si="261"/>
        <v>GAS_ENQ_NO-853</v>
      </c>
      <c r="CK212" s="15" t="s">
        <v>165</v>
      </c>
      <c r="CL212" s="15" t="s">
        <v>391</v>
      </c>
      <c r="CM212" s="15" t="s">
        <v>390</v>
      </c>
      <c r="CN212" s="13" t="s">
        <v>1106</v>
      </c>
      <c r="CO212" s="13" t="str">
        <f t="shared" si="262"/>
        <v>GAS_JOB_ID-853</v>
      </c>
      <c r="CP212" s="15"/>
      <c r="CQ212" s="13" t="str">
        <f t="shared" si="263"/>
        <v>10000853</v>
      </c>
      <c r="CR212" s="13"/>
      <c r="CS212" s="15" t="s">
        <v>49</v>
      </c>
      <c r="CT212" s="227"/>
      <c r="CU212" s="13"/>
      <c r="CV212" s="15"/>
      <c r="CW212" s="15"/>
      <c r="CX212" s="15"/>
      <c r="CY212" s="15"/>
      <c r="CZ212" s="15"/>
      <c r="DA212" s="15" t="s">
        <v>395</v>
      </c>
      <c r="DB212" s="13" t="str">
        <f t="shared" si="163"/>
        <v>GAS_INST_ID-853</v>
      </c>
      <c r="DC212" s="15"/>
      <c r="DD212" s="15"/>
      <c r="DE212" s="15"/>
      <c r="DF212" s="15"/>
      <c r="DG212" s="15"/>
      <c r="DH212" s="15" t="s">
        <v>397</v>
      </c>
      <c r="DI212" s="15" t="s">
        <v>399</v>
      </c>
      <c r="DJ212" s="15" t="s">
        <v>1105</v>
      </c>
      <c r="DK212" s="15" t="s">
        <v>140</v>
      </c>
      <c r="DL212" s="228"/>
      <c r="DM212" s="228"/>
      <c r="DN212" s="13" t="str">
        <f t="shared" si="164"/>
        <v>DS_Pass-853</v>
      </c>
      <c r="DO212" s="15"/>
      <c r="DP212" s="15"/>
      <c r="DQ212" s="15"/>
      <c r="DR212" s="13"/>
      <c r="DS212" s="13"/>
      <c r="DT212" s="15" t="s">
        <v>52</v>
      </c>
      <c r="DU212" s="15"/>
      <c r="DV212" s="15"/>
      <c r="DW212" s="13"/>
      <c r="DX212" s="15" t="s">
        <v>54</v>
      </c>
      <c r="DY212" s="15" t="s">
        <v>61</v>
      </c>
      <c r="DZ212" s="15" t="s">
        <v>402</v>
      </c>
      <c r="EA212" s="135" t="str">
        <f t="shared" si="264"/>
        <v>853CUSTOMER_ADDRESSINST3 ROADCUSTOMER_ADDRESSTESTINGHAMCUSTOMER_ADDRESSTESTINGHAMSHIRE</v>
      </c>
      <c r="EB212" s="15" t="s">
        <v>1105</v>
      </c>
      <c r="EC212" s="228"/>
      <c r="ED212" s="228"/>
      <c r="EE212" s="228"/>
    </row>
    <row r="213" spans="1:135" s="229" customFormat="1">
      <c r="A213" s="219" t="s">
        <v>1125</v>
      </c>
      <c r="B213" s="219" t="s">
        <v>892</v>
      </c>
      <c r="C213" s="219" t="s">
        <v>865</v>
      </c>
      <c r="D213" s="13">
        <f>'Run Parameters'!$B$1 + ROW()-1</f>
        <v>854</v>
      </c>
      <c r="E213" s="15" t="s">
        <v>47</v>
      </c>
      <c r="F213" s="13" t="s">
        <v>1153</v>
      </c>
      <c r="G213" s="13" t="str">
        <f t="shared" si="245"/>
        <v>Access Dtls-854</v>
      </c>
      <c r="H213" s="15" t="s">
        <v>275</v>
      </c>
      <c r="I213" s="13" t="str">
        <f>("MR. Test_204_INST3_"&amp;D213&amp;"")</f>
        <v>MR. Test_204_INST3_854</v>
      </c>
      <c r="J213" s="13"/>
      <c r="K213" s="19" t="s">
        <v>425</v>
      </c>
      <c r="L213" s="13" t="str">
        <f t="shared" si="246"/>
        <v>Cust. Ref-854</v>
      </c>
      <c r="M213" s="15" t="s">
        <v>48</v>
      </c>
      <c r="N213" s="15" t="s">
        <v>425</v>
      </c>
      <c r="O213" s="13"/>
      <c r="P213" s="13" t="str">
        <f t="shared" si="247"/>
        <v>SN-854</v>
      </c>
      <c r="Q213" s="13" t="str">
        <f t="shared" si="248"/>
        <v>SI-854</v>
      </c>
      <c r="R213" s="13" t="str">
        <f t="shared" si="249"/>
        <v>SE-854</v>
      </c>
      <c r="S213" s="135" t="str">
        <f t="shared" si="250"/>
        <v>Prev_RA-854</v>
      </c>
      <c r="T213" s="135" t="str">
        <f t="shared" si="251"/>
        <v>Prev_Comms-854</v>
      </c>
      <c r="U213" s="15" t="s">
        <v>75</v>
      </c>
      <c r="V213" s="15" t="s">
        <v>401</v>
      </c>
      <c r="W213" s="15" t="s">
        <v>75</v>
      </c>
      <c r="X213" s="15" t="s">
        <v>1093</v>
      </c>
      <c r="Y213" s="13" t="str">
        <f t="shared" si="252"/>
        <v>Forward Add-854</v>
      </c>
      <c r="Z213" s="15" t="s">
        <v>401</v>
      </c>
      <c r="AA213" s="136" t="str">
        <f>'Run Parameters'!$B$2</f>
        <v>2018-08-13 08:00</v>
      </c>
      <c r="AB213" s="223" t="str">
        <f>'Run Parameters'!B$3</f>
        <v>2018-08-13 18:00</v>
      </c>
      <c r="AC213" s="26">
        <f>('Run Parameters'!$B$2) - 7</f>
        <v>43318.333333333336</v>
      </c>
      <c r="AD213" s="15" t="s">
        <v>75</v>
      </c>
      <c r="AE213" s="13" t="str">
        <f t="shared" si="253"/>
        <v>LAST_METER-854</v>
      </c>
      <c r="AF213" s="136" t="str">
        <f>'Run Parameters'!$B$2</f>
        <v>2018-08-13 08:00</v>
      </c>
      <c r="AG213" s="13" t="str">
        <f>'Run Parameters'!B$4</f>
        <v>AUTOTEST2</v>
      </c>
      <c r="AH213" s="135" t="str">
        <f t="shared" si="254"/>
        <v>Site_Contact_854</v>
      </c>
      <c r="AI213" s="136" t="str">
        <f>'Run Parameters'!B$2</f>
        <v>2018-08-13 08:00</v>
      </c>
      <c r="AJ213" s="223" t="str">
        <f>'Run Parameters'!B$3</f>
        <v>2018-08-13 18:00</v>
      </c>
      <c r="AK213" s="13" t="s">
        <v>1093</v>
      </c>
      <c r="AL213" s="135" t="str">
        <f t="shared" si="255"/>
        <v>01159854</v>
      </c>
      <c r="AM213" s="13" t="str">
        <f t="shared" si="256"/>
        <v>0115854</v>
      </c>
      <c r="AN213" s="15"/>
      <c r="AO213" s="15"/>
      <c r="AP213" s="13">
        <v>1</v>
      </c>
      <c r="AQ213" s="15" t="s">
        <v>49</v>
      </c>
      <c r="AR213" s="15"/>
      <c r="AS213" s="13"/>
      <c r="AT213" s="15" t="s">
        <v>1116</v>
      </c>
      <c r="AU213" s="15"/>
      <c r="AV213" s="13">
        <f t="shared" si="257"/>
        <v>854</v>
      </c>
      <c r="AW213" s="13" t="s">
        <v>1104</v>
      </c>
      <c r="AX213" s="13" t="s">
        <v>420</v>
      </c>
      <c r="AY213" s="13" t="s">
        <v>421</v>
      </c>
      <c r="AZ213" s="15" t="s">
        <v>334</v>
      </c>
      <c r="BA213" s="15" t="s">
        <v>154</v>
      </c>
      <c r="BB213" s="13">
        <v>1</v>
      </c>
      <c r="BC213" s="13">
        <f t="shared" si="258"/>
        <v>854</v>
      </c>
      <c r="BD213" s="15" t="s">
        <v>1103</v>
      </c>
      <c r="BE213" s="15" t="s">
        <v>391</v>
      </c>
      <c r="BF213" s="15" t="s">
        <v>390</v>
      </c>
      <c r="BG213" s="13" t="s">
        <v>1153</v>
      </c>
      <c r="BH213" s="13" t="str">
        <f t="shared" si="259"/>
        <v>854_1</v>
      </c>
      <c r="BI213" s="13"/>
      <c r="BJ213" s="13" t="str">
        <f t="shared" si="260"/>
        <v>10000000854</v>
      </c>
      <c r="BK213" s="15" t="s">
        <v>51</v>
      </c>
      <c r="BL213" s="15" t="s">
        <v>54</v>
      </c>
      <c r="BM213" s="13"/>
      <c r="BN213" s="15" t="s">
        <v>49</v>
      </c>
      <c r="BO213" s="13"/>
      <c r="BP213" s="15"/>
      <c r="BQ213" s="15"/>
      <c r="BR213" s="13"/>
      <c r="BS213" s="15"/>
      <c r="BT213" s="15"/>
      <c r="BU213" s="15"/>
      <c r="BV213" s="15"/>
      <c r="BW213" s="15"/>
      <c r="BX213" s="15"/>
      <c r="BY213" s="15"/>
      <c r="BZ213" s="15"/>
      <c r="CA213" s="15"/>
      <c r="CB213" s="15"/>
      <c r="CC213" s="15"/>
      <c r="CD213" s="15" t="s">
        <v>392</v>
      </c>
      <c r="CE213" s="15" t="s">
        <v>1093</v>
      </c>
      <c r="CF213" s="15" t="s">
        <v>398</v>
      </c>
      <c r="CG213" s="15" t="s">
        <v>1105</v>
      </c>
      <c r="CH213" s="15" t="s">
        <v>159</v>
      </c>
      <c r="CI213" s="13">
        <v>1</v>
      </c>
      <c r="CJ213" s="13" t="str">
        <f t="shared" si="261"/>
        <v>GAS_ENQ_NO-854</v>
      </c>
      <c r="CK213" s="15" t="s">
        <v>165</v>
      </c>
      <c r="CL213" s="15" t="s">
        <v>391</v>
      </c>
      <c r="CM213" s="15" t="s">
        <v>390</v>
      </c>
      <c r="CN213" s="13" t="s">
        <v>1106</v>
      </c>
      <c r="CO213" s="13" t="str">
        <f t="shared" si="262"/>
        <v>GAS_JOB_ID-854</v>
      </c>
      <c r="CP213" s="15"/>
      <c r="CQ213" s="13" t="str">
        <f t="shared" si="263"/>
        <v>10000854</v>
      </c>
      <c r="CR213" s="13"/>
      <c r="CS213" s="15" t="s">
        <v>49</v>
      </c>
      <c r="CT213" s="227"/>
      <c r="CU213" s="13"/>
      <c r="CV213" s="15"/>
      <c r="CW213" s="15"/>
      <c r="CX213" s="15"/>
      <c r="CY213" s="15"/>
      <c r="CZ213" s="15"/>
      <c r="DA213" s="15" t="s">
        <v>395</v>
      </c>
      <c r="DB213" s="13" t="str">
        <f t="shared" si="163"/>
        <v>GAS_INST_ID-854</v>
      </c>
      <c r="DC213" s="15"/>
      <c r="DD213" s="15"/>
      <c r="DE213" s="15"/>
      <c r="DF213" s="15"/>
      <c r="DG213" s="15"/>
      <c r="DH213" s="15" t="s">
        <v>397</v>
      </c>
      <c r="DI213" s="15" t="s">
        <v>399</v>
      </c>
      <c r="DJ213" s="15" t="s">
        <v>1105</v>
      </c>
      <c r="DK213" s="15" t="s">
        <v>140</v>
      </c>
      <c r="DL213" s="228"/>
      <c r="DM213" s="228"/>
      <c r="DN213" s="13" t="str">
        <f t="shared" si="164"/>
        <v>DS_Pass-854</v>
      </c>
      <c r="DO213" s="15"/>
      <c r="DP213" s="15"/>
      <c r="DQ213" s="15"/>
      <c r="DR213" s="13"/>
      <c r="DS213" s="13"/>
      <c r="DT213" s="15" t="s">
        <v>52</v>
      </c>
      <c r="DU213" s="15"/>
      <c r="DV213" s="15"/>
      <c r="DW213" s="13"/>
      <c r="DX213" s="15" t="s">
        <v>54</v>
      </c>
      <c r="DY213" s="15" t="s">
        <v>61</v>
      </c>
      <c r="DZ213" s="15" t="s">
        <v>402</v>
      </c>
      <c r="EA213" s="135" t="str">
        <f t="shared" si="264"/>
        <v>854CUSTOMER_ADDRESSINST3 ROADCUSTOMER_ADDRESSTESTINGHAMCUSTOMER_ADDRESSTESTINGHAMSHIRE</v>
      </c>
      <c r="EB213" s="15" t="s">
        <v>1105</v>
      </c>
      <c r="EC213" s="228"/>
      <c r="ED213" s="228"/>
      <c r="EE213" s="228"/>
    </row>
    <row r="214" spans="1:135" s="229" customFormat="1">
      <c r="A214" s="219" t="s">
        <v>1126</v>
      </c>
      <c r="B214" s="219" t="s">
        <v>892</v>
      </c>
      <c r="C214" s="219" t="s">
        <v>865</v>
      </c>
      <c r="D214" s="13">
        <f>'Run Parameters'!$B$1 + ROW()-1</f>
        <v>855</v>
      </c>
      <c r="E214" s="15" t="s">
        <v>47</v>
      </c>
      <c r="F214" s="13" t="s">
        <v>1153</v>
      </c>
      <c r="G214" s="13" t="str">
        <f t="shared" si="245"/>
        <v>Access Dtls-855</v>
      </c>
      <c r="H214" s="15" t="s">
        <v>275</v>
      </c>
      <c r="I214" s="13" t="str">
        <f>("MR. Test_205_INST3_"&amp;D214&amp;"")</f>
        <v>MR. Test_205_INST3_855</v>
      </c>
      <c r="J214" s="13"/>
      <c r="K214" s="19" t="s">
        <v>425</v>
      </c>
      <c r="L214" s="13" t="str">
        <f t="shared" si="246"/>
        <v>Cust. Ref-855</v>
      </c>
      <c r="M214" s="15" t="s">
        <v>48</v>
      </c>
      <c r="N214" s="15" t="s">
        <v>425</v>
      </c>
      <c r="O214" s="13"/>
      <c r="P214" s="13" t="str">
        <f t="shared" si="247"/>
        <v>SN-855</v>
      </c>
      <c r="Q214" s="13" t="str">
        <f t="shared" si="248"/>
        <v>SI-855</v>
      </c>
      <c r="R214" s="13" t="str">
        <f t="shared" si="249"/>
        <v>SE-855</v>
      </c>
      <c r="S214" s="135" t="str">
        <f t="shared" si="250"/>
        <v>Prev_RA-855</v>
      </c>
      <c r="T214" s="135" t="str">
        <f t="shared" si="251"/>
        <v>Prev_Comms-855</v>
      </c>
      <c r="U214" s="15" t="s">
        <v>75</v>
      </c>
      <c r="V214" s="15" t="s">
        <v>401</v>
      </c>
      <c r="W214" s="15" t="s">
        <v>75</v>
      </c>
      <c r="X214" s="15" t="s">
        <v>1093</v>
      </c>
      <c r="Y214" s="13" t="str">
        <f t="shared" si="252"/>
        <v>Forward Add-855</v>
      </c>
      <c r="Z214" s="15" t="s">
        <v>401</v>
      </c>
      <c r="AA214" s="136" t="str">
        <f>'Run Parameters'!$B$2</f>
        <v>2018-08-13 08:00</v>
      </c>
      <c r="AB214" s="223" t="str">
        <f>'Run Parameters'!B$3</f>
        <v>2018-08-13 18:00</v>
      </c>
      <c r="AC214" s="26">
        <f>('Run Parameters'!$B$2) - 7</f>
        <v>43318.333333333336</v>
      </c>
      <c r="AD214" s="15" t="s">
        <v>75</v>
      </c>
      <c r="AE214" s="13" t="str">
        <f t="shared" si="253"/>
        <v>LAST_METER-855</v>
      </c>
      <c r="AF214" s="136" t="str">
        <f>'Run Parameters'!$B$2</f>
        <v>2018-08-13 08:00</v>
      </c>
      <c r="AG214" s="13" t="str">
        <f>'Run Parameters'!B$4</f>
        <v>AUTOTEST2</v>
      </c>
      <c r="AH214" s="135" t="str">
        <f t="shared" si="254"/>
        <v>Site_Contact_855</v>
      </c>
      <c r="AI214" s="136" t="str">
        <f>'Run Parameters'!B$2</f>
        <v>2018-08-13 08:00</v>
      </c>
      <c r="AJ214" s="223" t="str">
        <f>'Run Parameters'!B$3</f>
        <v>2018-08-13 18:00</v>
      </c>
      <c r="AK214" s="13" t="s">
        <v>1093</v>
      </c>
      <c r="AL214" s="135" t="str">
        <f t="shared" si="255"/>
        <v>01159855</v>
      </c>
      <c r="AM214" s="13" t="str">
        <f t="shared" si="256"/>
        <v>0115855</v>
      </c>
      <c r="AN214" s="15"/>
      <c r="AO214" s="15"/>
      <c r="AP214" s="13">
        <v>1</v>
      </c>
      <c r="AQ214" s="15" t="s">
        <v>49</v>
      </c>
      <c r="AR214" s="15"/>
      <c r="AS214" s="13"/>
      <c r="AT214" s="15" t="s">
        <v>774</v>
      </c>
      <c r="AU214" s="15"/>
      <c r="AV214" s="13">
        <f t="shared" si="257"/>
        <v>855</v>
      </c>
      <c r="AW214" s="13" t="s">
        <v>1104</v>
      </c>
      <c r="AX214" s="13" t="s">
        <v>420</v>
      </c>
      <c r="AY214" s="13" t="s">
        <v>421</v>
      </c>
      <c r="AZ214" s="15" t="s">
        <v>334</v>
      </c>
      <c r="BA214" s="15" t="s">
        <v>154</v>
      </c>
      <c r="BB214" s="13">
        <v>1</v>
      </c>
      <c r="BC214" s="13">
        <f t="shared" si="258"/>
        <v>855</v>
      </c>
      <c r="BD214" s="15" t="s">
        <v>1103</v>
      </c>
      <c r="BE214" s="15" t="s">
        <v>391</v>
      </c>
      <c r="BF214" s="15" t="s">
        <v>390</v>
      </c>
      <c r="BG214" s="13" t="s">
        <v>1153</v>
      </c>
      <c r="BH214" s="13" t="str">
        <f t="shared" si="259"/>
        <v>855_1</v>
      </c>
      <c r="BI214" s="13"/>
      <c r="BJ214" s="13" t="str">
        <f t="shared" si="260"/>
        <v>10000000855</v>
      </c>
      <c r="BK214" s="15" t="s">
        <v>51</v>
      </c>
      <c r="BL214" s="15" t="s">
        <v>54</v>
      </c>
      <c r="BM214" s="13"/>
      <c r="BN214" s="15" t="s">
        <v>49</v>
      </c>
      <c r="BO214" s="13"/>
      <c r="BP214" s="15"/>
      <c r="BQ214" s="15"/>
      <c r="BR214" s="13"/>
      <c r="BS214" s="15"/>
      <c r="BT214" s="15"/>
      <c r="BU214" s="15"/>
      <c r="BV214" s="15"/>
      <c r="BW214" s="15"/>
      <c r="BX214" s="15"/>
      <c r="BY214" s="15"/>
      <c r="BZ214" s="15"/>
      <c r="CA214" s="15"/>
      <c r="CB214" s="15"/>
      <c r="CC214" s="15"/>
      <c r="CD214" s="15" t="s">
        <v>392</v>
      </c>
      <c r="CE214" s="15" t="s">
        <v>1093</v>
      </c>
      <c r="CF214" s="15" t="s">
        <v>398</v>
      </c>
      <c r="CG214" s="15" t="s">
        <v>1105</v>
      </c>
      <c r="CH214" s="15" t="s">
        <v>159</v>
      </c>
      <c r="CI214" s="13">
        <v>1</v>
      </c>
      <c r="CJ214" s="13" t="str">
        <f t="shared" si="261"/>
        <v>GAS_ENQ_NO-855</v>
      </c>
      <c r="CK214" s="15" t="s">
        <v>165</v>
      </c>
      <c r="CL214" s="15" t="s">
        <v>391</v>
      </c>
      <c r="CM214" s="15" t="s">
        <v>390</v>
      </c>
      <c r="CN214" s="13" t="s">
        <v>1106</v>
      </c>
      <c r="CO214" s="13" t="str">
        <f t="shared" si="262"/>
        <v>GAS_JOB_ID-855</v>
      </c>
      <c r="CP214" s="15"/>
      <c r="CQ214" s="13" t="str">
        <f t="shared" si="263"/>
        <v>10000855</v>
      </c>
      <c r="CR214" s="13"/>
      <c r="CS214" s="15" t="s">
        <v>49</v>
      </c>
      <c r="CT214" s="227"/>
      <c r="CU214" s="13"/>
      <c r="CV214" s="15"/>
      <c r="CW214" s="15"/>
      <c r="CX214" s="15"/>
      <c r="CY214" s="15"/>
      <c r="CZ214" s="15"/>
      <c r="DA214" s="15" t="s">
        <v>395</v>
      </c>
      <c r="DB214" s="13" t="str">
        <f t="shared" si="163"/>
        <v>GAS_INST_ID-855</v>
      </c>
      <c r="DC214" s="15"/>
      <c r="DD214" s="15"/>
      <c r="DE214" s="15"/>
      <c r="DF214" s="15"/>
      <c r="DG214" s="15"/>
      <c r="DH214" s="15" t="s">
        <v>397</v>
      </c>
      <c r="DI214" s="15" t="s">
        <v>399</v>
      </c>
      <c r="DJ214" s="15" t="s">
        <v>1105</v>
      </c>
      <c r="DK214" s="15" t="s">
        <v>140</v>
      </c>
      <c r="DL214" s="228"/>
      <c r="DM214" s="228"/>
      <c r="DN214" s="13" t="str">
        <f t="shared" si="164"/>
        <v>DS_Pass-855</v>
      </c>
      <c r="DO214" s="15"/>
      <c r="DP214" s="15"/>
      <c r="DQ214" s="15"/>
      <c r="DR214" s="13"/>
      <c r="DS214" s="13"/>
      <c r="DT214" s="15" t="s">
        <v>52</v>
      </c>
      <c r="DU214" s="15"/>
      <c r="DV214" s="15"/>
      <c r="DW214" s="13"/>
      <c r="DX214" s="15" t="s">
        <v>54</v>
      </c>
      <c r="DY214" s="15" t="s">
        <v>61</v>
      </c>
      <c r="DZ214" s="15" t="s">
        <v>402</v>
      </c>
      <c r="EA214" s="135" t="str">
        <f t="shared" si="264"/>
        <v>855CUSTOMER_ADDRESSINST3 ROADCUSTOMER_ADDRESSTESTINGHAMCUSTOMER_ADDRESSTESTINGHAMSHIRE</v>
      </c>
      <c r="EB214" s="15" t="s">
        <v>1105</v>
      </c>
      <c r="EC214" s="228"/>
      <c r="ED214" s="228"/>
      <c r="EE214" s="228"/>
    </row>
    <row r="215" spans="1:135" s="229" customFormat="1">
      <c r="A215" s="219" t="s">
        <v>1127</v>
      </c>
      <c r="B215" s="219" t="s">
        <v>892</v>
      </c>
      <c r="C215" s="219" t="s">
        <v>865</v>
      </c>
      <c r="D215" s="13">
        <f>'Run Parameters'!$B$1 + ROW()-1</f>
        <v>856</v>
      </c>
      <c r="E215" s="15" t="s">
        <v>47</v>
      </c>
      <c r="F215" s="13" t="s">
        <v>1153</v>
      </c>
      <c r="G215" s="13" t="str">
        <f t="shared" si="245"/>
        <v>Access Dtls-856</v>
      </c>
      <c r="H215" s="15" t="s">
        <v>275</v>
      </c>
      <c r="I215" s="13" t="str">
        <f>("MR. Test_206_INST3_"&amp;D215&amp;"")</f>
        <v>MR. Test_206_INST3_856</v>
      </c>
      <c r="J215" s="13"/>
      <c r="K215" s="19" t="s">
        <v>425</v>
      </c>
      <c r="L215" s="13" t="str">
        <f t="shared" si="246"/>
        <v>Cust. Ref-856</v>
      </c>
      <c r="M215" s="15" t="s">
        <v>48</v>
      </c>
      <c r="N215" s="15" t="s">
        <v>425</v>
      </c>
      <c r="O215" s="13"/>
      <c r="P215" s="13" t="str">
        <f t="shared" si="247"/>
        <v>SN-856</v>
      </c>
      <c r="Q215" s="13" t="str">
        <f t="shared" si="248"/>
        <v>SI-856</v>
      </c>
      <c r="R215" s="13" t="str">
        <f t="shared" si="249"/>
        <v>SE-856</v>
      </c>
      <c r="S215" s="135" t="str">
        <f t="shared" si="250"/>
        <v>Prev_RA-856</v>
      </c>
      <c r="T215" s="135" t="str">
        <f t="shared" si="251"/>
        <v>Prev_Comms-856</v>
      </c>
      <c r="U215" s="15" t="s">
        <v>75</v>
      </c>
      <c r="V215" s="15" t="s">
        <v>401</v>
      </c>
      <c r="W215" s="15" t="s">
        <v>75</v>
      </c>
      <c r="X215" s="15" t="s">
        <v>1093</v>
      </c>
      <c r="Y215" s="13" t="str">
        <f t="shared" si="252"/>
        <v>Forward Add-856</v>
      </c>
      <c r="Z215" s="15" t="s">
        <v>401</v>
      </c>
      <c r="AA215" s="136" t="str">
        <f>'Run Parameters'!$B$2</f>
        <v>2018-08-13 08:00</v>
      </c>
      <c r="AB215" s="223" t="str">
        <f>'Run Parameters'!B$3</f>
        <v>2018-08-13 18:00</v>
      </c>
      <c r="AC215" s="26">
        <f>('Run Parameters'!$B$2) - 7</f>
        <v>43318.333333333336</v>
      </c>
      <c r="AD215" s="15" t="s">
        <v>75</v>
      </c>
      <c r="AE215" s="13" t="str">
        <f t="shared" si="253"/>
        <v>LAST_METER-856</v>
      </c>
      <c r="AF215" s="136" t="str">
        <f>'Run Parameters'!$B$2</f>
        <v>2018-08-13 08:00</v>
      </c>
      <c r="AG215" s="13" t="str">
        <f>'Run Parameters'!B$4</f>
        <v>AUTOTEST2</v>
      </c>
      <c r="AH215" s="135" t="str">
        <f t="shared" si="254"/>
        <v>Site_Contact_856</v>
      </c>
      <c r="AI215" s="136" t="str">
        <f>'Run Parameters'!B$2</f>
        <v>2018-08-13 08:00</v>
      </c>
      <c r="AJ215" s="223" t="str">
        <f>'Run Parameters'!B$3</f>
        <v>2018-08-13 18:00</v>
      </c>
      <c r="AK215" s="13" t="s">
        <v>1093</v>
      </c>
      <c r="AL215" s="135" t="str">
        <f t="shared" si="255"/>
        <v>01159856</v>
      </c>
      <c r="AM215" s="13" t="str">
        <f t="shared" si="256"/>
        <v>0115856</v>
      </c>
      <c r="AN215" s="15"/>
      <c r="AO215" s="15"/>
      <c r="AP215" s="13">
        <v>1</v>
      </c>
      <c r="AQ215" s="15" t="s">
        <v>49</v>
      </c>
      <c r="AR215" s="15"/>
      <c r="AS215" s="13"/>
      <c r="AT215" s="15" t="s">
        <v>1117</v>
      </c>
      <c r="AU215" s="15"/>
      <c r="AV215" s="13">
        <f t="shared" si="257"/>
        <v>856</v>
      </c>
      <c r="AW215" s="13" t="s">
        <v>1104</v>
      </c>
      <c r="AX215" s="13" t="s">
        <v>420</v>
      </c>
      <c r="AY215" s="13" t="s">
        <v>421</v>
      </c>
      <c r="AZ215" s="15" t="s">
        <v>334</v>
      </c>
      <c r="BA215" s="15" t="s">
        <v>154</v>
      </c>
      <c r="BB215" s="13">
        <v>1</v>
      </c>
      <c r="BC215" s="13">
        <f t="shared" si="258"/>
        <v>856</v>
      </c>
      <c r="BD215" s="15" t="s">
        <v>1103</v>
      </c>
      <c r="BE215" s="15" t="s">
        <v>391</v>
      </c>
      <c r="BF215" s="15" t="s">
        <v>390</v>
      </c>
      <c r="BG215" s="13" t="s">
        <v>1153</v>
      </c>
      <c r="BH215" s="13" t="str">
        <f t="shared" si="259"/>
        <v>856_1</v>
      </c>
      <c r="BI215" s="13"/>
      <c r="BJ215" s="13" t="str">
        <f t="shared" si="260"/>
        <v>10000000856</v>
      </c>
      <c r="BK215" s="15" t="s">
        <v>51</v>
      </c>
      <c r="BL215" s="15" t="s">
        <v>54</v>
      </c>
      <c r="BM215" s="13"/>
      <c r="BN215" s="15" t="s">
        <v>49</v>
      </c>
      <c r="BO215" s="13"/>
      <c r="BP215" s="15"/>
      <c r="BQ215" s="15"/>
      <c r="BR215" s="13"/>
      <c r="BS215" s="15"/>
      <c r="BT215" s="15"/>
      <c r="BU215" s="15"/>
      <c r="BV215" s="15"/>
      <c r="BW215" s="15"/>
      <c r="BX215" s="15"/>
      <c r="BY215" s="15"/>
      <c r="BZ215" s="15"/>
      <c r="CA215" s="15"/>
      <c r="CB215" s="15"/>
      <c r="CC215" s="15"/>
      <c r="CD215" s="15" t="s">
        <v>392</v>
      </c>
      <c r="CE215" s="15" t="s">
        <v>1093</v>
      </c>
      <c r="CF215" s="15" t="s">
        <v>398</v>
      </c>
      <c r="CG215" s="15" t="s">
        <v>1105</v>
      </c>
      <c r="CH215" s="15" t="s">
        <v>159</v>
      </c>
      <c r="CI215" s="13">
        <v>1</v>
      </c>
      <c r="CJ215" s="13" t="str">
        <f t="shared" si="261"/>
        <v>GAS_ENQ_NO-856</v>
      </c>
      <c r="CK215" s="15" t="s">
        <v>165</v>
      </c>
      <c r="CL215" s="15" t="s">
        <v>391</v>
      </c>
      <c r="CM215" s="15" t="s">
        <v>390</v>
      </c>
      <c r="CN215" s="13" t="s">
        <v>1106</v>
      </c>
      <c r="CO215" s="13" t="str">
        <f t="shared" si="262"/>
        <v>GAS_JOB_ID-856</v>
      </c>
      <c r="CP215" s="15"/>
      <c r="CQ215" s="13" t="str">
        <f t="shared" si="263"/>
        <v>10000856</v>
      </c>
      <c r="CR215" s="13"/>
      <c r="CS215" s="15" t="s">
        <v>49</v>
      </c>
      <c r="CT215" s="227"/>
      <c r="CU215" s="13"/>
      <c r="CV215" s="15"/>
      <c r="CW215" s="15"/>
      <c r="CX215" s="15"/>
      <c r="CY215" s="15"/>
      <c r="CZ215" s="15"/>
      <c r="DA215" s="15" t="s">
        <v>395</v>
      </c>
      <c r="DB215" s="13" t="str">
        <f t="shared" si="163"/>
        <v>GAS_INST_ID-856</v>
      </c>
      <c r="DC215" s="15"/>
      <c r="DD215" s="15"/>
      <c r="DE215" s="15"/>
      <c r="DF215" s="15"/>
      <c r="DG215" s="15"/>
      <c r="DH215" s="15" t="s">
        <v>397</v>
      </c>
      <c r="DI215" s="15" t="s">
        <v>399</v>
      </c>
      <c r="DJ215" s="15" t="s">
        <v>1105</v>
      </c>
      <c r="DK215" s="15" t="s">
        <v>140</v>
      </c>
      <c r="DL215" s="228"/>
      <c r="DM215" s="228"/>
      <c r="DN215" s="13" t="str">
        <f t="shared" si="164"/>
        <v>DS_Pass-856</v>
      </c>
      <c r="DO215" s="15"/>
      <c r="DP215" s="15"/>
      <c r="DQ215" s="15"/>
      <c r="DR215" s="13"/>
      <c r="DS215" s="13"/>
      <c r="DT215" s="15" t="s">
        <v>52</v>
      </c>
      <c r="DU215" s="15"/>
      <c r="DV215" s="15"/>
      <c r="DW215" s="13"/>
      <c r="DX215" s="15" t="s">
        <v>54</v>
      </c>
      <c r="DY215" s="15" t="s">
        <v>61</v>
      </c>
      <c r="DZ215" s="15" t="s">
        <v>402</v>
      </c>
      <c r="EA215" s="135" t="str">
        <f t="shared" si="264"/>
        <v>856CUSTOMER_ADDRESSINST3 ROADCUSTOMER_ADDRESSTESTINGHAMCUSTOMER_ADDRESSTESTINGHAMSHIRE</v>
      </c>
      <c r="EB215" s="15" t="s">
        <v>1105</v>
      </c>
      <c r="EC215" s="228"/>
      <c r="ED215" s="228"/>
      <c r="EE215" s="228"/>
    </row>
    <row r="216" spans="1:135" s="229" customFormat="1">
      <c r="A216" s="219" t="s">
        <v>1128</v>
      </c>
      <c r="B216" s="219" t="s">
        <v>892</v>
      </c>
      <c r="C216" s="219" t="s">
        <v>865</v>
      </c>
      <c r="D216" s="13">
        <f>'Run Parameters'!$B$1 + ROW()-1</f>
        <v>857</v>
      </c>
      <c r="E216" s="15" t="s">
        <v>47</v>
      </c>
      <c r="F216" s="13" t="s">
        <v>1152</v>
      </c>
      <c r="G216" s="13" t="str">
        <f t="shared" si="245"/>
        <v>Access Dtls-857</v>
      </c>
      <c r="H216" s="15" t="s">
        <v>275</v>
      </c>
      <c r="I216" s="13" t="str">
        <f>("MR. Test_207_INST12_"&amp;D216&amp;"")</f>
        <v>MR. Test_207_INST12_857</v>
      </c>
      <c r="J216" s="13"/>
      <c r="K216" s="19" t="s">
        <v>425</v>
      </c>
      <c r="L216" s="13" t="str">
        <f t="shared" si="246"/>
        <v>Cust. Ref-857</v>
      </c>
      <c r="M216" s="15" t="s">
        <v>48</v>
      </c>
      <c r="N216" s="15" t="s">
        <v>425</v>
      </c>
      <c r="O216" s="13"/>
      <c r="P216" s="13" t="str">
        <f t="shared" si="247"/>
        <v>SN-857</v>
      </c>
      <c r="Q216" s="13" t="str">
        <f t="shared" si="248"/>
        <v>SI-857</v>
      </c>
      <c r="R216" s="13" t="str">
        <f t="shared" si="249"/>
        <v>SE-857</v>
      </c>
      <c r="S216" s="135" t="str">
        <f t="shared" si="250"/>
        <v>Prev_RA-857</v>
      </c>
      <c r="T216" s="135" t="str">
        <f t="shared" si="251"/>
        <v>Prev_Comms-857</v>
      </c>
      <c r="U216" s="15" t="s">
        <v>75</v>
      </c>
      <c r="V216" s="15" t="s">
        <v>401</v>
      </c>
      <c r="W216" s="15" t="s">
        <v>75</v>
      </c>
      <c r="X216" s="15" t="s">
        <v>1093</v>
      </c>
      <c r="Y216" s="13" t="str">
        <f t="shared" si="252"/>
        <v>Forward Add-857</v>
      </c>
      <c r="Z216" s="15" t="s">
        <v>401</v>
      </c>
      <c r="AA216" s="136" t="str">
        <f>'Run Parameters'!$B$2</f>
        <v>2018-08-13 08:00</v>
      </c>
      <c r="AB216" s="223" t="str">
        <f>'Run Parameters'!B$3</f>
        <v>2018-08-13 18:00</v>
      </c>
      <c r="AC216" s="26">
        <f>('Run Parameters'!$B$2) - 7</f>
        <v>43318.333333333336</v>
      </c>
      <c r="AD216" s="15" t="s">
        <v>75</v>
      </c>
      <c r="AE216" s="13" t="str">
        <f t="shared" si="253"/>
        <v>LAST_METER-857</v>
      </c>
      <c r="AF216" s="136" t="str">
        <f>'Run Parameters'!$B$2</f>
        <v>2018-08-13 08:00</v>
      </c>
      <c r="AG216" s="13" t="str">
        <f>'Run Parameters'!B$4</f>
        <v>AUTOTEST2</v>
      </c>
      <c r="AH216" s="135" t="str">
        <f t="shared" si="254"/>
        <v>Site_Contact_857</v>
      </c>
      <c r="AI216" s="136" t="str">
        <f>'Run Parameters'!B$2</f>
        <v>2018-08-13 08:00</v>
      </c>
      <c r="AJ216" s="223" t="str">
        <f>'Run Parameters'!B$3</f>
        <v>2018-08-13 18:00</v>
      </c>
      <c r="AK216" s="13" t="s">
        <v>1093</v>
      </c>
      <c r="AL216" s="135" t="str">
        <f t="shared" si="255"/>
        <v>01159857</v>
      </c>
      <c r="AM216" s="13" t="str">
        <f t="shared" si="256"/>
        <v>0115857</v>
      </c>
      <c r="AN216" s="15"/>
      <c r="AO216" s="15"/>
      <c r="AP216" s="13">
        <v>1</v>
      </c>
      <c r="AQ216" s="15" t="s">
        <v>49</v>
      </c>
      <c r="AR216" s="15"/>
      <c r="AS216" s="13"/>
      <c r="AT216" s="15" t="s">
        <v>400</v>
      </c>
      <c r="AU216" s="15"/>
      <c r="AV216" s="13">
        <f t="shared" si="257"/>
        <v>857</v>
      </c>
      <c r="AW216" s="13" t="s">
        <v>1150</v>
      </c>
      <c r="AX216" s="13" t="s">
        <v>420</v>
      </c>
      <c r="AY216" s="13" t="s">
        <v>421</v>
      </c>
      <c r="AZ216" s="15" t="s">
        <v>334</v>
      </c>
      <c r="BA216" s="15" t="s">
        <v>154</v>
      </c>
      <c r="BB216" s="13">
        <v>1</v>
      </c>
      <c r="BC216" s="13">
        <f t="shared" si="258"/>
        <v>857</v>
      </c>
      <c r="BD216" s="15" t="s">
        <v>1151</v>
      </c>
      <c r="BE216" s="15" t="s">
        <v>391</v>
      </c>
      <c r="BF216" s="15" t="s">
        <v>390</v>
      </c>
      <c r="BG216" s="13" t="s">
        <v>1152</v>
      </c>
      <c r="BH216" s="13" t="str">
        <f t="shared" si="259"/>
        <v>857_1</v>
      </c>
      <c r="BI216" s="13"/>
      <c r="BJ216" s="13" t="str">
        <f t="shared" si="260"/>
        <v>10000000857</v>
      </c>
      <c r="BK216" s="15" t="s">
        <v>51</v>
      </c>
      <c r="BL216" s="15" t="s">
        <v>54</v>
      </c>
      <c r="BM216" s="13"/>
      <c r="BN216" s="15" t="s">
        <v>49</v>
      </c>
      <c r="BO216" s="13"/>
      <c r="BP216" s="15"/>
      <c r="BQ216" s="15"/>
      <c r="BR216" s="13"/>
      <c r="BS216" s="15"/>
      <c r="BT216" s="15"/>
      <c r="BU216" s="15"/>
      <c r="BV216" s="15"/>
      <c r="BW216" s="15"/>
      <c r="BX216" s="15"/>
      <c r="BY216" s="15"/>
      <c r="BZ216" s="15"/>
      <c r="CA216" s="15"/>
      <c r="CB216" s="15"/>
      <c r="CC216" s="15"/>
      <c r="CD216" s="15" t="s">
        <v>392</v>
      </c>
      <c r="CE216" s="15" t="s">
        <v>1093</v>
      </c>
      <c r="CF216" s="15" t="s">
        <v>398</v>
      </c>
      <c r="CG216" s="15" t="s">
        <v>1154</v>
      </c>
      <c r="CH216" s="15" t="s">
        <v>159</v>
      </c>
      <c r="CI216" s="13">
        <v>1</v>
      </c>
      <c r="CJ216" s="13" t="str">
        <f t="shared" si="261"/>
        <v>GAS_ENQ_NO-857</v>
      </c>
      <c r="CK216" s="15" t="s">
        <v>779</v>
      </c>
      <c r="CL216" s="15" t="s">
        <v>391</v>
      </c>
      <c r="CM216" s="15" t="s">
        <v>390</v>
      </c>
      <c r="CN216" s="13" t="s">
        <v>1106</v>
      </c>
      <c r="CO216" s="13" t="str">
        <f t="shared" si="262"/>
        <v>GAS_JOB_ID-857</v>
      </c>
      <c r="CP216" s="15"/>
      <c r="CQ216" s="13" t="str">
        <f t="shared" si="263"/>
        <v>10000857</v>
      </c>
      <c r="CR216" s="13"/>
      <c r="CS216" s="15" t="s">
        <v>49</v>
      </c>
      <c r="CT216" s="227"/>
      <c r="CU216" s="13"/>
      <c r="CV216" s="15"/>
      <c r="CW216" s="15"/>
      <c r="CX216" s="15"/>
      <c r="CY216" s="15"/>
      <c r="CZ216" s="15"/>
      <c r="DA216" s="15" t="s">
        <v>395</v>
      </c>
      <c r="DB216" s="13" t="str">
        <f t="shared" si="163"/>
        <v>GAS_INST_ID-857</v>
      </c>
      <c r="DC216" s="15"/>
      <c r="DD216" s="15"/>
      <c r="DE216" s="15"/>
      <c r="DF216" s="15"/>
      <c r="DG216" s="15"/>
      <c r="DH216" s="15" t="s">
        <v>397</v>
      </c>
      <c r="DI216" s="15" t="s">
        <v>399</v>
      </c>
      <c r="DJ216" s="15" t="s">
        <v>1105</v>
      </c>
      <c r="DK216" s="15" t="s">
        <v>140</v>
      </c>
      <c r="DL216" s="228"/>
      <c r="DM216" s="228"/>
      <c r="DN216" s="13" t="str">
        <f t="shared" si="164"/>
        <v>DS_Pass-857</v>
      </c>
      <c r="DO216" s="15"/>
      <c r="DP216" s="15"/>
      <c r="DQ216" s="15"/>
      <c r="DR216" s="13"/>
      <c r="DS216" s="13"/>
      <c r="DT216" s="15" t="s">
        <v>52</v>
      </c>
      <c r="DU216" s="15"/>
      <c r="DV216" s="15"/>
      <c r="DW216" s="13"/>
      <c r="DX216" s="15" t="s">
        <v>54</v>
      </c>
      <c r="DY216" s="15" t="s">
        <v>61</v>
      </c>
      <c r="DZ216" s="15" t="s">
        <v>402</v>
      </c>
      <c r="EA216" s="135" t="str">
        <f t="shared" si="264"/>
        <v>857CUSTOMER_ADDRESSINST12 ROADCUSTOMER_ADDRESSTESTINGHAMCUSTOMER_ADDRESSTESTINGHAMSHIRE</v>
      </c>
      <c r="EB216" s="15" t="s">
        <v>1105</v>
      </c>
      <c r="EC216" s="228"/>
      <c r="ED216" s="228"/>
      <c r="EE216" s="228"/>
    </row>
    <row r="217" spans="1:135" s="229" customFormat="1">
      <c r="A217" s="219" t="s">
        <v>1155</v>
      </c>
      <c r="B217" s="219" t="s">
        <v>892</v>
      </c>
      <c r="C217" s="219" t="s">
        <v>865</v>
      </c>
      <c r="D217" s="13">
        <f>'Run Parameters'!$B$1 + ROW()-1</f>
        <v>858</v>
      </c>
      <c r="E217" s="15" t="s">
        <v>47</v>
      </c>
      <c r="F217" s="13" t="s">
        <v>1152</v>
      </c>
      <c r="G217" s="13" t="str">
        <f t="shared" ref="G217:G227" si="265">("Access Dtls-" &amp; D217)</f>
        <v>Access Dtls-858</v>
      </c>
      <c r="H217" s="15" t="s">
        <v>275</v>
      </c>
      <c r="I217" s="13" t="str">
        <f>("MR. Test_208_INST12_"&amp;D217&amp;"")</f>
        <v>MR. Test_208_INST12_858</v>
      </c>
      <c r="J217" s="13"/>
      <c r="K217" s="19" t="s">
        <v>425</v>
      </c>
      <c r="L217" s="13" t="str">
        <f t="shared" ref="L217:L227" si="266">("Cust. Ref-" &amp; D217)</f>
        <v>Cust. Ref-858</v>
      </c>
      <c r="M217" s="15" t="s">
        <v>48</v>
      </c>
      <c r="N217" s="15" t="s">
        <v>425</v>
      </c>
      <c r="O217" s="13"/>
      <c r="P217" s="13" t="str">
        <f t="shared" ref="P217:P227" si="267">("SN-" &amp; D217)</f>
        <v>SN-858</v>
      </c>
      <c r="Q217" s="13" t="str">
        <f t="shared" ref="Q217:Q227" si="268">("SI-" &amp; D217)</f>
        <v>SI-858</v>
      </c>
      <c r="R217" s="13" t="str">
        <f t="shared" ref="R217:R227" si="269">("SE-" &amp; D217)</f>
        <v>SE-858</v>
      </c>
      <c r="S217" s="135" t="str">
        <f t="shared" ref="S217:S227" si="270">("Prev_RA-" &amp; D217)</f>
        <v>Prev_RA-858</v>
      </c>
      <c r="T217" s="135" t="str">
        <f t="shared" ref="T217:T227" si="271">("Prev_Comms-" &amp; D217)</f>
        <v>Prev_Comms-858</v>
      </c>
      <c r="U217" s="15" t="s">
        <v>75</v>
      </c>
      <c r="V217" s="15" t="s">
        <v>401</v>
      </c>
      <c r="W217" s="15" t="s">
        <v>75</v>
      </c>
      <c r="X217" s="15" t="s">
        <v>1093</v>
      </c>
      <c r="Y217" s="13" t="str">
        <f t="shared" ref="Y217:Y227" si="272">("Forward Add-" &amp; D217)</f>
        <v>Forward Add-858</v>
      </c>
      <c r="Z217" s="15" t="s">
        <v>401</v>
      </c>
      <c r="AA217" s="136" t="str">
        <f>'Run Parameters'!$B$2</f>
        <v>2018-08-13 08:00</v>
      </c>
      <c r="AB217" s="223" t="str">
        <f>'Run Parameters'!B$3</f>
        <v>2018-08-13 18:00</v>
      </c>
      <c r="AC217" s="26">
        <f>('Run Parameters'!$B$2) - 7</f>
        <v>43318.333333333336</v>
      </c>
      <c r="AD217" s="15" t="s">
        <v>75</v>
      </c>
      <c r="AE217" s="13" t="str">
        <f t="shared" ref="AE217:AE227" si="273">("LAST_METER-" &amp; D217)</f>
        <v>LAST_METER-858</v>
      </c>
      <c r="AF217" s="136" t="str">
        <f>'Run Parameters'!$B$2</f>
        <v>2018-08-13 08:00</v>
      </c>
      <c r="AG217" s="13" t="str">
        <f>'Run Parameters'!B$4</f>
        <v>AUTOTEST2</v>
      </c>
      <c r="AH217" s="135" t="str">
        <f t="shared" ref="AH217:AH227" si="274">("Site_Contact_" &amp; D217)</f>
        <v>Site_Contact_858</v>
      </c>
      <c r="AI217" s="136" t="str">
        <f>'Run Parameters'!B$2</f>
        <v>2018-08-13 08:00</v>
      </c>
      <c r="AJ217" s="223" t="str">
        <f>'Run Parameters'!B$3</f>
        <v>2018-08-13 18:00</v>
      </c>
      <c r="AK217" s="13" t="s">
        <v>1093</v>
      </c>
      <c r="AL217" s="135" t="str">
        <f t="shared" ref="AL217:AL227" si="275">"01159" &amp; D217</f>
        <v>01159858</v>
      </c>
      <c r="AM217" s="13" t="str">
        <f t="shared" ref="AM217:AM227" si="276">("0115" &amp; D217)</f>
        <v>0115858</v>
      </c>
      <c r="AN217" s="15"/>
      <c r="AO217" s="15"/>
      <c r="AP217" s="13">
        <v>1</v>
      </c>
      <c r="AQ217" s="15" t="s">
        <v>49</v>
      </c>
      <c r="AR217" s="15"/>
      <c r="AS217" s="13"/>
      <c r="AT217" s="15" t="s">
        <v>845</v>
      </c>
      <c r="AU217" s="15"/>
      <c r="AV217" s="13">
        <f t="shared" ref="AV217:AV227" si="277">D217</f>
        <v>858</v>
      </c>
      <c r="AW217" s="13" t="s">
        <v>1150</v>
      </c>
      <c r="AX217" s="13" t="s">
        <v>420</v>
      </c>
      <c r="AY217" s="13" t="s">
        <v>421</v>
      </c>
      <c r="AZ217" s="15" t="s">
        <v>334</v>
      </c>
      <c r="BA217" s="15" t="s">
        <v>154</v>
      </c>
      <c r="BB217" s="13">
        <v>1</v>
      </c>
      <c r="BC217" s="13">
        <f t="shared" ref="BC217:BC227" si="278">D217</f>
        <v>858</v>
      </c>
      <c r="BD217" s="15" t="s">
        <v>1151</v>
      </c>
      <c r="BE217" s="15" t="s">
        <v>391</v>
      </c>
      <c r="BF217" s="15" t="s">
        <v>390</v>
      </c>
      <c r="BG217" s="13" t="s">
        <v>1152</v>
      </c>
      <c r="BH217" s="13" t="str">
        <f t="shared" ref="BH217:BH227" si="279">BC217&amp;"_"&amp;BB217</f>
        <v>858_1</v>
      </c>
      <c r="BI217" s="13"/>
      <c r="BJ217" s="13" t="str">
        <f t="shared" ref="BJ217:BJ227" si="280">"10000000" &amp; D217</f>
        <v>10000000858</v>
      </c>
      <c r="BK217" s="15" t="s">
        <v>51</v>
      </c>
      <c r="BL217" s="15" t="s">
        <v>54</v>
      </c>
      <c r="BM217" s="13"/>
      <c r="BN217" s="15" t="s">
        <v>49</v>
      </c>
      <c r="BO217" s="13"/>
      <c r="BP217" s="15"/>
      <c r="BQ217" s="15"/>
      <c r="BR217" s="13"/>
      <c r="BS217" s="15"/>
      <c r="BT217" s="15"/>
      <c r="BU217" s="15"/>
      <c r="BV217" s="15"/>
      <c r="BW217" s="15"/>
      <c r="BX217" s="15"/>
      <c r="BY217" s="15"/>
      <c r="BZ217" s="15"/>
      <c r="CA217" s="15"/>
      <c r="CB217" s="15"/>
      <c r="CC217" s="15"/>
      <c r="CD217" s="15" t="s">
        <v>392</v>
      </c>
      <c r="CE217" s="15" t="s">
        <v>1093</v>
      </c>
      <c r="CF217" s="15" t="s">
        <v>398</v>
      </c>
      <c r="CG217" s="15" t="s">
        <v>1154</v>
      </c>
      <c r="CH217" s="15" t="s">
        <v>159</v>
      </c>
      <c r="CI217" s="13">
        <v>1</v>
      </c>
      <c r="CJ217" s="13" t="str">
        <f t="shared" ref="CJ217:CJ227" si="281">("GAS_ENQ_NO-" &amp; D217)</f>
        <v>GAS_ENQ_NO-858</v>
      </c>
      <c r="CK217" s="15" t="s">
        <v>779</v>
      </c>
      <c r="CL217" s="15" t="s">
        <v>391</v>
      </c>
      <c r="CM217" s="15" t="s">
        <v>390</v>
      </c>
      <c r="CN217" s="13" t="s">
        <v>1106</v>
      </c>
      <c r="CO217" s="13" t="str">
        <f t="shared" ref="CO217:CO227" si="282">("GAS_JOB_ID-" &amp; D217)</f>
        <v>GAS_JOB_ID-858</v>
      </c>
      <c r="CP217" s="15"/>
      <c r="CQ217" s="13" t="str">
        <f t="shared" ref="CQ217:CQ227" si="283">"10000" &amp; D217</f>
        <v>10000858</v>
      </c>
      <c r="CR217" s="13"/>
      <c r="CS217" s="15" t="s">
        <v>49</v>
      </c>
      <c r="CT217" s="227"/>
      <c r="CU217" s="13"/>
      <c r="CV217" s="15"/>
      <c r="CW217" s="15"/>
      <c r="CX217" s="15"/>
      <c r="CY217" s="15"/>
      <c r="CZ217" s="15"/>
      <c r="DA217" s="15" t="s">
        <v>395</v>
      </c>
      <c r="DB217" s="13" t="str">
        <f t="shared" si="163"/>
        <v>GAS_INST_ID-858</v>
      </c>
      <c r="DC217" s="15"/>
      <c r="DD217" s="15"/>
      <c r="DE217" s="15"/>
      <c r="DF217" s="15"/>
      <c r="DG217" s="15"/>
      <c r="DH217" s="15" t="s">
        <v>397</v>
      </c>
      <c r="DI217" s="15" t="s">
        <v>399</v>
      </c>
      <c r="DJ217" s="15" t="s">
        <v>1105</v>
      </c>
      <c r="DK217" s="15" t="s">
        <v>140</v>
      </c>
      <c r="DL217" s="228"/>
      <c r="DM217" s="228"/>
      <c r="DN217" s="13" t="str">
        <f t="shared" si="164"/>
        <v>DS_Pass-858</v>
      </c>
      <c r="DO217" s="15"/>
      <c r="DP217" s="15"/>
      <c r="DQ217" s="15"/>
      <c r="DR217" s="13"/>
      <c r="DS217" s="13"/>
      <c r="DT217" s="15" t="s">
        <v>52</v>
      </c>
      <c r="DU217" s="15"/>
      <c r="DV217" s="15"/>
      <c r="DW217" s="13"/>
      <c r="DX217" s="15" t="s">
        <v>54</v>
      </c>
      <c r="DY217" s="15" t="s">
        <v>61</v>
      </c>
      <c r="DZ217" s="15" t="s">
        <v>402</v>
      </c>
      <c r="EA217" s="135" t="str">
        <f t="shared" ref="EA217:EA227" si="284">CONCATENATE(AV217, $EA$1, AW217, $EA$1, AX217, $EA$1, AY217)</f>
        <v>858CUSTOMER_ADDRESSINST12 ROADCUSTOMER_ADDRESSTESTINGHAMCUSTOMER_ADDRESSTESTINGHAMSHIRE</v>
      </c>
      <c r="EB217" s="15" t="s">
        <v>1105</v>
      </c>
      <c r="EC217" s="228"/>
      <c r="ED217" s="228"/>
      <c r="EE217" s="228"/>
    </row>
    <row r="218" spans="1:135" s="229" customFormat="1">
      <c r="A218" s="219" t="s">
        <v>1156</v>
      </c>
      <c r="B218" s="219" t="s">
        <v>892</v>
      </c>
      <c r="C218" s="219" t="s">
        <v>865</v>
      </c>
      <c r="D218" s="13">
        <f>'Run Parameters'!$B$1 + ROW()-1</f>
        <v>859</v>
      </c>
      <c r="E218" s="15" t="s">
        <v>47</v>
      </c>
      <c r="F218" s="13" t="s">
        <v>1152</v>
      </c>
      <c r="G218" s="13" t="str">
        <f t="shared" si="265"/>
        <v>Access Dtls-859</v>
      </c>
      <c r="H218" s="15" t="s">
        <v>275</v>
      </c>
      <c r="I218" s="13" t="str">
        <f>("MR. Test_209_INST12_"&amp;D218&amp;"")</f>
        <v>MR. Test_209_INST12_859</v>
      </c>
      <c r="J218" s="13"/>
      <c r="K218" s="19" t="s">
        <v>425</v>
      </c>
      <c r="L218" s="13" t="str">
        <f t="shared" si="266"/>
        <v>Cust. Ref-859</v>
      </c>
      <c r="M218" s="15" t="s">
        <v>48</v>
      </c>
      <c r="N218" s="15" t="s">
        <v>425</v>
      </c>
      <c r="O218" s="13"/>
      <c r="P218" s="13" t="str">
        <f t="shared" si="267"/>
        <v>SN-859</v>
      </c>
      <c r="Q218" s="13" t="str">
        <f t="shared" si="268"/>
        <v>SI-859</v>
      </c>
      <c r="R218" s="13" t="str">
        <f t="shared" si="269"/>
        <v>SE-859</v>
      </c>
      <c r="S218" s="135" t="str">
        <f t="shared" si="270"/>
        <v>Prev_RA-859</v>
      </c>
      <c r="T218" s="135" t="str">
        <f t="shared" si="271"/>
        <v>Prev_Comms-859</v>
      </c>
      <c r="U218" s="15" t="s">
        <v>75</v>
      </c>
      <c r="V218" s="15" t="s">
        <v>401</v>
      </c>
      <c r="W218" s="15" t="s">
        <v>75</v>
      </c>
      <c r="X218" s="15" t="s">
        <v>1093</v>
      </c>
      <c r="Y218" s="13" t="str">
        <f t="shared" si="272"/>
        <v>Forward Add-859</v>
      </c>
      <c r="Z218" s="15" t="s">
        <v>401</v>
      </c>
      <c r="AA218" s="136" t="str">
        <f>'Run Parameters'!$B$2</f>
        <v>2018-08-13 08:00</v>
      </c>
      <c r="AB218" s="223" t="str">
        <f>'Run Parameters'!B$3</f>
        <v>2018-08-13 18:00</v>
      </c>
      <c r="AC218" s="26">
        <f>('Run Parameters'!$B$2) - 7</f>
        <v>43318.333333333336</v>
      </c>
      <c r="AD218" s="15" t="s">
        <v>75</v>
      </c>
      <c r="AE218" s="13" t="str">
        <f t="shared" si="273"/>
        <v>LAST_METER-859</v>
      </c>
      <c r="AF218" s="136" t="str">
        <f>'Run Parameters'!$B$2</f>
        <v>2018-08-13 08:00</v>
      </c>
      <c r="AG218" s="13" t="str">
        <f>'Run Parameters'!B$4</f>
        <v>AUTOTEST2</v>
      </c>
      <c r="AH218" s="135" t="str">
        <f t="shared" si="274"/>
        <v>Site_Contact_859</v>
      </c>
      <c r="AI218" s="136" t="str">
        <f>'Run Parameters'!B$2</f>
        <v>2018-08-13 08:00</v>
      </c>
      <c r="AJ218" s="223" t="str">
        <f>'Run Parameters'!B$3</f>
        <v>2018-08-13 18:00</v>
      </c>
      <c r="AK218" s="13" t="s">
        <v>1093</v>
      </c>
      <c r="AL218" s="135" t="str">
        <f t="shared" si="275"/>
        <v>01159859</v>
      </c>
      <c r="AM218" s="13" t="str">
        <f t="shared" si="276"/>
        <v>0115859</v>
      </c>
      <c r="AN218" s="15"/>
      <c r="AO218" s="15"/>
      <c r="AP218" s="13">
        <v>1</v>
      </c>
      <c r="AQ218" s="15" t="s">
        <v>49</v>
      </c>
      <c r="AR218" s="15"/>
      <c r="AS218" s="13"/>
      <c r="AT218" s="15" t="s">
        <v>1109</v>
      </c>
      <c r="AU218" s="15"/>
      <c r="AV218" s="13">
        <f t="shared" si="277"/>
        <v>859</v>
      </c>
      <c r="AW218" s="13" t="s">
        <v>1150</v>
      </c>
      <c r="AX218" s="13" t="s">
        <v>420</v>
      </c>
      <c r="AY218" s="13" t="s">
        <v>421</v>
      </c>
      <c r="AZ218" s="15" t="s">
        <v>334</v>
      </c>
      <c r="BA218" s="15" t="s">
        <v>154</v>
      </c>
      <c r="BB218" s="13">
        <v>1</v>
      </c>
      <c r="BC218" s="13">
        <f t="shared" si="278"/>
        <v>859</v>
      </c>
      <c r="BD218" s="15" t="s">
        <v>1151</v>
      </c>
      <c r="BE218" s="15" t="s">
        <v>391</v>
      </c>
      <c r="BF218" s="15" t="s">
        <v>390</v>
      </c>
      <c r="BG218" s="13" t="s">
        <v>1152</v>
      </c>
      <c r="BH218" s="13" t="str">
        <f t="shared" si="279"/>
        <v>859_1</v>
      </c>
      <c r="BI218" s="13"/>
      <c r="BJ218" s="13" t="str">
        <f t="shared" si="280"/>
        <v>10000000859</v>
      </c>
      <c r="BK218" s="15" t="s">
        <v>51</v>
      </c>
      <c r="BL218" s="15" t="s">
        <v>54</v>
      </c>
      <c r="BM218" s="13"/>
      <c r="BN218" s="15" t="s">
        <v>49</v>
      </c>
      <c r="BO218" s="13"/>
      <c r="BP218" s="15"/>
      <c r="BQ218" s="15"/>
      <c r="BR218" s="13"/>
      <c r="BS218" s="15"/>
      <c r="BT218" s="15"/>
      <c r="BU218" s="15"/>
      <c r="BV218" s="15"/>
      <c r="BW218" s="15"/>
      <c r="BX218" s="15"/>
      <c r="BY218" s="15"/>
      <c r="BZ218" s="15"/>
      <c r="CA218" s="15"/>
      <c r="CB218" s="15"/>
      <c r="CC218" s="15"/>
      <c r="CD218" s="15" t="s">
        <v>392</v>
      </c>
      <c r="CE218" s="15" t="s">
        <v>1093</v>
      </c>
      <c r="CF218" s="15" t="s">
        <v>398</v>
      </c>
      <c r="CG218" s="15" t="s">
        <v>1154</v>
      </c>
      <c r="CH218" s="15" t="s">
        <v>159</v>
      </c>
      <c r="CI218" s="13">
        <v>1</v>
      </c>
      <c r="CJ218" s="13" t="str">
        <f t="shared" si="281"/>
        <v>GAS_ENQ_NO-859</v>
      </c>
      <c r="CK218" s="15" t="s">
        <v>779</v>
      </c>
      <c r="CL218" s="15" t="s">
        <v>391</v>
      </c>
      <c r="CM218" s="15" t="s">
        <v>390</v>
      </c>
      <c r="CN218" s="13" t="s">
        <v>1106</v>
      </c>
      <c r="CO218" s="13" t="str">
        <f t="shared" si="282"/>
        <v>GAS_JOB_ID-859</v>
      </c>
      <c r="CP218" s="15"/>
      <c r="CQ218" s="13" t="str">
        <f t="shared" si="283"/>
        <v>10000859</v>
      </c>
      <c r="CR218" s="13"/>
      <c r="CS218" s="15" t="s">
        <v>49</v>
      </c>
      <c r="CT218" s="227"/>
      <c r="CU218" s="13"/>
      <c r="CV218" s="15"/>
      <c r="CW218" s="15"/>
      <c r="CX218" s="15"/>
      <c r="CY218" s="15"/>
      <c r="CZ218" s="15"/>
      <c r="DA218" s="15" t="s">
        <v>395</v>
      </c>
      <c r="DB218" s="13" t="str">
        <f t="shared" si="163"/>
        <v>GAS_INST_ID-859</v>
      </c>
      <c r="DC218" s="15"/>
      <c r="DD218" s="15"/>
      <c r="DE218" s="15"/>
      <c r="DF218" s="15"/>
      <c r="DG218" s="15"/>
      <c r="DH218" s="15" t="s">
        <v>397</v>
      </c>
      <c r="DI218" s="15" t="s">
        <v>399</v>
      </c>
      <c r="DJ218" s="15" t="s">
        <v>1105</v>
      </c>
      <c r="DK218" s="15" t="s">
        <v>140</v>
      </c>
      <c r="DL218" s="228"/>
      <c r="DM218" s="228"/>
      <c r="DN218" s="13" t="str">
        <f t="shared" si="164"/>
        <v>DS_Pass-859</v>
      </c>
      <c r="DO218" s="15"/>
      <c r="DP218" s="15"/>
      <c r="DQ218" s="15"/>
      <c r="DR218" s="13"/>
      <c r="DS218" s="13"/>
      <c r="DT218" s="15" t="s">
        <v>52</v>
      </c>
      <c r="DU218" s="15"/>
      <c r="DV218" s="15"/>
      <c r="DW218" s="13"/>
      <c r="DX218" s="15" t="s">
        <v>54</v>
      </c>
      <c r="DY218" s="15" t="s">
        <v>61</v>
      </c>
      <c r="DZ218" s="15" t="s">
        <v>402</v>
      </c>
      <c r="EA218" s="135" t="str">
        <f t="shared" si="284"/>
        <v>859CUSTOMER_ADDRESSINST12 ROADCUSTOMER_ADDRESSTESTINGHAMCUSTOMER_ADDRESSTESTINGHAMSHIRE</v>
      </c>
      <c r="EB218" s="15" t="s">
        <v>1105</v>
      </c>
      <c r="EC218" s="228"/>
      <c r="ED218" s="228"/>
      <c r="EE218" s="228"/>
    </row>
    <row r="219" spans="1:135" s="229" customFormat="1">
      <c r="A219" s="219" t="s">
        <v>1129</v>
      </c>
      <c r="B219" s="219" t="s">
        <v>892</v>
      </c>
      <c r="C219" s="219" t="s">
        <v>865</v>
      </c>
      <c r="D219" s="13">
        <f>'Run Parameters'!$B$1 + ROW()-1</f>
        <v>860</v>
      </c>
      <c r="E219" s="15" t="s">
        <v>47</v>
      </c>
      <c r="F219" s="13" t="s">
        <v>1152</v>
      </c>
      <c r="G219" s="13" t="str">
        <f t="shared" si="265"/>
        <v>Access Dtls-860</v>
      </c>
      <c r="H219" s="15" t="s">
        <v>275</v>
      </c>
      <c r="I219" s="13" t="str">
        <f>("MR. Test_210_INST12_"&amp;D219&amp;"")</f>
        <v>MR. Test_210_INST12_860</v>
      </c>
      <c r="J219" s="13"/>
      <c r="K219" s="19" t="s">
        <v>425</v>
      </c>
      <c r="L219" s="13" t="str">
        <f t="shared" si="266"/>
        <v>Cust. Ref-860</v>
      </c>
      <c r="M219" s="15" t="s">
        <v>48</v>
      </c>
      <c r="N219" s="15" t="s">
        <v>425</v>
      </c>
      <c r="O219" s="13"/>
      <c r="P219" s="13" t="str">
        <f t="shared" si="267"/>
        <v>SN-860</v>
      </c>
      <c r="Q219" s="13" t="str">
        <f t="shared" si="268"/>
        <v>SI-860</v>
      </c>
      <c r="R219" s="13" t="str">
        <f t="shared" si="269"/>
        <v>SE-860</v>
      </c>
      <c r="S219" s="135" t="str">
        <f t="shared" si="270"/>
        <v>Prev_RA-860</v>
      </c>
      <c r="T219" s="135" t="str">
        <f t="shared" si="271"/>
        <v>Prev_Comms-860</v>
      </c>
      <c r="U219" s="15" t="s">
        <v>75</v>
      </c>
      <c r="V219" s="15" t="s">
        <v>401</v>
      </c>
      <c r="W219" s="15" t="s">
        <v>75</v>
      </c>
      <c r="X219" s="15" t="s">
        <v>1093</v>
      </c>
      <c r="Y219" s="13" t="str">
        <f t="shared" si="272"/>
        <v>Forward Add-860</v>
      </c>
      <c r="Z219" s="15" t="s">
        <v>401</v>
      </c>
      <c r="AA219" s="136" t="str">
        <f>'Run Parameters'!$B$2</f>
        <v>2018-08-13 08:00</v>
      </c>
      <c r="AB219" s="223" t="str">
        <f>'Run Parameters'!B$3</f>
        <v>2018-08-13 18:00</v>
      </c>
      <c r="AC219" s="26">
        <f>('Run Parameters'!$B$2) - 7</f>
        <v>43318.333333333336</v>
      </c>
      <c r="AD219" s="15" t="s">
        <v>75</v>
      </c>
      <c r="AE219" s="13" t="str">
        <f t="shared" si="273"/>
        <v>LAST_METER-860</v>
      </c>
      <c r="AF219" s="136" t="str">
        <f>'Run Parameters'!$B$2</f>
        <v>2018-08-13 08:00</v>
      </c>
      <c r="AG219" s="13" t="str">
        <f>'Run Parameters'!B$4</f>
        <v>AUTOTEST2</v>
      </c>
      <c r="AH219" s="135" t="str">
        <f t="shared" si="274"/>
        <v>Site_Contact_860</v>
      </c>
      <c r="AI219" s="136" t="str">
        <f>'Run Parameters'!B$2</f>
        <v>2018-08-13 08:00</v>
      </c>
      <c r="AJ219" s="223" t="str">
        <f>'Run Parameters'!B$3</f>
        <v>2018-08-13 18:00</v>
      </c>
      <c r="AK219" s="13" t="s">
        <v>1093</v>
      </c>
      <c r="AL219" s="135" t="str">
        <f t="shared" si="275"/>
        <v>01159860</v>
      </c>
      <c r="AM219" s="13" t="str">
        <f t="shared" si="276"/>
        <v>0115860</v>
      </c>
      <c r="AN219" s="15"/>
      <c r="AO219" s="15"/>
      <c r="AP219" s="13">
        <v>1</v>
      </c>
      <c r="AQ219" s="15" t="s">
        <v>49</v>
      </c>
      <c r="AR219" s="15"/>
      <c r="AS219" s="13"/>
      <c r="AT219" s="15" t="s">
        <v>1110</v>
      </c>
      <c r="AU219" s="15"/>
      <c r="AV219" s="13">
        <f t="shared" si="277"/>
        <v>860</v>
      </c>
      <c r="AW219" s="13" t="s">
        <v>1150</v>
      </c>
      <c r="AX219" s="13" t="s">
        <v>420</v>
      </c>
      <c r="AY219" s="13" t="s">
        <v>421</v>
      </c>
      <c r="AZ219" s="15" t="s">
        <v>334</v>
      </c>
      <c r="BA219" s="15" t="s">
        <v>154</v>
      </c>
      <c r="BB219" s="13">
        <v>1</v>
      </c>
      <c r="BC219" s="13">
        <f t="shared" si="278"/>
        <v>860</v>
      </c>
      <c r="BD219" s="15" t="s">
        <v>1151</v>
      </c>
      <c r="BE219" s="15" t="s">
        <v>391</v>
      </c>
      <c r="BF219" s="15" t="s">
        <v>390</v>
      </c>
      <c r="BG219" s="13" t="s">
        <v>1152</v>
      </c>
      <c r="BH219" s="13" t="str">
        <f t="shared" si="279"/>
        <v>860_1</v>
      </c>
      <c r="BI219" s="13"/>
      <c r="BJ219" s="13" t="str">
        <f t="shared" si="280"/>
        <v>10000000860</v>
      </c>
      <c r="BK219" s="15" t="s">
        <v>51</v>
      </c>
      <c r="BL219" s="15" t="s">
        <v>54</v>
      </c>
      <c r="BM219" s="13"/>
      <c r="BN219" s="15" t="s">
        <v>49</v>
      </c>
      <c r="BO219" s="13"/>
      <c r="BP219" s="15"/>
      <c r="BQ219" s="15"/>
      <c r="BR219" s="13"/>
      <c r="BS219" s="15"/>
      <c r="BT219" s="15"/>
      <c r="BU219" s="15"/>
      <c r="BV219" s="15"/>
      <c r="BW219" s="15"/>
      <c r="BX219" s="15"/>
      <c r="BY219" s="15"/>
      <c r="BZ219" s="15"/>
      <c r="CA219" s="15"/>
      <c r="CB219" s="15"/>
      <c r="CC219" s="15"/>
      <c r="CD219" s="15" t="s">
        <v>392</v>
      </c>
      <c r="CE219" s="15" t="s">
        <v>1093</v>
      </c>
      <c r="CF219" s="15" t="s">
        <v>398</v>
      </c>
      <c r="CG219" s="15" t="s">
        <v>1154</v>
      </c>
      <c r="CH219" s="15" t="s">
        <v>159</v>
      </c>
      <c r="CI219" s="13">
        <v>1</v>
      </c>
      <c r="CJ219" s="13" t="str">
        <f t="shared" si="281"/>
        <v>GAS_ENQ_NO-860</v>
      </c>
      <c r="CK219" s="15" t="s">
        <v>779</v>
      </c>
      <c r="CL219" s="15" t="s">
        <v>391</v>
      </c>
      <c r="CM219" s="15" t="s">
        <v>390</v>
      </c>
      <c r="CN219" s="13" t="s">
        <v>1106</v>
      </c>
      <c r="CO219" s="13" t="str">
        <f t="shared" si="282"/>
        <v>GAS_JOB_ID-860</v>
      </c>
      <c r="CP219" s="15"/>
      <c r="CQ219" s="13" t="str">
        <f t="shared" si="283"/>
        <v>10000860</v>
      </c>
      <c r="CR219" s="13"/>
      <c r="CS219" s="15" t="s">
        <v>49</v>
      </c>
      <c r="CT219" s="227"/>
      <c r="CU219" s="13"/>
      <c r="CV219" s="15"/>
      <c r="CW219" s="15"/>
      <c r="CX219" s="15"/>
      <c r="CY219" s="15"/>
      <c r="CZ219" s="15"/>
      <c r="DA219" s="15" t="s">
        <v>395</v>
      </c>
      <c r="DB219" s="13" t="str">
        <f t="shared" si="163"/>
        <v>GAS_INST_ID-860</v>
      </c>
      <c r="DC219" s="15"/>
      <c r="DD219" s="15"/>
      <c r="DE219" s="15"/>
      <c r="DF219" s="15"/>
      <c r="DG219" s="15"/>
      <c r="DH219" s="15" t="s">
        <v>397</v>
      </c>
      <c r="DI219" s="15" t="s">
        <v>399</v>
      </c>
      <c r="DJ219" s="15" t="s">
        <v>1105</v>
      </c>
      <c r="DK219" s="15" t="s">
        <v>140</v>
      </c>
      <c r="DL219" s="228"/>
      <c r="DM219" s="228"/>
      <c r="DN219" s="13" t="str">
        <f t="shared" si="164"/>
        <v>DS_Pass-860</v>
      </c>
      <c r="DO219" s="15"/>
      <c r="DP219" s="15"/>
      <c r="DQ219" s="15"/>
      <c r="DR219" s="13"/>
      <c r="DS219" s="13"/>
      <c r="DT219" s="15" t="s">
        <v>52</v>
      </c>
      <c r="DU219" s="15"/>
      <c r="DV219" s="15"/>
      <c r="DW219" s="13"/>
      <c r="DX219" s="15" t="s">
        <v>54</v>
      </c>
      <c r="DY219" s="15" t="s">
        <v>61</v>
      </c>
      <c r="DZ219" s="15" t="s">
        <v>402</v>
      </c>
      <c r="EA219" s="135" t="str">
        <f t="shared" si="284"/>
        <v>860CUSTOMER_ADDRESSINST12 ROADCUSTOMER_ADDRESSTESTINGHAMCUSTOMER_ADDRESSTESTINGHAMSHIRE</v>
      </c>
      <c r="EB219" s="15" t="s">
        <v>1105</v>
      </c>
      <c r="EC219" s="228"/>
      <c r="ED219" s="228"/>
      <c r="EE219" s="228"/>
    </row>
    <row r="220" spans="1:135" s="229" customFormat="1">
      <c r="A220" s="219" t="s">
        <v>1130</v>
      </c>
      <c r="B220" s="219" t="s">
        <v>892</v>
      </c>
      <c r="C220" s="219" t="s">
        <v>865</v>
      </c>
      <c r="D220" s="13">
        <f>'Run Parameters'!$B$1 + ROW()-1</f>
        <v>861</v>
      </c>
      <c r="E220" s="15" t="s">
        <v>47</v>
      </c>
      <c r="F220" s="13" t="s">
        <v>1152</v>
      </c>
      <c r="G220" s="13" t="str">
        <f t="shared" si="265"/>
        <v>Access Dtls-861</v>
      </c>
      <c r="H220" s="15" t="s">
        <v>275</v>
      </c>
      <c r="I220" s="13" t="str">
        <f>("MR. Test_211_INST12_"&amp;D220&amp;"")</f>
        <v>MR. Test_211_INST12_861</v>
      </c>
      <c r="J220" s="13"/>
      <c r="K220" s="19" t="s">
        <v>425</v>
      </c>
      <c r="L220" s="13" t="str">
        <f t="shared" si="266"/>
        <v>Cust. Ref-861</v>
      </c>
      <c r="M220" s="15" t="s">
        <v>48</v>
      </c>
      <c r="N220" s="15" t="s">
        <v>425</v>
      </c>
      <c r="O220" s="13"/>
      <c r="P220" s="13" t="str">
        <f t="shared" si="267"/>
        <v>SN-861</v>
      </c>
      <c r="Q220" s="13" t="str">
        <f t="shared" si="268"/>
        <v>SI-861</v>
      </c>
      <c r="R220" s="13" t="str">
        <f t="shared" si="269"/>
        <v>SE-861</v>
      </c>
      <c r="S220" s="135" t="str">
        <f t="shared" si="270"/>
        <v>Prev_RA-861</v>
      </c>
      <c r="T220" s="135" t="str">
        <f t="shared" si="271"/>
        <v>Prev_Comms-861</v>
      </c>
      <c r="U220" s="15" t="s">
        <v>75</v>
      </c>
      <c r="V220" s="15" t="s">
        <v>401</v>
      </c>
      <c r="W220" s="15" t="s">
        <v>75</v>
      </c>
      <c r="X220" s="15" t="s">
        <v>1093</v>
      </c>
      <c r="Y220" s="13" t="str">
        <f t="shared" si="272"/>
        <v>Forward Add-861</v>
      </c>
      <c r="Z220" s="15" t="s">
        <v>401</v>
      </c>
      <c r="AA220" s="136" t="str">
        <f>'Run Parameters'!$B$2</f>
        <v>2018-08-13 08:00</v>
      </c>
      <c r="AB220" s="223" t="str">
        <f>'Run Parameters'!B$3</f>
        <v>2018-08-13 18:00</v>
      </c>
      <c r="AC220" s="26">
        <f>('Run Parameters'!$B$2) - 7</f>
        <v>43318.333333333336</v>
      </c>
      <c r="AD220" s="15" t="s">
        <v>75</v>
      </c>
      <c r="AE220" s="13" t="str">
        <f t="shared" si="273"/>
        <v>LAST_METER-861</v>
      </c>
      <c r="AF220" s="136" t="str">
        <f>'Run Parameters'!$B$2</f>
        <v>2018-08-13 08:00</v>
      </c>
      <c r="AG220" s="13" t="str">
        <f>'Run Parameters'!B$4</f>
        <v>AUTOTEST2</v>
      </c>
      <c r="AH220" s="135" t="str">
        <f t="shared" si="274"/>
        <v>Site_Contact_861</v>
      </c>
      <c r="AI220" s="136" t="str">
        <f>'Run Parameters'!B$2</f>
        <v>2018-08-13 08:00</v>
      </c>
      <c r="AJ220" s="223" t="str">
        <f>'Run Parameters'!B$3</f>
        <v>2018-08-13 18:00</v>
      </c>
      <c r="AK220" s="13" t="s">
        <v>1093</v>
      </c>
      <c r="AL220" s="135" t="str">
        <f t="shared" si="275"/>
        <v>01159861</v>
      </c>
      <c r="AM220" s="13" t="str">
        <f t="shared" si="276"/>
        <v>0115861</v>
      </c>
      <c r="AN220" s="15"/>
      <c r="AO220" s="15"/>
      <c r="AP220" s="13">
        <v>1</v>
      </c>
      <c r="AQ220" s="15" t="s">
        <v>49</v>
      </c>
      <c r="AR220" s="15"/>
      <c r="AS220" s="13"/>
      <c r="AT220" s="15" t="s">
        <v>1111</v>
      </c>
      <c r="AU220" s="15"/>
      <c r="AV220" s="13">
        <f t="shared" si="277"/>
        <v>861</v>
      </c>
      <c r="AW220" s="13" t="s">
        <v>1150</v>
      </c>
      <c r="AX220" s="13" t="s">
        <v>420</v>
      </c>
      <c r="AY220" s="13" t="s">
        <v>421</v>
      </c>
      <c r="AZ220" s="15" t="s">
        <v>334</v>
      </c>
      <c r="BA220" s="15" t="s">
        <v>154</v>
      </c>
      <c r="BB220" s="13">
        <v>1</v>
      </c>
      <c r="BC220" s="13">
        <f t="shared" si="278"/>
        <v>861</v>
      </c>
      <c r="BD220" s="15" t="s">
        <v>1151</v>
      </c>
      <c r="BE220" s="15" t="s">
        <v>391</v>
      </c>
      <c r="BF220" s="15" t="s">
        <v>390</v>
      </c>
      <c r="BG220" s="13" t="s">
        <v>1152</v>
      </c>
      <c r="BH220" s="13" t="str">
        <f t="shared" si="279"/>
        <v>861_1</v>
      </c>
      <c r="BI220" s="13"/>
      <c r="BJ220" s="13" t="str">
        <f t="shared" si="280"/>
        <v>10000000861</v>
      </c>
      <c r="BK220" s="15" t="s">
        <v>51</v>
      </c>
      <c r="BL220" s="15" t="s">
        <v>54</v>
      </c>
      <c r="BM220" s="13"/>
      <c r="BN220" s="15" t="s">
        <v>49</v>
      </c>
      <c r="BO220" s="13"/>
      <c r="BP220" s="15"/>
      <c r="BQ220" s="15"/>
      <c r="BR220" s="13"/>
      <c r="BS220" s="15"/>
      <c r="BT220" s="15"/>
      <c r="BU220" s="15"/>
      <c r="BV220" s="15"/>
      <c r="BW220" s="15"/>
      <c r="BX220" s="15"/>
      <c r="BY220" s="15"/>
      <c r="BZ220" s="15"/>
      <c r="CA220" s="15"/>
      <c r="CB220" s="15"/>
      <c r="CC220" s="15"/>
      <c r="CD220" s="15" t="s">
        <v>392</v>
      </c>
      <c r="CE220" s="15" t="s">
        <v>1093</v>
      </c>
      <c r="CF220" s="15" t="s">
        <v>398</v>
      </c>
      <c r="CG220" s="15" t="s">
        <v>1154</v>
      </c>
      <c r="CH220" s="15" t="s">
        <v>159</v>
      </c>
      <c r="CI220" s="13">
        <v>1</v>
      </c>
      <c r="CJ220" s="13" t="str">
        <f t="shared" si="281"/>
        <v>GAS_ENQ_NO-861</v>
      </c>
      <c r="CK220" s="15" t="s">
        <v>779</v>
      </c>
      <c r="CL220" s="15" t="s">
        <v>391</v>
      </c>
      <c r="CM220" s="15" t="s">
        <v>390</v>
      </c>
      <c r="CN220" s="13" t="s">
        <v>1106</v>
      </c>
      <c r="CO220" s="13" t="str">
        <f t="shared" si="282"/>
        <v>GAS_JOB_ID-861</v>
      </c>
      <c r="CP220" s="15"/>
      <c r="CQ220" s="13" t="str">
        <f t="shared" si="283"/>
        <v>10000861</v>
      </c>
      <c r="CR220" s="13"/>
      <c r="CS220" s="15" t="s">
        <v>49</v>
      </c>
      <c r="CT220" s="227"/>
      <c r="CU220" s="13"/>
      <c r="CV220" s="15"/>
      <c r="CW220" s="15"/>
      <c r="CX220" s="15"/>
      <c r="CY220" s="15"/>
      <c r="CZ220" s="15"/>
      <c r="DA220" s="15" t="s">
        <v>395</v>
      </c>
      <c r="DB220" s="13" t="str">
        <f t="shared" si="163"/>
        <v>GAS_INST_ID-861</v>
      </c>
      <c r="DC220" s="15"/>
      <c r="DD220" s="15"/>
      <c r="DE220" s="15"/>
      <c r="DF220" s="15"/>
      <c r="DG220" s="15"/>
      <c r="DH220" s="15" t="s">
        <v>397</v>
      </c>
      <c r="DI220" s="15" t="s">
        <v>399</v>
      </c>
      <c r="DJ220" s="15" t="s">
        <v>1105</v>
      </c>
      <c r="DK220" s="15" t="s">
        <v>140</v>
      </c>
      <c r="DL220" s="228"/>
      <c r="DM220" s="228"/>
      <c r="DN220" s="13" t="str">
        <f t="shared" si="164"/>
        <v>DS_Pass-861</v>
      </c>
      <c r="DO220" s="15"/>
      <c r="DP220" s="15"/>
      <c r="DQ220" s="15"/>
      <c r="DR220" s="13"/>
      <c r="DS220" s="13"/>
      <c r="DT220" s="15" t="s">
        <v>52</v>
      </c>
      <c r="DU220" s="15"/>
      <c r="DV220" s="15"/>
      <c r="DW220" s="13"/>
      <c r="DX220" s="15" t="s">
        <v>54</v>
      </c>
      <c r="DY220" s="15" t="s">
        <v>61</v>
      </c>
      <c r="DZ220" s="15" t="s">
        <v>402</v>
      </c>
      <c r="EA220" s="135" t="str">
        <f t="shared" si="284"/>
        <v>861CUSTOMER_ADDRESSINST12 ROADCUSTOMER_ADDRESSTESTINGHAMCUSTOMER_ADDRESSTESTINGHAMSHIRE</v>
      </c>
      <c r="EB220" s="15" t="s">
        <v>1105</v>
      </c>
      <c r="EC220" s="228"/>
      <c r="ED220" s="228"/>
      <c r="EE220" s="228"/>
    </row>
    <row r="221" spans="1:135" s="229" customFormat="1">
      <c r="A221" s="219" t="s">
        <v>1131</v>
      </c>
      <c r="B221" s="219" t="s">
        <v>892</v>
      </c>
      <c r="C221" s="219" t="s">
        <v>865</v>
      </c>
      <c r="D221" s="13">
        <f>'Run Parameters'!$B$1 + ROW()-1</f>
        <v>862</v>
      </c>
      <c r="E221" s="15" t="s">
        <v>47</v>
      </c>
      <c r="F221" s="13" t="s">
        <v>1152</v>
      </c>
      <c r="G221" s="13" t="str">
        <f t="shared" si="265"/>
        <v>Access Dtls-862</v>
      </c>
      <c r="H221" s="15" t="s">
        <v>275</v>
      </c>
      <c r="I221" s="13" t="str">
        <f>("MR. Test_212_INST12_"&amp;D221&amp;"")</f>
        <v>MR. Test_212_INST12_862</v>
      </c>
      <c r="J221" s="13"/>
      <c r="K221" s="19" t="s">
        <v>425</v>
      </c>
      <c r="L221" s="13" t="str">
        <f t="shared" si="266"/>
        <v>Cust. Ref-862</v>
      </c>
      <c r="M221" s="15" t="s">
        <v>48</v>
      </c>
      <c r="N221" s="15" t="s">
        <v>425</v>
      </c>
      <c r="O221" s="13"/>
      <c r="P221" s="13" t="str">
        <f t="shared" si="267"/>
        <v>SN-862</v>
      </c>
      <c r="Q221" s="13" t="str">
        <f t="shared" si="268"/>
        <v>SI-862</v>
      </c>
      <c r="R221" s="13" t="str">
        <f t="shared" si="269"/>
        <v>SE-862</v>
      </c>
      <c r="S221" s="135" t="str">
        <f t="shared" si="270"/>
        <v>Prev_RA-862</v>
      </c>
      <c r="T221" s="135" t="str">
        <f t="shared" si="271"/>
        <v>Prev_Comms-862</v>
      </c>
      <c r="U221" s="15" t="s">
        <v>75</v>
      </c>
      <c r="V221" s="15" t="s">
        <v>401</v>
      </c>
      <c r="W221" s="15" t="s">
        <v>75</v>
      </c>
      <c r="X221" s="15" t="s">
        <v>1093</v>
      </c>
      <c r="Y221" s="13" t="str">
        <f t="shared" si="272"/>
        <v>Forward Add-862</v>
      </c>
      <c r="Z221" s="15" t="s">
        <v>401</v>
      </c>
      <c r="AA221" s="136" t="str">
        <f>'Run Parameters'!$B$2</f>
        <v>2018-08-13 08:00</v>
      </c>
      <c r="AB221" s="223" t="str">
        <f>'Run Parameters'!B$3</f>
        <v>2018-08-13 18:00</v>
      </c>
      <c r="AC221" s="26">
        <f>('Run Parameters'!$B$2) - 7</f>
        <v>43318.333333333336</v>
      </c>
      <c r="AD221" s="15" t="s">
        <v>75</v>
      </c>
      <c r="AE221" s="13" t="str">
        <f t="shared" si="273"/>
        <v>LAST_METER-862</v>
      </c>
      <c r="AF221" s="136" t="str">
        <f>'Run Parameters'!$B$2</f>
        <v>2018-08-13 08:00</v>
      </c>
      <c r="AG221" s="13" t="str">
        <f>'Run Parameters'!B$4</f>
        <v>AUTOTEST2</v>
      </c>
      <c r="AH221" s="135" t="str">
        <f t="shared" si="274"/>
        <v>Site_Contact_862</v>
      </c>
      <c r="AI221" s="136" t="str">
        <f>'Run Parameters'!B$2</f>
        <v>2018-08-13 08:00</v>
      </c>
      <c r="AJ221" s="223" t="str">
        <f>'Run Parameters'!B$3</f>
        <v>2018-08-13 18:00</v>
      </c>
      <c r="AK221" s="13" t="s">
        <v>1093</v>
      </c>
      <c r="AL221" s="135" t="str">
        <f t="shared" si="275"/>
        <v>01159862</v>
      </c>
      <c r="AM221" s="13" t="str">
        <f t="shared" si="276"/>
        <v>0115862</v>
      </c>
      <c r="AN221" s="15"/>
      <c r="AO221" s="15"/>
      <c r="AP221" s="13">
        <v>1</v>
      </c>
      <c r="AQ221" s="15" t="s">
        <v>49</v>
      </c>
      <c r="AR221" s="15"/>
      <c r="AS221" s="13"/>
      <c r="AT221" s="15" t="s">
        <v>1112</v>
      </c>
      <c r="AU221" s="15"/>
      <c r="AV221" s="13">
        <f t="shared" si="277"/>
        <v>862</v>
      </c>
      <c r="AW221" s="13" t="s">
        <v>1150</v>
      </c>
      <c r="AX221" s="13" t="s">
        <v>420</v>
      </c>
      <c r="AY221" s="13" t="s">
        <v>421</v>
      </c>
      <c r="AZ221" s="15" t="s">
        <v>334</v>
      </c>
      <c r="BA221" s="15" t="s">
        <v>154</v>
      </c>
      <c r="BB221" s="13">
        <v>1</v>
      </c>
      <c r="BC221" s="13">
        <f t="shared" si="278"/>
        <v>862</v>
      </c>
      <c r="BD221" s="15" t="s">
        <v>1151</v>
      </c>
      <c r="BE221" s="15" t="s">
        <v>391</v>
      </c>
      <c r="BF221" s="15" t="s">
        <v>390</v>
      </c>
      <c r="BG221" s="13" t="s">
        <v>1152</v>
      </c>
      <c r="BH221" s="13" t="str">
        <f t="shared" si="279"/>
        <v>862_1</v>
      </c>
      <c r="BI221" s="13"/>
      <c r="BJ221" s="13" t="str">
        <f t="shared" si="280"/>
        <v>10000000862</v>
      </c>
      <c r="BK221" s="15" t="s">
        <v>51</v>
      </c>
      <c r="BL221" s="15" t="s">
        <v>54</v>
      </c>
      <c r="BM221" s="13"/>
      <c r="BN221" s="15" t="s">
        <v>49</v>
      </c>
      <c r="BO221" s="13"/>
      <c r="BP221" s="15"/>
      <c r="BQ221" s="15"/>
      <c r="BR221" s="13"/>
      <c r="BS221" s="15"/>
      <c r="BT221" s="15"/>
      <c r="BU221" s="15"/>
      <c r="BV221" s="15"/>
      <c r="BW221" s="15"/>
      <c r="BX221" s="15"/>
      <c r="BY221" s="15"/>
      <c r="BZ221" s="15"/>
      <c r="CA221" s="15"/>
      <c r="CB221" s="15"/>
      <c r="CC221" s="15"/>
      <c r="CD221" s="15" t="s">
        <v>392</v>
      </c>
      <c r="CE221" s="15" t="s">
        <v>1093</v>
      </c>
      <c r="CF221" s="15" t="s">
        <v>398</v>
      </c>
      <c r="CG221" s="15" t="s">
        <v>1154</v>
      </c>
      <c r="CH221" s="15" t="s">
        <v>159</v>
      </c>
      <c r="CI221" s="13">
        <v>1</v>
      </c>
      <c r="CJ221" s="13" t="str">
        <f t="shared" si="281"/>
        <v>GAS_ENQ_NO-862</v>
      </c>
      <c r="CK221" s="15" t="s">
        <v>779</v>
      </c>
      <c r="CL221" s="15" t="s">
        <v>391</v>
      </c>
      <c r="CM221" s="15" t="s">
        <v>390</v>
      </c>
      <c r="CN221" s="13" t="s">
        <v>1106</v>
      </c>
      <c r="CO221" s="13" t="str">
        <f t="shared" si="282"/>
        <v>GAS_JOB_ID-862</v>
      </c>
      <c r="CP221" s="15"/>
      <c r="CQ221" s="13" t="str">
        <f t="shared" si="283"/>
        <v>10000862</v>
      </c>
      <c r="CR221" s="13"/>
      <c r="CS221" s="15" t="s">
        <v>49</v>
      </c>
      <c r="CT221" s="227"/>
      <c r="CU221" s="13"/>
      <c r="CV221" s="15"/>
      <c r="CW221" s="15"/>
      <c r="CX221" s="15"/>
      <c r="CY221" s="15"/>
      <c r="CZ221" s="15"/>
      <c r="DA221" s="15" t="s">
        <v>395</v>
      </c>
      <c r="DB221" s="13" t="str">
        <f t="shared" si="163"/>
        <v>GAS_INST_ID-862</v>
      </c>
      <c r="DC221" s="15"/>
      <c r="DD221" s="15"/>
      <c r="DE221" s="15"/>
      <c r="DF221" s="15"/>
      <c r="DG221" s="15"/>
      <c r="DH221" s="15" t="s">
        <v>397</v>
      </c>
      <c r="DI221" s="15" t="s">
        <v>399</v>
      </c>
      <c r="DJ221" s="15" t="s">
        <v>1105</v>
      </c>
      <c r="DK221" s="15" t="s">
        <v>140</v>
      </c>
      <c r="DL221" s="228"/>
      <c r="DM221" s="228"/>
      <c r="DN221" s="13" t="str">
        <f t="shared" si="164"/>
        <v>DS_Pass-862</v>
      </c>
      <c r="DO221" s="15"/>
      <c r="DP221" s="15"/>
      <c r="DQ221" s="15"/>
      <c r="DR221" s="13"/>
      <c r="DS221" s="13"/>
      <c r="DT221" s="15" t="s">
        <v>52</v>
      </c>
      <c r="DU221" s="15"/>
      <c r="DV221" s="15"/>
      <c r="DW221" s="13"/>
      <c r="DX221" s="15" t="s">
        <v>54</v>
      </c>
      <c r="DY221" s="15" t="s">
        <v>61</v>
      </c>
      <c r="DZ221" s="15" t="s">
        <v>402</v>
      </c>
      <c r="EA221" s="135" t="str">
        <f t="shared" si="284"/>
        <v>862CUSTOMER_ADDRESSINST12 ROADCUSTOMER_ADDRESSTESTINGHAMCUSTOMER_ADDRESSTESTINGHAMSHIRE</v>
      </c>
      <c r="EB221" s="15" t="s">
        <v>1105</v>
      </c>
      <c r="EC221" s="228"/>
      <c r="ED221" s="228"/>
      <c r="EE221" s="228"/>
    </row>
    <row r="222" spans="1:135" s="229" customFormat="1">
      <c r="A222" s="219" t="s">
        <v>1132</v>
      </c>
      <c r="B222" s="219" t="s">
        <v>892</v>
      </c>
      <c r="C222" s="219" t="s">
        <v>865</v>
      </c>
      <c r="D222" s="13">
        <f>'Run Parameters'!$B$1 + ROW()-1</f>
        <v>863</v>
      </c>
      <c r="E222" s="15" t="s">
        <v>47</v>
      </c>
      <c r="F222" s="13" t="s">
        <v>1152</v>
      </c>
      <c r="G222" s="13" t="str">
        <f t="shared" si="265"/>
        <v>Access Dtls-863</v>
      </c>
      <c r="H222" s="15" t="s">
        <v>275</v>
      </c>
      <c r="I222" s="13" t="str">
        <f>("MR. Test_213_INST12_"&amp;D222&amp;"")</f>
        <v>MR. Test_213_INST12_863</v>
      </c>
      <c r="J222" s="13"/>
      <c r="K222" s="19" t="s">
        <v>425</v>
      </c>
      <c r="L222" s="13" t="str">
        <f t="shared" si="266"/>
        <v>Cust. Ref-863</v>
      </c>
      <c r="M222" s="15" t="s">
        <v>48</v>
      </c>
      <c r="N222" s="15" t="s">
        <v>425</v>
      </c>
      <c r="O222" s="13"/>
      <c r="P222" s="13" t="str">
        <f t="shared" si="267"/>
        <v>SN-863</v>
      </c>
      <c r="Q222" s="13" t="str">
        <f t="shared" si="268"/>
        <v>SI-863</v>
      </c>
      <c r="R222" s="13" t="str">
        <f t="shared" si="269"/>
        <v>SE-863</v>
      </c>
      <c r="S222" s="135" t="str">
        <f t="shared" si="270"/>
        <v>Prev_RA-863</v>
      </c>
      <c r="T222" s="135" t="str">
        <f t="shared" si="271"/>
        <v>Prev_Comms-863</v>
      </c>
      <c r="U222" s="15" t="s">
        <v>75</v>
      </c>
      <c r="V222" s="15" t="s">
        <v>401</v>
      </c>
      <c r="W222" s="15" t="s">
        <v>75</v>
      </c>
      <c r="X222" s="15" t="s">
        <v>1093</v>
      </c>
      <c r="Y222" s="13" t="str">
        <f t="shared" si="272"/>
        <v>Forward Add-863</v>
      </c>
      <c r="Z222" s="15" t="s">
        <v>401</v>
      </c>
      <c r="AA222" s="136" t="str">
        <f>'Run Parameters'!$B$2</f>
        <v>2018-08-13 08:00</v>
      </c>
      <c r="AB222" s="223" t="str">
        <f>'Run Parameters'!B$3</f>
        <v>2018-08-13 18:00</v>
      </c>
      <c r="AC222" s="26">
        <f>('Run Parameters'!$B$2) - 7</f>
        <v>43318.333333333336</v>
      </c>
      <c r="AD222" s="15" t="s">
        <v>75</v>
      </c>
      <c r="AE222" s="13" t="str">
        <f t="shared" si="273"/>
        <v>LAST_METER-863</v>
      </c>
      <c r="AF222" s="136" t="str">
        <f>'Run Parameters'!$B$2</f>
        <v>2018-08-13 08:00</v>
      </c>
      <c r="AG222" s="13" t="str">
        <f>'Run Parameters'!B$4</f>
        <v>AUTOTEST2</v>
      </c>
      <c r="AH222" s="135" t="str">
        <f t="shared" si="274"/>
        <v>Site_Contact_863</v>
      </c>
      <c r="AI222" s="136" t="str">
        <f>'Run Parameters'!B$2</f>
        <v>2018-08-13 08:00</v>
      </c>
      <c r="AJ222" s="223" t="str">
        <f>'Run Parameters'!B$3</f>
        <v>2018-08-13 18:00</v>
      </c>
      <c r="AK222" s="13" t="s">
        <v>1093</v>
      </c>
      <c r="AL222" s="135" t="str">
        <f t="shared" si="275"/>
        <v>01159863</v>
      </c>
      <c r="AM222" s="13" t="str">
        <f t="shared" si="276"/>
        <v>0115863</v>
      </c>
      <c r="AN222" s="15"/>
      <c r="AO222" s="15"/>
      <c r="AP222" s="13">
        <v>1</v>
      </c>
      <c r="AQ222" s="15" t="s">
        <v>49</v>
      </c>
      <c r="AR222" s="15"/>
      <c r="AS222" s="13"/>
      <c r="AT222" s="15" t="s">
        <v>1113</v>
      </c>
      <c r="AU222" s="15"/>
      <c r="AV222" s="13">
        <f t="shared" si="277"/>
        <v>863</v>
      </c>
      <c r="AW222" s="13" t="s">
        <v>1150</v>
      </c>
      <c r="AX222" s="13" t="s">
        <v>420</v>
      </c>
      <c r="AY222" s="13" t="s">
        <v>421</v>
      </c>
      <c r="AZ222" s="15" t="s">
        <v>334</v>
      </c>
      <c r="BA222" s="15" t="s">
        <v>154</v>
      </c>
      <c r="BB222" s="13">
        <v>1</v>
      </c>
      <c r="BC222" s="13">
        <f t="shared" si="278"/>
        <v>863</v>
      </c>
      <c r="BD222" s="15" t="s">
        <v>1151</v>
      </c>
      <c r="BE222" s="15" t="s">
        <v>391</v>
      </c>
      <c r="BF222" s="15" t="s">
        <v>390</v>
      </c>
      <c r="BG222" s="13" t="s">
        <v>1152</v>
      </c>
      <c r="BH222" s="13" t="str">
        <f t="shared" si="279"/>
        <v>863_1</v>
      </c>
      <c r="BI222" s="13"/>
      <c r="BJ222" s="13" t="str">
        <f t="shared" si="280"/>
        <v>10000000863</v>
      </c>
      <c r="BK222" s="15" t="s">
        <v>51</v>
      </c>
      <c r="BL222" s="15" t="s">
        <v>54</v>
      </c>
      <c r="BM222" s="13"/>
      <c r="BN222" s="15" t="s">
        <v>49</v>
      </c>
      <c r="BO222" s="13"/>
      <c r="BP222" s="15"/>
      <c r="BQ222" s="15"/>
      <c r="BR222" s="13"/>
      <c r="BS222" s="15"/>
      <c r="BT222" s="15"/>
      <c r="BU222" s="15"/>
      <c r="BV222" s="15"/>
      <c r="BW222" s="15"/>
      <c r="BX222" s="15"/>
      <c r="BY222" s="15"/>
      <c r="BZ222" s="15"/>
      <c r="CA222" s="15"/>
      <c r="CB222" s="15"/>
      <c r="CC222" s="15"/>
      <c r="CD222" s="15" t="s">
        <v>392</v>
      </c>
      <c r="CE222" s="15" t="s">
        <v>1093</v>
      </c>
      <c r="CF222" s="15" t="s">
        <v>398</v>
      </c>
      <c r="CG222" s="15" t="s">
        <v>1154</v>
      </c>
      <c r="CH222" s="15" t="s">
        <v>159</v>
      </c>
      <c r="CI222" s="13">
        <v>1</v>
      </c>
      <c r="CJ222" s="13" t="str">
        <f t="shared" si="281"/>
        <v>GAS_ENQ_NO-863</v>
      </c>
      <c r="CK222" s="15" t="s">
        <v>779</v>
      </c>
      <c r="CL222" s="15" t="s">
        <v>391</v>
      </c>
      <c r="CM222" s="15" t="s">
        <v>390</v>
      </c>
      <c r="CN222" s="13" t="s">
        <v>1106</v>
      </c>
      <c r="CO222" s="13" t="str">
        <f t="shared" si="282"/>
        <v>GAS_JOB_ID-863</v>
      </c>
      <c r="CP222" s="15"/>
      <c r="CQ222" s="13" t="str">
        <f t="shared" si="283"/>
        <v>10000863</v>
      </c>
      <c r="CR222" s="13"/>
      <c r="CS222" s="15" t="s">
        <v>49</v>
      </c>
      <c r="CT222" s="227"/>
      <c r="CU222" s="13"/>
      <c r="CV222" s="15"/>
      <c r="CW222" s="15"/>
      <c r="CX222" s="15"/>
      <c r="CY222" s="15"/>
      <c r="CZ222" s="15"/>
      <c r="DA222" s="15" t="s">
        <v>395</v>
      </c>
      <c r="DB222" s="13" t="str">
        <f t="shared" si="163"/>
        <v>GAS_INST_ID-863</v>
      </c>
      <c r="DC222" s="15"/>
      <c r="DD222" s="15"/>
      <c r="DE222" s="15"/>
      <c r="DF222" s="15"/>
      <c r="DG222" s="15"/>
      <c r="DH222" s="15" t="s">
        <v>397</v>
      </c>
      <c r="DI222" s="15" t="s">
        <v>399</v>
      </c>
      <c r="DJ222" s="15" t="s">
        <v>1105</v>
      </c>
      <c r="DK222" s="15" t="s">
        <v>140</v>
      </c>
      <c r="DL222" s="228"/>
      <c r="DM222" s="228"/>
      <c r="DN222" s="13" t="str">
        <f t="shared" si="164"/>
        <v>DS_Pass-863</v>
      </c>
      <c r="DO222" s="15"/>
      <c r="DP222" s="15"/>
      <c r="DQ222" s="15"/>
      <c r="DR222" s="13"/>
      <c r="DS222" s="13"/>
      <c r="DT222" s="15" t="s">
        <v>52</v>
      </c>
      <c r="DU222" s="15"/>
      <c r="DV222" s="15"/>
      <c r="DW222" s="13"/>
      <c r="DX222" s="15" t="s">
        <v>54</v>
      </c>
      <c r="DY222" s="15" t="s">
        <v>61</v>
      </c>
      <c r="DZ222" s="15" t="s">
        <v>402</v>
      </c>
      <c r="EA222" s="135" t="str">
        <f t="shared" si="284"/>
        <v>863CUSTOMER_ADDRESSINST12 ROADCUSTOMER_ADDRESSTESTINGHAMCUSTOMER_ADDRESSTESTINGHAMSHIRE</v>
      </c>
      <c r="EB222" s="15" t="s">
        <v>1105</v>
      </c>
      <c r="EC222" s="228"/>
      <c r="ED222" s="228"/>
      <c r="EE222" s="228"/>
    </row>
    <row r="223" spans="1:135" s="229" customFormat="1">
      <c r="A223" s="219" t="s">
        <v>1133</v>
      </c>
      <c r="B223" s="219" t="s">
        <v>892</v>
      </c>
      <c r="C223" s="219" t="s">
        <v>865</v>
      </c>
      <c r="D223" s="13">
        <f>'Run Parameters'!$B$1 + ROW()-1</f>
        <v>864</v>
      </c>
      <c r="E223" s="15" t="s">
        <v>47</v>
      </c>
      <c r="F223" s="13" t="s">
        <v>1152</v>
      </c>
      <c r="G223" s="13" t="str">
        <f t="shared" si="265"/>
        <v>Access Dtls-864</v>
      </c>
      <c r="H223" s="15" t="s">
        <v>275</v>
      </c>
      <c r="I223" s="13" t="str">
        <f>("MR. Test_214_INST12_"&amp;D223&amp;"")</f>
        <v>MR. Test_214_INST12_864</v>
      </c>
      <c r="J223" s="13"/>
      <c r="K223" s="19" t="s">
        <v>425</v>
      </c>
      <c r="L223" s="13" t="str">
        <f t="shared" si="266"/>
        <v>Cust. Ref-864</v>
      </c>
      <c r="M223" s="15" t="s">
        <v>48</v>
      </c>
      <c r="N223" s="15" t="s">
        <v>425</v>
      </c>
      <c r="O223" s="13"/>
      <c r="P223" s="13" t="str">
        <f t="shared" si="267"/>
        <v>SN-864</v>
      </c>
      <c r="Q223" s="13" t="str">
        <f t="shared" si="268"/>
        <v>SI-864</v>
      </c>
      <c r="R223" s="13" t="str">
        <f t="shared" si="269"/>
        <v>SE-864</v>
      </c>
      <c r="S223" s="135" t="str">
        <f t="shared" si="270"/>
        <v>Prev_RA-864</v>
      </c>
      <c r="T223" s="135" t="str">
        <f t="shared" si="271"/>
        <v>Prev_Comms-864</v>
      </c>
      <c r="U223" s="15" t="s">
        <v>75</v>
      </c>
      <c r="V223" s="15" t="s">
        <v>401</v>
      </c>
      <c r="W223" s="15" t="s">
        <v>75</v>
      </c>
      <c r="X223" s="15" t="s">
        <v>1093</v>
      </c>
      <c r="Y223" s="13" t="str">
        <f t="shared" si="272"/>
        <v>Forward Add-864</v>
      </c>
      <c r="Z223" s="15" t="s">
        <v>401</v>
      </c>
      <c r="AA223" s="136" t="str">
        <f>'Run Parameters'!$B$2</f>
        <v>2018-08-13 08:00</v>
      </c>
      <c r="AB223" s="223" t="str">
        <f>'Run Parameters'!B$3</f>
        <v>2018-08-13 18:00</v>
      </c>
      <c r="AC223" s="26">
        <f>('Run Parameters'!$B$2) - 7</f>
        <v>43318.333333333336</v>
      </c>
      <c r="AD223" s="15" t="s">
        <v>75</v>
      </c>
      <c r="AE223" s="13" t="str">
        <f t="shared" si="273"/>
        <v>LAST_METER-864</v>
      </c>
      <c r="AF223" s="136" t="str">
        <f>'Run Parameters'!$B$2</f>
        <v>2018-08-13 08:00</v>
      </c>
      <c r="AG223" s="13" t="str">
        <f>'Run Parameters'!B$4</f>
        <v>AUTOTEST2</v>
      </c>
      <c r="AH223" s="135" t="str">
        <f t="shared" si="274"/>
        <v>Site_Contact_864</v>
      </c>
      <c r="AI223" s="136" t="str">
        <f>'Run Parameters'!B$2</f>
        <v>2018-08-13 08:00</v>
      </c>
      <c r="AJ223" s="223" t="str">
        <f>'Run Parameters'!B$3</f>
        <v>2018-08-13 18:00</v>
      </c>
      <c r="AK223" s="13" t="s">
        <v>1093</v>
      </c>
      <c r="AL223" s="135" t="str">
        <f t="shared" si="275"/>
        <v>01159864</v>
      </c>
      <c r="AM223" s="13" t="str">
        <f t="shared" si="276"/>
        <v>0115864</v>
      </c>
      <c r="AN223" s="15"/>
      <c r="AO223" s="15"/>
      <c r="AP223" s="13">
        <v>1</v>
      </c>
      <c r="AQ223" s="15" t="s">
        <v>49</v>
      </c>
      <c r="AR223" s="15"/>
      <c r="AS223" s="13"/>
      <c r="AT223" s="15" t="s">
        <v>1114</v>
      </c>
      <c r="AU223" s="15"/>
      <c r="AV223" s="13">
        <f t="shared" si="277"/>
        <v>864</v>
      </c>
      <c r="AW223" s="13" t="s">
        <v>1150</v>
      </c>
      <c r="AX223" s="13" t="s">
        <v>420</v>
      </c>
      <c r="AY223" s="13" t="s">
        <v>421</v>
      </c>
      <c r="AZ223" s="15" t="s">
        <v>334</v>
      </c>
      <c r="BA223" s="15" t="s">
        <v>154</v>
      </c>
      <c r="BB223" s="13">
        <v>1</v>
      </c>
      <c r="BC223" s="13">
        <f t="shared" si="278"/>
        <v>864</v>
      </c>
      <c r="BD223" s="15" t="s">
        <v>1151</v>
      </c>
      <c r="BE223" s="15" t="s">
        <v>391</v>
      </c>
      <c r="BF223" s="15" t="s">
        <v>390</v>
      </c>
      <c r="BG223" s="13" t="s">
        <v>1152</v>
      </c>
      <c r="BH223" s="13" t="str">
        <f t="shared" si="279"/>
        <v>864_1</v>
      </c>
      <c r="BI223" s="13"/>
      <c r="BJ223" s="13" t="str">
        <f t="shared" si="280"/>
        <v>10000000864</v>
      </c>
      <c r="BK223" s="15" t="s">
        <v>51</v>
      </c>
      <c r="BL223" s="15" t="s">
        <v>54</v>
      </c>
      <c r="BM223" s="13"/>
      <c r="BN223" s="15" t="s">
        <v>49</v>
      </c>
      <c r="BO223" s="13"/>
      <c r="BP223" s="15"/>
      <c r="BQ223" s="15"/>
      <c r="BR223" s="13"/>
      <c r="BS223" s="15"/>
      <c r="BT223" s="15"/>
      <c r="BU223" s="15"/>
      <c r="BV223" s="15"/>
      <c r="BW223" s="15"/>
      <c r="BX223" s="15"/>
      <c r="BY223" s="15"/>
      <c r="BZ223" s="15"/>
      <c r="CA223" s="15"/>
      <c r="CB223" s="15"/>
      <c r="CC223" s="15"/>
      <c r="CD223" s="15" t="s">
        <v>392</v>
      </c>
      <c r="CE223" s="15" t="s">
        <v>1093</v>
      </c>
      <c r="CF223" s="15" t="s">
        <v>398</v>
      </c>
      <c r="CG223" s="15" t="s">
        <v>1154</v>
      </c>
      <c r="CH223" s="15" t="s">
        <v>159</v>
      </c>
      <c r="CI223" s="13">
        <v>1</v>
      </c>
      <c r="CJ223" s="13" t="str">
        <f t="shared" si="281"/>
        <v>GAS_ENQ_NO-864</v>
      </c>
      <c r="CK223" s="15" t="s">
        <v>779</v>
      </c>
      <c r="CL223" s="15" t="s">
        <v>391</v>
      </c>
      <c r="CM223" s="15" t="s">
        <v>390</v>
      </c>
      <c r="CN223" s="13" t="s">
        <v>1106</v>
      </c>
      <c r="CO223" s="13" t="str">
        <f t="shared" si="282"/>
        <v>GAS_JOB_ID-864</v>
      </c>
      <c r="CP223" s="15"/>
      <c r="CQ223" s="13" t="str">
        <f t="shared" si="283"/>
        <v>10000864</v>
      </c>
      <c r="CR223" s="13"/>
      <c r="CS223" s="15" t="s">
        <v>49</v>
      </c>
      <c r="CT223" s="227"/>
      <c r="CU223" s="13"/>
      <c r="CV223" s="15"/>
      <c r="CW223" s="15"/>
      <c r="CX223" s="15"/>
      <c r="CY223" s="15"/>
      <c r="CZ223" s="15"/>
      <c r="DA223" s="15" t="s">
        <v>395</v>
      </c>
      <c r="DB223" s="13" t="str">
        <f t="shared" si="163"/>
        <v>GAS_INST_ID-864</v>
      </c>
      <c r="DC223" s="15"/>
      <c r="DD223" s="15"/>
      <c r="DE223" s="15"/>
      <c r="DF223" s="15"/>
      <c r="DG223" s="15"/>
      <c r="DH223" s="15" t="s">
        <v>397</v>
      </c>
      <c r="DI223" s="15" t="s">
        <v>399</v>
      </c>
      <c r="DJ223" s="15" t="s">
        <v>1105</v>
      </c>
      <c r="DK223" s="15" t="s">
        <v>140</v>
      </c>
      <c r="DL223" s="228"/>
      <c r="DM223" s="228"/>
      <c r="DN223" s="13" t="str">
        <f t="shared" si="164"/>
        <v>DS_Pass-864</v>
      </c>
      <c r="DO223" s="15"/>
      <c r="DP223" s="15"/>
      <c r="DQ223" s="15"/>
      <c r="DR223" s="13"/>
      <c r="DS223" s="13"/>
      <c r="DT223" s="15" t="s">
        <v>52</v>
      </c>
      <c r="DU223" s="15"/>
      <c r="DV223" s="15"/>
      <c r="DW223" s="13"/>
      <c r="DX223" s="15" t="s">
        <v>54</v>
      </c>
      <c r="DY223" s="15" t="s">
        <v>61</v>
      </c>
      <c r="DZ223" s="15" t="s">
        <v>402</v>
      </c>
      <c r="EA223" s="135" t="str">
        <f t="shared" si="284"/>
        <v>864CUSTOMER_ADDRESSINST12 ROADCUSTOMER_ADDRESSTESTINGHAMCUSTOMER_ADDRESSTESTINGHAMSHIRE</v>
      </c>
      <c r="EB223" s="15" t="s">
        <v>1105</v>
      </c>
      <c r="EC223" s="228"/>
      <c r="ED223" s="228"/>
      <c r="EE223" s="228"/>
    </row>
    <row r="224" spans="1:135" s="229" customFormat="1">
      <c r="A224" s="219" t="s">
        <v>1134</v>
      </c>
      <c r="B224" s="219" t="s">
        <v>892</v>
      </c>
      <c r="C224" s="219" t="s">
        <v>865</v>
      </c>
      <c r="D224" s="13">
        <f>'Run Parameters'!$B$1 + ROW()-1</f>
        <v>865</v>
      </c>
      <c r="E224" s="15" t="s">
        <v>47</v>
      </c>
      <c r="F224" s="13" t="s">
        <v>1152</v>
      </c>
      <c r="G224" s="13" t="str">
        <f t="shared" si="265"/>
        <v>Access Dtls-865</v>
      </c>
      <c r="H224" s="15" t="s">
        <v>275</v>
      </c>
      <c r="I224" s="13" t="str">
        <f>("MR. Test_215_INST12_"&amp;D224&amp;"")</f>
        <v>MR. Test_215_INST12_865</v>
      </c>
      <c r="J224" s="13"/>
      <c r="K224" s="19" t="s">
        <v>425</v>
      </c>
      <c r="L224" s="13" t="str">
        <f t="shared" si="266"/>
        <v>Cust. Ref-865</v>
      </c>
      <c r="M224" s="15" t="s">
        <v>48</v>
      </c>
      <c r="N224" s="15" t="s">
        <v>425</v>
      </c>
      <c r="O224" s="13"/>
      <c r="P224" s="13" t="str">
        <f t="shared" si="267"/>
        <v>SN-865</v>
      </c>
      <c r="Q224" s="13" t="str">
        <f t="shared" si="268"/>
        <v>SI-865</v>
      </c>
      <c r="R224" s="13" t="str">
        <f t="shared" si="269"/>
        <v>SE-865</v>
      </c>
      <c r="S224" s="135" t="str">
        <f t="shared" si="270"/>
        <v>Prev_RA-865</v>
      </c>
      <c r="T224" s="135" t="str">
        <f t="shared" si="271"/>
        <v>Prev_Comms-865</v>
      </c>
      <c r="U224" s="15" t="s">
        <v>75</v>
      </c>
      <c r="V224" s="15" t="s">
        <v>401</v>
      </c>
      <c r="W224" s="15" t="s">
        <v>75</v>
      </c>
      <c r="X224" s="15" t="s">
        <v>1093</v>
      </c>
      <c r="Y224" s="13" t="str">
        <f t="shared" si="272"/>
        <v>Forward Add-865</v>
      </c>
      <c r="Z224" s="15" t="s">
        <v>401</v>
      </c>
      <c r="AA224" s="136" t="str">
        <f>'Run Parameters'!$B$2</f>
        <v>2018-08-13 08:00</v>
      </c>
      <c r="AB224" s="223" t="str">
        <f>'Run Parameters'!B$3</f>
        <v>2018-08-13 18:00</v>
      </c>
      <c r="AC224" s="26">
        <f>('Run Parameters'!$B$2) - 7</f>
        <v>43318.333333333336</v>
      </c>
      <c r="AD224" s="15" t="s">
        <v>75</v>
      </c>
      <c r="AE224" s="13" t="str">
        <f t="shared" si="273"/>
        <v>LAST_METER-865</v>
      </c>
      <c r="AF224" s="136" t="str">
        <f>'Run Parameters'!$B$2</f>
        <v>2018-08-13 08:00</v>
      </c>
      <c r="AG224" s="13" t="str">
        <f>'Run Parameters'!B$4</f>
        <v>AUTOTEST2</v>
      </c>
      <c r="AH224" s="135" t="str">
        <f t="shared" si="274"/>
        <v>Site_Contact_865</v>
      </c>
      <c r="AI224" s="136" t="str">
        <f>'Run Parameters'!B$2</f>
        <v>2018-08-13 08:00</v>
      </c>
      <c r="AJ224" s="223" t="str">
        <f>'Run Parameters'!B$3</f>
        <v>2018-08-13 18:00</v>
      </c>
      <c r="AK224" s="13" t="s">
        <v>1093</v>
      </c>
      <c r="AL224" s="135" t="str">
        <f t="shared" si="275"/>
        <v>01159865</v>
      </c>
      <c r="AM224" s="13" t="str">
        <f t="shared" si="276"/>
        <v>0115865</v>
      </c>
      <c r="AN224" s="15"/>
      <c r="AO224" s="15"/>
      <c r="AP224" s="13">
        <v>1</v>
      </c>
      <c r="AQ224" s="15" t="s">
        <v>49</v>
      </c>
      <c r="AR224" s="15"/>
      <c r="AS224" s="13"/>
      <c r="AT224" s="15" t="s">
        <v>1115</v>
      </c>
      <c r="AU224" s="15"/>
      <c r="AV224" s="13">
        <f t="shared" si="277"/>
        <v>865</v>
      </c>
      <c r="AW224" s="13" t="s">
        <v>1150</v>
      </c>
      <c r="AX224" s="13" t="s">
        <v>420</v>
      </c>
      <c r="AY224" s="13" t="s">
        <v>421</v>
      </c>
      <c r="AZ224" s="15" t="s">
        <v>334</v>
      </c>
      <c r="BA224" s="15" t="s">
        <v>154</v>
      </c>
      <c r="BB224" s="13">
        <v>1</v>
      </c>
      <c r="BC224" s="13">
        <f t="shared" si="278"/>
        <v>865</v>
      </c>
      <c r="BD224" s="15" t="s">
        <v>1151</v>
      </c>
      <c r="BE224" s="15" t="s">
        <v>391</v>
      </c>
      <c r="BF224" s="15" t="s">
        <v>390</v>
      </c>
      <c r="BG224" s="13" t="s">
        <v>1152</v>
      </c>
      <c r="BH224" s="13" t="str">
        <f t="shared" si="279"/>
        <v>865_1</v>
      </c>
      <c r="BI224" s="13"/>
      <c r="BJ224" s="13" t="str">
        <f t="shared" si="280"/>
        <v>10000000865</v>
      </c>
      <c r="BK224" s="15" t="s">
        <v>51</v>
      </c>
      <c r="BL224" s="15" t="s">
        <v>54</v>
      </c>
      <c r="BM224" s="13"/>
      <c r="BN224" s="15" t="s">
        <v>49</v>
      </c>
      <c r="BO224" s="13"/>
      <c r="BP224" s="15"/>
      <c r="BQ224" s="15"/>
      <c r="BR224" s="13"/>
      <c r="BS224" s="15"/>
      <c r="BT224" s="15"/>
      <c r="BU224" s="15"/>
      <c r="BV224" s="15"/>
      <c r="BW224" s="15"/>
      <c r="BX224" s="15"/>
      <c r="BY224" s="15"/>
      <c r="BZ224" s="15"/>
      <c r="CA224" s="15"/>
      <c r="CB224" s="15"/>
      <c r="CC224" s="15"/>
      <c r="CD224" s="15" t="s">
        <v>392</v>
      </c>
      <c r="CE224" s="15" t="s">
        <v>1093</v>
      </c>
      <c r="CF224" s="15" t="s">
        <v>398</v>
      </c>
      <c r="CG224" s="15" t="s">
        <v>1154</v>
      </c>
      <c r="CH224" s="15" t="s">
        <v>159</v>
      </c>
      <c r="CI224" s="13">
        <v>1</v>
      </c>
      <c r="CJ224" s="13" t="str">
        <f t="shared" si="281"/>
        <v>GAS_ENQ_NO-865</v>
      </c>
      <c r="CK224" s="15" t="s">
        <v>779</v>
      </c>
      <c r="CL224" s="15" t="s">
        <v>391</v>
      </c>
      <c r="CM224" s="15" t="s">
        <v>390</v>
      </c>
      <c r="CN224" s="13" t="s">
        <v>1106</v>
      </c>
      <c r="CO224" s="13" t="str">
        <f t="shared" si="282"/>
        <v>GAS_JOB_ID-865</v>
      </c>
      <c r="CP224" s="15"/>
      <c r="CQ224" s="13" t="str">
        <f t="shared" si="283"/>
        <v>10000865</v>
      </c>
      <c r="CR224" s="13"/>
      <c r="CS224" s="15" t="s">
        <v>49</v>
      </c>
      <c r="CT224" s="227"/>
      <c r="CU224" s="13"/>
      <c r="CV224" s="15"/>
      <c r="CW224" s="15"/>
      <c r="CX224" s="15"/>
      <c r="CY224" s="15"/>
      <c r="CZ224" s="15"/>
      <c r="DA224" s="15" t="s">
        <v>395</v>
      </c>
      <c r="DB224" s="13" t="str">
        <f t="shared" si="163"/>
        <v>GAS_INST_ID-865</v>
      </c>
      <c r="DC224" s="15"/>
      <c r="DD224" s="15"/>
      <c r="DE224" s="15"/>
      <c r="DF224" s="15"/>
      <c r="DG224" s="15"/>
      <c r="DH224" s="15" t="s">
        <v>397</v>
      </c>
      <c r="DI224" s="15" t="s">
        <v>399</v>
      </c>
      <c r="DJ224" s="15" t="s">
        <v>1105</v>
      </c>
      <c r="DK224" s="15" t="s">
        <v>140</v>
      </c>
      <c r="DL224" s="228"/>
      <c r="DM224" s="228"/>
      <c r="DN224" s="13" t="str">
        <f t="shared" si="164"/>
        <v>DS_Pass-865</v>
      </c>
      <c r="DO224" s="15"/>
      <c r="DP224" s="15"/>
      <c r="DQ224" s="15"/>
      <c r="DR224" s="13"/>
      <c r="DS224" s="13"/>
      <c r="DT224" s="15" t="s">
        <v>52</v>
      </c>
      <c r="DU224" s="15"/>
      <c r="DV224" s="15"/>
      <c r="DW224" s="13"/>
      <c r="DX224" s="15" t="s">
        <v>54</v>
      </c>
      <c r="DY224" s="15" t="s">
        <v>61</v>
      </c>
      <c r="DZ224" s="15" t="s">
        <v>402</v>
      </c>
      <c r="EA224" s="135" t="str">
        <f t="shared" si="284"/>
        <v>865CUSTOMER_ADDRESSINST12 ROADCUSTOMER_ADDRESSTESTINGHAMCUSTOMER_ADDRESSTESTINGHAMSHIRE</v>
      </c>
      <c r="EB224" s="15" t="s">
        <v>1105</v>
      </c>
      <c r="EC224" s="228"/>
      <c r="ED224" s="228"/>
      <c r="EE224" s="228"/>
    </row>
    <row r="225" spans="1:135" s="229" customFormat="1">
      <c r="A225" s="219" t="s">
        <v>1135</v>
      </c>
      <c r="B225" s="219" t="s">
        <v>892</v>
      </c>
      <c r="C225" s="219" t="s">
        <v>865</v>
      </c>
      <c r="D225" s="13">
        <f>'Run Parameters'!$B$1 + ROW()-1</f>
        <v>866</v>
      </c>
      <c r="E225" s="15" t="s">
        <v>47</v>
      </c>
      <c r="F225" s="13" t="s">
        <v>1152</v>
      </c>
      <c r="G225" s="13" t="str">
        <f t="shared" si="265"/>
        <v>Access Dtls-866</v>
      </c>
      <c r="H225" s="15" t="s">
        <v>275</v>
      </c>
      <c r="I225" s="13" t="str">
        <f>("MR. Test_216_INST12_"&amp;D225&amp;"")</f>
        <v>MR. Test_216_INST12_866</v>
      </c>
      <c r="J225" s="13"/>
      <c r="K225" s="19" t="s">
        <v>425</v>
      </c>
      <c r="L225" s="13" t="str">
        <f t="shared" si="266"/>
        <v>Cust. Ref-866</v>
      </c>
      <c r="M225" s="15" t="s">
        <v>48</v>
      </c>
      <c r="N225" s="15" t="s">
        <v>425</v>
      </c>
      <c r="O225" s="13"/>
      <c r="P225" s="13" t="str">
        <f t="shared" si="267"/>
        <v>SN-866</v>
      </c>
      <c r="Q225" s="13" t="str">
        <f t="shared" si="268"/>
        <v>SI-866</v>
      </c>
      <c r="R225" s="13" t="str">
        <f t="shared" si="269"/>
        <v>SE-866</v>
      </c>
      <c r="S225" s="135" t="str">
        <f t="shared" si="270"/>
        <v>Prev_RA-866</v>
      </c>
      <c r="T225" s="135" t="str">
        <f t="shared" si="271"/>
        <v>Prev_Comms-866</v>
      </c>
      <c r="U225" s="15" t="s">
        <v>75</v>
      </c>
      <c r="V225" s="15" t="s">
        <v>401</v>
      </c>
      <c r="W225" s="15" t="s">
        <v>75</v>
      </c>
      <c r="X225" s="15" t="s">
        <v>1093</v>
      </c>
      <c r="Y225" s="13" t="str">
        <f t="shared" si="272"/>
        <v>Forward Add-866</v>
      </c>
      <c r="Z225" s="15" t="s">
        <v>401</v>
      </c>
      <c r="AA225" s="136" t="str">
        <f>'Run Parameters'!$B$2</f>
        <v>2018-08-13 08:00</v>
      </c>
      <c r="AB225" s="223" t="str">
        <f>'Run Parameters'!B$3</f>
        <v>2018-08-13 18:00</v>
      </c>
      <c r="AC225" s="26">
        <f>('Run Parameters'!$B$2) - 7</f>
        <v>43318.333333333336</v>
      </c>
      <c r="AD225" s="15" t="s">
        <v>75</v>
      </c>
      <c r="AE225" s="13" t="str">
        <f t="shared" si="273"/>
        <v>LAST_METER-866</v>
      </c>
      <c r="AF225" s="136" t="str">
        <f>'Run Parameters'!$B$2</f>
        <v>2018-08-13 08:00</v>
      </c>
      <c r="AG225" s="13" t="str">
        <f>'Run Parameters'!B$4</f>
        <v>AUTOTEST2</v>
      </c>
      <c r="AH225" s="135" t="str">
        <f t="shared" si="274"/>
        <v>Site_Contact_866</v>
      </c>
      <c r="AI225" s="136" t="str">
        <f>'Run Parameters'!B$2</f>
        <v>2018-08-13 08:00</v>
      </c>
      <c r="AJ225" s="223" t="str">
        <f>'Run Parameters'!B$3</f>
        <v>2018-08-13 18:00</v>
      </c>
      <c r="AK225" s="13" t="s">
        <v>1093</v>
      </c>
      <c r="AL225" s="135" t="str">
        <f t="shared" si="275"/>
        <v>01159866</v>
      </c>
      <c r="AM225" s="13" t="str">
        <f t="shared" si="276"/>
        <v>0115866</v>
      </c>
      <c r="AN225" s="15"/>
      <c r="AO225" s="15"/>
      <c r="AP225" s="13">
        <v>1</v>
      </c>
      <c r="AQ225" s="15" t="s">
        <v>49</v>
      </c>
      <c r="AR225" s="15"/>
      <c r="AS225" s="13"/>
      <c r="AT225" s="15" t="s">
        <v>1116</v>
      </c>
      <c r="AU225" s="15"/>
      <c r="AV225" s="13">
        <f t="shared" si="277"/>
        <v>866</v>
      </c>
      <c r="AW225" s="13" t="s">
        <v>1150</v>
      </c>
      <c r="AX225" s="13" t="s">
        <v>420</v>
      </c>
      <c r="AY225" s="13" t="s">
        <v>421</v>
      </c>
      <c r="AZ225" s="15" t="s">
        <v>334</v>
      </c>
      <c r="BA225" s="15" t="s">
        <v>154</v>
      </c>
      <c r="BB225" s="13">
        <v>1</v>
      </c>
      <c r="BC225" s="13">
        <f t="shared" si="278"/>
        <v>866</v>
      </c>
      <c r="BD225" s="15" t="s">
        <v>1151</v>
      </c>
      <c r="BE225" s="15" t="s">
        <v>391</v>
      </c>
      <c r="BF225" s="15" t="s">
        <v>390</v>
      </c>
      <c r="BG225" s="13" t="s">
        <v>1152</v>
      </c>
      <c r="BH225" s="13" t="str">
        <f t="shared" si="279"/>
        <v>866_1</v>
      </c>
      <c r="BI225" s="13"/>
      <c r="BJ225" s="13" t="str">
        <f t="shared" si="280"/>
        <v>10000000866</v>
      </c>
      <c r="BK225" s="15" t="s">
        <v>51</v>
      </c>
      <c r="BL225" s="15" t="s">
        <v>54</v>
      </c>
      <c r="BM225" s="13"/>
      <c r="BN225" s="15" t="s">
        <v>49</v>
      </c>
      <c r="BO225" s="13"/>
      <c r="BP225" s="15"/>
      <c r="BQ225" s="15"/>
      <c r="BR225" s="13"/>
      <c r="BS225" s="15"/>
      <c r="BT225" s="15"/>
      <c r="BU225" s="15"/>
      <c r="BV225" s="15"/>
      <c r="BW225" s="15"/>
      <c r="BX225" s="15"/>
      <c r="BY225" s="15"/>
      <c r="BZ225" s="15"/>
      <c r="CA225" s="15"/>
      <c r="CB225" s="15"/>
      <c r="CC225" s="15"/>
      <c r="CD225" s="15" t="s">
        <v>392</v>
      </c>
      <c r="CE225" s="15" t="s">
        <v>1093</v>
      </c>
      <c r="CF225" s="15" t="s">
        <v>398</v>
      </c>
      <c r="CG225" s="15" t="s">
        <v>1154</v>
      </c>
      <c r="CH225" s="15" t="s">
        <v>159</v>
      </c>
      <c r="CI225" s="13">
        <v>1</v>
      </c>
      <c r="CJ225" s="13" t="str">
        <f t="shared" si="281"/>
        <v>GAS_ENQ_NO-866</v>
      </c>
      <c r="CK225" s="15" t="s">
        <v>779</v>
      </c>
      <c r="CL225" s="15" t="s">
        <v>391</v>
      </c>
      <c r="CM225" s="15" t="s">
        <v>390</v>
      </c>
      <c r="CN225" s="13" t="s">
        <v>1106</v>
      </c>
      <c r="CO225" s="13" t="str">
        <f t="shared" si="282"/>
        <v>GAS_JOB_ID-866</v>
      </c>
      <c r="CP225" s="15"/>
      <c r="CQ225" s="13" t="str">
        <f t="shared" si="283"/>
        <v>10000866</v>
      </c>
      <c r="CR225" s="13"/>
      <c r="CS225" s="15" t="s">
        <v>49</v>
      </c>
      <c r="CT225" s="227"/>
      <c r="CU225" s="13"/>
      <c r="CV225" s="15"/>
      <c r="CW225" s="15"/>
      <c r="CX225" s="15"/>
      <c r="CY225" s="15"/>
      <c r="CZ225" s="15"/>
      <c r="DA225" s="15" t="s">
        <v>395</v>
      </c>
      <c r="DB225" s="13" t="str">
        <f t="shared" si="163"/>
        <v>GAS_INST_ID-866</v>
      </c>
      <c r="DC225" s="15"/>
      <c r="DD225" s="15"/>
      <c r="DE225" s="15"/>
      <c r="DF225" s="15"/>
      <c r="DG225" s="15"/>
      <c r="DH225" s="15" t="s">
        <v>397</v>
      </c>
      <c r="DI225" s="15" t="s">
        <v>399</v>
      </c>
      <c r="DJ225" s="15" t="s">
        <v>1105</v>
      </c>
      <c r="DK225" s="15" t="s">
        <v>140</v>
      </c>
      <c r="DL225" s="228"/>
      <c r="DM225" s="228"/>
      <c r="DN225" s="13" t="str">
        <f t="shared" si="164"/>
        <v>DS_Pass-866</v>
      </c>
      <c r="DO225" s="15"/>
      <c r="DP225" s="15"/>
      <c r="DQ225" s="15"/>
      <c r="DR225" s="13"/>
      <c r="DS225" s="13"/>
      <c r="DT225" s="15" t="s">
        <v>52</v>
      </c>
      <c r="DU225" s="15"/>
      <c r="DV225" s="15"/>
      <c r="DW225" s="13"/>
      <c r="DX225" s="15" t="s">
        <v>54</v>
      </c>
      <c r="DY225" s="15" t="s">
        <v>61</v>
      </c>
      <c r="DZ225" s="15" t="s">
        <v>402</v>
      </c>
      <c r="EA225" s="135" t="str">
        <f t="shared" si="284"/>
        <v>866CUSTOMER_ADDRESSINST12 ROADCUSTOMER_ADDRESSTESTINGHAMCUSTOMER_ADDRESSTESTINGHAMSHIRE</v>
      </c>
      <c r="EB225" s="15" t="s">
        <v>1105</v>
      </c>
      <c r="EC225" s="228"/>
      <c r="ED225" s="228"/>
      <c r="EE225" s="228"/>
    </row>
    <row r="226" spans="1:135" s="229" customFormat="1">
      <c r="A226" s="219" t="s">
        <v>1136</v>
      </c>
      <c r="B226" s="219" t="s">
        <v>892</v>
      </c>
      <c r="C226" s="219" t="s">
        <v>865</v>
      </c>
      <c r="D226" s="13">
        <f>'Run Parameters'!$B$1 + ROW()-1</f>
        <v>867</v>
      </c>
      <c r="E226" s="15" t="s">
        <v>47</v>
      </c>
      <c r="F226" s="13" t="s">
        <v>1152</v>
      </c>
      <c r="G226" s="13" t="str">
        <f t="shared" si="265"/>
        <v>Access Dtls-867</v>
      </c>
      <c r="H226" s="15" t="s">
        <v>275</v>
      </c>
      <c r="I226" s="13" t="str">
        <f>("MR. Test_217_INST12_"&amp;D226&amp;"")</f>
        <v>MR. Test_217_INST12_867</v>
      </c>
      <c r="J226" s="13"/>
      <c r="K226" s="19" t="s">
        <v>425</v>
      </c>
      <c r="L226" s="13" t="str">
        <f t="shared" si="266"/>
        <v>Cust. Ref-867</v>
      </c>
      <c r="M226" s="15" t="s">
        <v>48</v>
      </c>
      <c r="N226" s="15" t="s">
        <v>425</v>
      </c>
      <c r="O226" s="13"/>
      <c r="P226" s="13" t="str">
        <f t="shared" si="267"/>
        <v>SN-867</v>
      </c>
      <c r="Q226" s="13" t="str">
        <f t="shared" si="268"/>
        <v>SI-867</v>
      </c>
      <c r="R226" s="13" t="str">
        <f t="shared" si="269"/>
        <v>SE-867</v>
      </c>
      <c r="S226" s="135" t="str">
        <f t="shared" si="270"/>
        <v>Prev_RA-867</v>
      </c>
      <c r="T226" s="135" t="str">
        <f t="shared" si="271"/>
        <v>Prev_Comms-867</v>
      </c>
      <c r="U226" s="15" t="s">
        <v>75</v>
      </c>
      <c r="V226" s="15" t="s">
        <v>401</v>
      </c>
      <c r="W226" s="15" t="s">
        <v>75</v>
      </c>
      <c r="X226" s="15" t="s">
        <v>1093</v>
      </c>
      <c r="Y226" s="13" t="str">
        <f t="shared" si="272"/>
        <v>Forward Add-867</v>
      </c>
      <c r="Z226" s="15" t="s">
        <v>401</v>
      </c>
      <c r="AA226" s="136" t="str">
        <f>'Run Parameters'!$B$2</f>
        <v>2018-08-13 08:00</v>
      </c>
      <c r="AB226" s="223" t="str">
        <f>'Run Parameters'!B$3</f>
        <v>2018-08-13 18:00</v>
      </c>
      <c r="AC226" s="26">
        <f>('Run Parameters'!$B$2) - 7</f>
        <v>43318.333333333336</v>
      </c>
      <c r="AD226" s="15" t="s">
        <v>75</v>
      </c>
      <c r="AE226" s="13" t="str">
        <f t="shared" si="273"/>
        <v>LAST_METER-867</v>
      </c>
      <c r="AF226" s="136" t="str">
        <f>'Run Parameters'!$B$2</f>
        <v>2018-08-13 08:00</v>
      </c>
      <c r="AG226" s="13" t="str">
        <f>'Run Parameters'!B$4</f>
        <v>AUTOTEST2</v>
      </c>
      <c r="AH226" s="135" t="str">
        <f t="shared" si="274"/>
        <v>Site_Contact_867</v>
      </c>
      <c r="AI226" s="136" t="str">
        <f>'Run Parameters'!B$2</f>
        <v>2018-08-13 08:00</v>
      </c>
      <c r="AJ226" s="223" t="str">
        <f>'Run Parameters'!B$3</f>
        <v>2018-08-13 18:00</v>
      </c>
      <c r="AK226" s="13" t="s">
        <v>1093</v>
      </c>
      <c r="AL226" s="135" t="str">
        <f t="shared" si="275"/>
        <v>01159867</v>
      </c>
      <c r="AM226" s="13" t="str">
        <f t="shared" si="276"/>
        <v>0115867</v>
      </c>
      <c r="AN226" s="15"/>
      <c r="AO226" s="15"/>
      <c r="AP226" s="13">
        <v>1</v>
      </c>
      <c r="AQ226" s="15" t="s">
        <v>49</v>
      </c>
      <c r="AR226" s="15"/>
      <c r="AS226" s="13"/>
      <c r="AT226" s="15" t="s">
        <v>774</v>
      </c>
      <c r="AU226" s="15"/>
      <c r="AV226" s="13">
        <f t="shared" si="277"/>
        <v>867</v>
      </c>
      <c r="AW226" s="13" t="s">
        <v>1150</v>
      </c>
      <c r="AX226" s="13" t="s">
        <v>420</v>
      </c>
      <c r="AY226" s="13" t="s">
        <v>421</v>
      </c>
      <c r="AZ226" s="15" t="s">
        <v>334</v>
      </c>
      <c r="BA226" s="15" t="s">
        <v>154</v>
      </c>
      <c r="BB226" s="13">
        <v>1</v>
      </c>
      <c r="BC226" s="13">
        <f t="shared" si="278"/>
        <v>867</v>
      </c>
      <c r="BD226" s="15" t="s">
        <v>1151</v>
      </c>
      <c r="BE226" s="15" t="s">
        <v>391</v>
      </c>
      <c r="BF226" s="15" t="s">
        <v>390</v>
      </c>
      <c r="BG226" s="13" t="s">
        <v>1152</v>
      </c>
      <c r="BH226" s="13" t="str">
        <f t="shared" si="279"/>
        <v>867_1</v>
      </c>
      <c r="BI226" s="13"/>
      <c r="BJ226" s="13" t="str">
        <f t="shared" si="280"/>
        <v>10000000867</v>
      </c>
      <c r="BK226" s="15" t="s">
        <v>51</v>
      </c>
      <c r="BL226" s="15" t="s">
        <v>54</v>
      </c>
      <c r="BM226" s="13"/>
      <c r="BN226" s="15" t="s">
        <v>49</v>
      </c>
      <c r="BO226" s="13"/>
      <c r="BP226" s="15"/>
      <c r="BQ226" s="15"/>
      <c r="BR226" s="13"/>
      <c r="BS226" s="15"/>
      <c r="BT226" s="15"/>
      <c r="BU226" s="15"/>
      <c r="BV226" s="15"/>
      <c r="BW226" s="15"/>
      <c r="BX226" s="15"/>
      <c r="BY226" s="15"/>
      <c r="BZ226" s="15"/>
      <c r="CA226" s="15"/>
      <c r="CB226" s="15"/>
      <c r="CC226" s="15"/>
      <c r="CD226" s="15" t="s">
        <v>392</v>
      </c>
      <c r="CE226" s="15" t="s">
        <v>1093</v>
      </c>
      <c r="CF226" s="15" t="s">
        <v>398</v>
      </c>
      <c r="CG226" s="15" t="s">
        <v>1154</v>
      </c>
      <c r="CH226" s="15" t="s">
        <v>159</v>
      </c>
      <c r="CI226" s="13">
        <v>1</v>
      </c>
      <c r="CJ226" s="13" t="str">
        <f t="shared" si="281"/>
        <v>GAS_ENQ_NO-867</v>
      </c>
      <c r="CK226" s="15" t="s">
        <v>779</v>
      </c>
      <c r="CL226" s="15" t="s">
        <v>391</v>
      </c>
      <c r="CM226" s="15" t="s">
        <v>390</v>
      </c>
      <c r="CN226" s="13" t="s">
        <v>1106</v>
      </c>
      <c r="CO226" s="13" t="str">
        <f t="shared" si="282"/>
        <v>GAS_JOB_ID-867</v>
      </c>
      <c r="CP226" s="15"/>
      <c r="CQ226" s="13" t="str">
        <f t="shared" si="283"/>
        <v>10000867</v>
      </c>
      <c r="CR226" s="13"/>
      <c r="CS226" s="15" t="s">
        <v>49</v>
      </c>
      <c r="CT226" s="227"/>
      <c r="CU226" s="13"/>
      <c r="CV226" s="15"/>
      <c r="CW226" s="15"/>
      <c r="CX226" s="15"/>
      <c r="CY226" s="15"/>
      <c r="CZ226" s="15"/>
      <c r="DA226" s="15" t="s">
        <v>395</v>
      </c>
      <c r="DB226" s="13" t="str">
        <f t="shared" si="163"/>
        <v>GAS_INST_ID-867</v>
      </c>
      <c r="DC226" s="15"/>
      <c r="DD226" s="15"/>
      <c r="DE226" s="15"/>
      <c r="DF226" s="15"/>
      <c r="DG226" s="15"/>
      <c r="DH226" s="15" t="s">
        <v>397</v>
      </c>
      <c r="DI226" s="15" t="s">
        <v>399</v>
      </c>
      <c r="DJ226" s="15" t="s">
        <v>1105</v>
      </c>
      <c r="DK226" s="15" t="s">
        <v>140</v>
      </c>
      <c r="DL226" s="228"/>
      <c r="DM226" s="228"/>
      <c r="DN226" s="13" t="str">
        <f t="shared" si="164"/>
        <v>DS_Pass-867</v>
      </c>
      <c r="DO226" s="15"/>
      <c r="DP226" s="15"/>
      <c r="DQ226" s="15"/>
      <c r="DR226" s="13"/>
      <c r="DS226" s="13"/>
      <c r="DT226" s="15" t="s">
        <v>52</v>
      </c>
      <c r="DU226" s="15"/>
      <c r="DV226" s="15"/>
      <c r="DW226" s="13"/>
      <c r="DX226" s="15" t="s">
        <v>54</v>
      </c>
      <c r="DY226" s="15" t="s">
        <v>61</v>
      </c>
      <c r="DZ226" s="15" t="s">
        <v>402</v>
      </c>
      <c r="EA226" s="135" t="str">
        <f t="shared" si="284"/>
        <v>867CUSTOMER_ADDRESSINST12 ROADCUSTOMER_ADDRESSTESTINGHAMCUSTOMER_ADDRESSTESTINGHAMSHIRE</v>
      </c>
      <c r="EB226" s="15" t="s">
        <v>1105</v>
      </c>
      <c r="EC226" s="228"/>
      <c r="ED226" s="228"/>
      <c r="EE226" s="228"/>
    </row>
    <row r="227" spans="1:135" s="229" customFormat="1">
      <c r="A227" s="219" t="s">
        <v>1137</v>
      </c>
      <c r="B227" s="219" t="s">
        <v>892</v>
      </c>
      <c r="C227" s="219" t="s">
        <v>865</v>
      </c>
      <c r="D227" s="13">
        <f>'Run Parameters'!$B$1 + ROW()-1</f>
        <v>868</v>
      </c>
      <c r="E227" s="15" t="s">
        <v>47</v>
      </c>
      <c r="F227" s="13" t="s">
        <v>1152</v>
      </c>
      <c r="G227" s="13" t="str">
        <f t="shared" si="265"/>
        <v>Access Dtls-868</v>
      </c>
      <c r="H227" s="15" t="s">
        <v>275</v>
      </c>
      <c r="I227" s="13" t="str">
        <f>("MR. Test_218_INST12_"&amp;D227&amp;"")</f>
        <v>MR. Test_218_INST12_868</v>
      </c>
      <c r="J227" s="13"/>
      <c r="K227" s="19" t="s">
        <v>425</v>
      </c>
      <c r="L227" s="13" t="str">
        <f t="shared" si="266"/>
        <v>Cust. Ref-868</v>
      </c>
      <c r="M227" s="15" t="s">
        <v>48</v>
      </c>
      <c r="N227" s="15" t="s">
        <v>425</v>
      </c>
      <c r="O227" s="13"/>
      <c r="P227" s="13" t="str">
        <f t="shared" si="267"/>
        <v>SN-868</v>
      </c>
      <c r="Q227" s="13" t="str">
        <f t="shared" si="268"/>
        <v>SI-868</v>
      </c>
      <c r="R227" s="13" t="str">
        <f t="shared" si="269"/>
        <v>SE-868</v>
      </c>
      <c r="S227" s="135" t="str">
        <f t="shared" si="270"/>
        <v>Prev_RA-868</v>
      </c>
      <c r="T227" s="135" t="str">
        <f t="shared" si="271"/>
        <v>Prev_Comms-868</v>
      </c>
      <c r="U227" s="15" t="s">
        <v>75</v>
      </c>
      <c r="V227" s="15" t="s">
        <v>401</v>
      </c>
      <c r="W227" s="15" t="s">
        <v>75</v>
      </c>
      <c r="X227" s="15" t="s">
        <v>1093</v>
      </c>
      <c r="Y227" s="13" t="str">
        <f t="shared" si="272"/>
        <v>Forward Add-868</v>
      </c>
      <c r="Z227" s="15" t="s">
        <v>401</v>
      </c>
      <c r="AA227" s="136" t="str">
        <f>'Run Parameters'!$B$2</f>
        <v>2018-08-13 08:00</v>
      </c>
      <c r="AB227" s="223" t="str">
        <f>'Run Parameters'!B$3</f>
        <v>2018-08-13 18:00</v>
      </c>
      <c r="AC227" s="26">
        <f>('Run Parameters'!$B$2) - 7</f>
        <v>43318.333333333336</v>
      </c>
      <c r="AD227" s="15" t="s">
        <v>75</v>
      </c>
      <c r="AE227" s="13" t="str">
        <f t="shared" si="273"/>
        <v>LAST_METER-868</v>
      </c>
      <c r="AF227" s="136" t="str">
        <f>'Run Parameters'!$B$2</f>
        <v>2018-08-13 08:00</v>
      </c>
      <c r="AG227" s="13" t="str">
        <f>'Run Parameters'!B$4</f>
        <v>AUTOTEST2</v>
      </c>
      <c r="AH227" s="135" t="str">
        <f t="shared" si="274"/>
        <v>Site_Contact_868</v>
      </c>
      <c r="AI227" s="136" t="str">
        <f>'Run Parameters'!B$2</f>
        <v>2018-08-13 08:00</v>
      </c>
      <c r="AJ227" s="223" t="str">
        <f>'Run Parameters'!B$3</f>
        <v>2018-08-13 18:00</v>
      </c>
      <c r="AK227" s="13" t="s">
        <v>1093</v>
      </c>
      <c r="AL227" s="135" t="str">
        <f t="shared" si="275"/>
        <v>01159868</v>
      </c>
      <c r="AM227" s="13" t="str">
        <f t="shared" si="276"/>
        <v>0115868</v>
      </c>
      <c r="AN227" s="15"/>
      <c r="AO227" s="15"/>
      <c r="AP227" s="13">
        <v>1</v>
      </c>
      <c r="AQ227" s="15" t="s">
        <v>49</v>
      </c>
      <c r="AR227" s="15"/>
      <c r="AS227" s="13"/>
      <c r="AT227" s="15" t="s">
        <v>1117</v>
      </c>
      <c r="AU227" s="15"/>
      <c r="AV227" s="13">
        <f t="shared" si="277"/>
        <v>868</v>
      </c>
      <c r="AW227" s="13" t="s">
        <v>1150</v>
      </c>
      <c r="AX227" s="13" t="s">
        <v>420</v>
      </c>
      <c r="AY227" s="13" t="s">
        <v>421</v>
      </c>
      <c r="AZ227" s="15" t="s">
        <v>334</v>
      </c>
      <c r="BA227" s="15" t="s">
        <v>154</v>
      </c>
      <c r="BB227" s="13">
        <v>1</v>
      </c>
      <c r="BC227" s="13">
        <f t="shared" si="278"/>
        <v>868</v>
      </c>
      <c r="BD227" s="15" t="s">
        <v>1151</v>
      </c>
      <c r="BE227" s="15" t="s">
        <v>391</v>
      </c>
      <c r="BF227" s="15" t="s">
        <v>390</v>
      </c>
      <c r="BG227" s="13" t="s">
        <v>1152</v>
      </c>
      <c r="BH227" s="13" t="str">
        <f t="shared" si="279"/>
        <v>868_1</v>
      </c>
      <c r="BI227" s="13"/>
      <c r="BJ227" s="13" t="str">
        <f t="shared" si="280"/>
        <v>10000000868</v>
      </c>
      <c r="BK227" s="15" t="s">
        <v>51</v>
      </c>
      <c r="BL227" s="15" t="s">
        <v>54</v>
      </c>
      <c r="BM227" s="13"/>
      <c r="BN227" s="15" t="s">
        <v>49</v>
      </c>
      <c r="BO227" s="13"/>
      <c r="BP227" s="15"/>
      <c r="BQ227" s="15"/>
      <c r="BR227" s="13"/>
      <c r="BS227" s="15"/>
      <c r="BT227" s="15"/>
      <c r="BU227" s="15"/>
      <c r="BV227" s="15"/>
      <c r="BW227" s="15"/>
      <c r="BX227" s="15"/>
      <c r="BY227" s="15"/>
      <c r="BZ227" s="15"/>
      <c r="CA227" s="15"/>
      <c r="CB227" s="15"/>
      <c r="CC227" s="15"/>
      <c r="CD227" s="15" t="s">
        <v>392</v>
      </c>
      <c r="CE227" s="15" t="s">
        <v>1093</v>
      </c>
      <c r="CF227" s="15" t="s">
        <v>398</v>
      </c>
      <c r="CG227" s="15" t="s">
        <v>1154</v>
      </c>
      <c r="CH227" s="15" t="s">
        <v>159</v>
      </c>
      <c r="CI227" s="13">
        <v>1</v>
      </c>
      <c r="CJ227" s="13" t="str">
        <f t="shared" si="281"/>
        <v>GAS_ENQ_NO-868</v>
      </c>
      <c r="CK227" s="15" t="s">
        <v>779</v>
      </c>
      <c r="CL227" s="15" t="s">
        <v>391</v>
      </c>
      <c r="CM227" s="15" t="s">
        <v>390</v>
      </c>
      <c r="CN227" s="13" t="s">
        <v>1106</v>
      </c>
      <c r="CO227" s="13" t="str">
        <f t="shared" si="282"/>
        <v>GAS_JOB_ID-868</v>
      </c>
      <c r="CP227" s="15"/>
      <c r="CQ227" s="13" t="str">
        <f t="shared" si="283"/>
        <v>10000868</v>
      </c>
      <c r="CR227" s="13"/>
      <c r="CS227" s="15" t="s">
        <v>49</v>
      </c>
      <c r="CT227" s="227"/>
      <c r="CU227" s="13"/>
      <c r="CV227" s="15"/>
      <c r="CW227" s="15"/>
      <c r="CX227" s="15"/>
      <c r="CY227" s="15"/>
      <c r="CZ227" s="15"/>
      <c r="DA227" s="15" t="s">
        <v>395</v>
      </c>
      <c r="DB227" s="13" t="str">
        <f t="shared" si="163"/>
        <v>GAS_INST_ID-868</v>
      </c>
      <c r="DC227" s="15"/>
      <c r="DD227" s="15"/>
      <c r="DE227" s="15"/>
      <c r="DF227" s="15"/>
      <c r="DG227" s="15"/>
      <c r="DH227" s="15" t="s">
        <v>397</v>
      </c>
      <c r="DI227" s="15" t="s">
        <v>399</v>
      </c>
      <c r="DJ227" s="15" t="s">
        <v>1105</v>
      </c>
      <c r="DK227" s="15" t="s">
        <v>140</v>
      </c>
      <c r="DL227" s="228"/>
      <c r="DM227" s="228"/>
      <c r="DN227" s="13" t="str">
        <f t="shared" si="164"/>
        <v>DS_Pass-868</v>
      </c>
      <c r="DO227" s="15"/>
      <c r="DP227" s="15"/>
      <c r="DQ227" s="15"/>
      <c r="DR227" s="13"/>
      <c r="DS227" s="13"/>
      <c r="DT227" s="15" t="s">
        <v>52</v>
      </c>
      <c r="DU227" s="15"/>
      <c r="DV227" s="15"/>
      <c r="DW227" s="13"/>
      <c r="DX227" s="15" t="s">
        <v>54</v>
      </c>
      <c r="DY227" s="15" t="s">
        <v>61</v>
      </c>
      <c r="DZ227" s="15" t="s">
        <v>402</v>
      </c>
      <c r="EA227" s="135" t="str">
        <f t="shared" si="284"/>
        <v>868CUSTOMER_ADDRESSINST12 ROADCUSTOMER_ADDRESSTESTINGHAMCUSTOMER_ADDRESSTESTINGHAMSHIRE</v>
      </c>
      <c r="EB227" s="15" t="s">
        <v>1105</v>
      </c>
      <c r="EC227" s="228"/>
      <c r="ED227" s="228"/>
      <c r="EE227" s="228"/>
    </row>
    <row r="228" spans="1:135" s="229" customFormat="1">
      <c r="A228" s="219" t="s">
        <v>1077</v>
      </c>
      <c r="B228" s="219" t="s">
        <v>892</v>
      </c>
      <c r="C228" s="219" t="s">
        <v>865</v>
      </c>
      <c r="D228" s="13">
        <f>'Run Parameters'!$B$1 + ROW()-1</f>
        <v>869</v>
      </c>
      <c r="E228" s="15" t="s">
        <v>47</v>
      </c>
      <c r="F228" s="13" t="s">
        <v>857</v>
      </c>
      <c r="G228" s="13" t="str">
        <f t="shared" ref="G228" si="285">("Access Dtls-" &amp; D228)</f>
        <v>Access Dtls-869</v>
      </c>
      <c r="H228" s="15" t="s">
        <v>275</v>
      </c>
      <c r="I228" s="13" t="str">
        <f>("MR. Test_227_EXCH9_"&amp;D228&amp;"")</f>
        <v>MR. Test_227_EXCH9_869</v>
      </c>
      <c r="J228" s="13"/>
      <c r="K228" s="19" t="s">
        <v>425</v>
      </c>
      <c r="L228" s="13" t="str">
        <f t="shared" ref="L228" si="286">("Cust. Ref-" &amp; D228)</f>
        <v>Cust. Ref-869</v>
      </c>
      <c r="M228" s="15" t="s">
        <v>48</v>
      </c>
      <c r="N228" s="15" t="s">
        <v>425</v>
      </c>
      <c r="O228" s="13"/>
      <c r="P228" s="13" t="str">
        <f t="shared" ref="P228" si="287">("SN-" &amp; D228)</f>
        <v>SN-869</v>
      </c>
      <c r="Q228" s="13" t="str">
        <f t="shared" ref="Q228" si="288">("SI-" &amp; D228)</f>
        <v>SI-869</v>
      </c>
      <c r="R228" s="13" t="str">
        <f t="shared" ref="R228" si="289">("SE-" &amp; D228)</f>
        <v>SE-869</v>
      </c>
      <c r="S228" s="135" t="str">
        <f t="shared" ref="S228" si="290">("Prev_RA-" &amp; D228)</f>
        <v>Prev_RA-869</v>
      </c>
      <c r="T228" s="135" t="str">
        <f t="shared" ref="T228" si="291">("Prev_Comms-" &amp; D228)</f>
        <v>Prev_Comms-869</v>
      </c>
      <c r="U228" s="15" t="s">
        <v>75</v>
      </c>
      <c r="V228" s="15" t="s">
        <v>401</v>
      </c>
      <c r="W228" s="15" t="s">
        <v>75</v>
      </c>
      <c r="X228" s="15" t="s">
        <v>396</v>
      </c>
      <c r="Y228" s="13" t="str">
        <f t="shared" ref="Y228" si="292">("Forward Add-" &amp; D228)</f>
        <v>Forward Add-869</v>
      </c>
      <c r="Z228" s="15" t="s">
        <v>401</v>
      </c>
      <c r="AA228" s="136" t="str">
        <f>'Run Parameters'!$B$2</f>
        <v>2018-08-13 08:00</v>
      </c>
      <c r="AB228" s="223" t="str">
        <f>'Run Parameters'!B$3</f>
        <v>2018-08-13 18:00</v>
      </c>
      <c r="AC228" s="26">
        <f>('Run Parameters'!$B$2) - 7</f>
        <v>43318.333333333336</v>
      </c>
      <c r="AD228" s="15" t="s">
        <v>75</v>
      </c>
      <c r="AE228" s="13" t="str">
        <f t="shared" ref="AE228" si="293">("LAST_METER-" &amp; D228)</f>
        <v>LAST_METER-869</v>
      </c>
      <c r="AF228" s="136" t="str">
        <f>'Run Parameters'!$B$2</f>
        <v>2018-08-13 08:00</v>
      </c>
      <c r="AG228" s="13" t="str">
        <f>'Run Parameters'!B$4</f>
        <v>AUTOTEST2</v>
      </c>
      <c r="AH228" s="135" t="str">
        <f t="shared" ref="AH228" si="294">("Site_Contact_" &amp; D228)</f>
        <v>Site_Contact_869</v>
      </c>
      <c r="AI228" s="136" t="str">
        <f>'Run Parameters'!B$2</f>
        <v>2018-08-13 08:00</v>
      </c>
      <c r="AJ228" s="223" t="str">
        <f>'Run Parameters'!B$3</f>
        <v>2018-08-13 18:00</v>
      </c>
      <c r="AK228" s="13" t="s">
        <v>396</v>
      </c>
      <c r="AL228" s="135" t="str">
        <f t="shared" ref="AL228" si="295">"01159" &amp; D228</f>
        <v>01159869</v>
      </c>
      <c r="AM228" s="13" t="str">
        <f t="shared" ref="AM228" si="296">("0115" &amp; D228)</f>
        <v>0115869</v>
      </c>
      <c r="AN228" s="15"/>
      <c r="AO228" s="15"/>
      <c r="AP228" s="13">
        <v>1</v>
      </c>
      <c r="AQ228" s="15" t="s">
        <v>49</v>
      </c>
      <c r="AR228" s="15"/>
      <c r="AS228" s="13"/>
      <c r="AT228" s="15" t="s">
        <v>400</v>
      </c>
      <c r="AU228" s="15"/>
      <c r="AV228" s="13">
        <f t="shared" ref="AV228" si="297">D228</f>
        <v>869</v>
      </c>
      <c r="AW228" s="13" t="s">
        <v>858</v>
      </c>
      <c r="AX228" s="13" t="s">
        <v>420</v>
      </c>
      <c r="AY228" s="13" t="s">
        <v>421</v>
      </c>
      <c r="AZ228" s="15" t="s">
        <v>334</v>
      </c>
      <c r="BA228" s="15" t="s">
        <v>154</v>
      </c>
      <c r="BB228" s="13">
        <v>1</v>
      </c>
      <c r="BC228" s="13">
        <f t="shared" ref="BC228" si="298">D228</f>
        <v>869</v>
      </c>
      <c r="BD228" s="15" t="s">
        <v>962</v>
      </c>
      <c r="BE228" s="15" t="s">
        <v>390</v>
      </c>
      <c r="BF228" s="15" t="s">
        <v>391</v>
      </c>
      <c r="BG228" s="13" t="s">
        <v>857</v>
      </c>
      <c r="BH228" s="13" t="str">
        <f t="shared" ref="BH228" si="299">BC228&amp;"_"&amp;BB228</f>
        <v>869_1</v>
      </c>
      <c r="BI228" s="13"/>
      <c r="BJ228" s="13" t="str">
        <f t="shared" ref="BJ228" si="300">"10000000" &amp; D228</f>
        <v>10000000869</v>
      </c>
      <c r="BK228" s="15" t="s">
        <v>51</v>
      </c>
      <c r="BL228" s="15" t="s">
        <v>54</v>
      </c>
      <c r="BM228" s="13" t="s">
        <v>277</v>
      </c>
      <c r="BN228" s="15" t="s">
        <v>51</v>
      </c>
      <c r="BO228" s="13" t="str">
        <f t="shared" ref="BO228" si="301">"S05S" &amp; D228</f>
        <v>S05S869</v>
      </c>
      <c r="BP228" s="15" t="s">
        <v>392</v>
      </c>
      <c r="BQ228" s="15" t="s">
        <v>392</v>
      </c>
      <c r="BR228" s="13" t="s">
        <v>159</v>
      </c>
      <c r="BS228" s="15" t="s">
        <v>963</v>
      </c>
      <c r="BT228" s="15" t="s">
        <v>964</v>
      </c>
      <c r="BU228" s="15" t="s">
        <v>393</v>
      </c>
      <c r="BV228" s="15" t="s">
        <v>51</v>
      </c>
      <c r="BW228" s="15" t="s">
        <v>154</v>
      </c>
      <c r="BX228" s="15"/>
      <c r="BY228" s="15"/>
      <c r="BZ228" s="15" t="s">
        <v>157</v>
      </c>
      <c r="CA228" s="15" t="s">
        <v>269</v>
      </c>
      <c r="CB228" s="15" t="s">
        <v>51</v>
      </c>
      <c r="CC228" s="15" t="s">
        <v>965</v>
      </c>
      <c r="CD228" s="15" t="s">
        <v>392</v>
      </c>
      <c r="CE228" s="15" t="s">
        <v>396</v>
      </c>
      <c r="CF228" s="15" t="s">
        <v>398</v>
      </c>
      <c r="CG228" s="15" t="s">
        <v>856</v>
      </c>
      <c r="CH228" s="15" t="s">
        <v>159</v>
      </c>
      <c r="CI228" s="13">
        <v>1</v>
      </c>
      <c r="CJ228" s="13" t="str">
        <f t="shared" ref="CJ228" si="302">("GAS_ENQ_NO-" &amp; D228)</f>
        <v>GAS_ENQ_NO-869</v>
      </c>
      <c r="CK228" s="15" t="s">
        <v>779</v>
      </c>
      <c r="CL228" s="15" t="s">
        <v>391</v>
      </c>
      <c r="CM228" s="15" t="s">
        <v>390</v>
      </c>
      <c r="CN228" s="13" t="s">
        <v>780</v>
      </c>
      <c r="CO228" s="13" t="str">
        <f t="shared" ref="CO228" si="303">("GAS_JOB_ID-" &amp; D228)</f>
        <v>GAS_JOB_ID-869</v>
      </c>
      <c r="CP228" s="15"/>
      <c r="CQ228" s="13" t="str">
        <f t="shared" ref="CQ228" si="304">"10000" &amp; D228</f>
        <v>10000869</v>
      </c>
      <c r="CR228" s="13" t="s">
        <v>154</v>
      </c>
      <c r="CS228" s="15" t="s">
        <v>51</v>
      </c>
      <c r="CT228" s="227" t="str">
        <f t="shared" ref="CT228" si="305">"GMETER" &amp; D228</f>
        <v>GMETER869</v>
      </c>
      <c r="CU228" s="13" t="s">
        <v>161</v>
      </c>
      <c r="CV228" s="15" t="s">
        <v>165</v>
      </c>
      <c r="CW228" s="15" t="s">
        <v>414</v>
      </c>
      <c r="CX228" s="15"/>
      <c r="CY228" s="15"/>
      <c r="CZ228" s="15" t="s">
        <v>394</v>
      </c>
      <c r="DA228" s="15" t="s">
        <v>395</v>
      </c>
      <c r="DB228" s="13" t="str">
        <f t="shared" si="163"/>
        <v>GAS_INST_ID-869</v>
      </c>
      <c r="DC228" s="15" t="s">
        <v>161</v>
      </c>
      <c r="DD228" s="15"/>
      <c r="DE228" s="15" t="s">
        <v>51</v>
      </c>
      <c r="DF228" s="15" t="s">
        <v>264</v>
      </c>
      <c r="DG228" s="15"/>
      <c r="DH228" s="15" t="s">
        <v>397</v>
      </c>
      <c r="DI228" s="15" t="s">
        <v>399</v>
      </c>
      <c r="DJ228" s="15" t="s">
        <v>856</v>
      </c>
      <c r="DK228" s="15" t="s">
        <v>140</v>
      </c>
      <c r="DL228" s="228"/>
      <c r="DM228" s="228"/>
      <c r="DN228" s="13" t="str">
        <f t="shared" si="164"/>
        <v>DS_Pass-869</v>
      </c>
      <c r="DO228" s="15"/>
      <c r="DP228" s="15"/>
      <c r="DQ228" s="15"/>
      <c r="DR228" s="13"/>
      <c r="DS228" s="13"/>
      <c r="DT228" s="15" t="s">
        <v>52</v>
      </c>
      <c r="DU228" s="15"/>
      <c r="DV228" s="15"/>
      <c r="DW228" s="13"/>
      <c r="DX228" s="15" t="s">
        <v>54</v>
      </c>
      <c r="DY228" s="15" t="s">
        <v>61</v>
      </c>
      <c r="DZ228" s="15" t="s">
        <v>402</v>
      </c>
      <c r="EA228" s="135" t="str">
        <f t="shared" ref="EA228" si="306">CONCATENATE(AV228, $EA$1, AW228, $EA$1, AX228, $EA$1, AY228)</f>
        <v>869CUSTOMER_ADDRESSEXCH9 ROADCUSTOMER_ADDRESSTESTINGHAMCUSTOMER_ADDRESSTESTINGHAMSHIRE</v>
      </c>
      <c r="EB228" s="15" t="s">
        <v>856</v>
      </c>
      <c r="EC228" s="228"/>
      <c r="ED228" s="228"/>
      <c r="EE228" s="228"/>
    </row>
    <row r="229" spans="1:135" s="189" customFormat="1">
      <c r="A229" s="178"/>
      <c r="B229" s="178"/>
      <c r="C229" s="178"/>
      <c r="D229" s="175"/>
      <c r="E229" s="176"/>
      <c r="F229" s="177"/>
      <c r="G229" s="175"/>
      <c r="H229" s="176"/>
      <c r="I229" s="175"/>
      <c r="J229" s="177"/>
      <c r="K229" s="178"/>
      <c r="L229" s="175"/>
      <c r="M229" s="176"/>
      <c r="N229" s="176"/>
      <c r="O229" s="175"/>
      <c r="P229" s="175"/>
      <c r="Q229" s="175"/>
      <c r="R229" s="175"/>
      <c r="S229" s="179"/>
      <c r="T229" s="179"/>
      <c r="U229" s="176"/>
      <c r="V229" s="176"/>
      <c r="W229" s="176"/>
      <c r="X229" s="176"/>
      <c r="Y229" s="175"/>
      <c r="Z229" s="176"/>
      <c r="AA229" s="180"/>
      <c r="AB229" s="181"/>
      <c r="AC229" s="182"/>
      <c r="AD229" s="176"/>
      <c r="AE229" s="177"/>
      <c r="AF229" s="181"/>
      <c r="AG229" s="175"/>
      <c r="AH229" s="179"/>
      <c r="AI229" s="181"/>
      <c r="AJ229" s="223"/>
      <c r="AK229" s="175"/>
      <c r="AL229" s="179"/>
      <c r="AM229" s="175"/>
      <c r="AN229" s="176"/>
      <c r="AO229" s="195"/>
      <c r="AP229" s="175"/>
      <c r="AQ229" s="183"/>
      <c r="AR229" s="176"/>
      <c r="AS229" s="175"/>
      <c r="AT229" s="184"/>
      <c r="AU229" s="184"/>
      <c r="AV229" s="175"/>
      <c r="AW229" s="175"/>
      <c r="AX229" s="175"/>
      <c r="AY229" s="175"/>
      <c r="AZ229" s="176"/>
      <c r="BA229" s="184"/>
      <c r="BB229" s="175"/>
      <c r="BC229" s="177"/>
      <c r="BD229" s="184"/>
      <c r="BE229" s="184"/>
      <c r="BF229" s="184"/>
      <c r="BG229" s="177"/>
      <c r="BH229" s="177"/>
      <c r="BI229" s="175"/>
      <c r="BJ229" s="175"/>
      <c r="BK229" s="184"/>
      <c r="BL229" s="184"/>
      <c r="BM229" s="177"/>
      <c r="BN229" s="184"/>
      <c r="BO229" s="177"/>
      <c r="BP229" s="184"/>
      <c r="BQ229" s="184"/>
      <c r="BR229" s="177"/>
      <c r="BS229" s="184"/>
      <c r="BT229" s="184"/>
      <c r="BU229" s="184"/>
      <c r="BV229" s="184"/>
      <c r="BW229" s="184"/>
      <c r="BX229" s="184"/>
      <c r="BY229" s="184"/>
      <c r="BZ229" s="184"/>
      <c r="CA229" s="184"/>
      <c r="CB229" s="184"/>
      <c r="CC229" s="184"/>
      <c r="CD229" s="184"/>
      <c r="CE229" s="184"/>
      <c r="CF229" s="184"/>
      <c r="CG229" s="184"/>
      <c r="CH229" s="184"/>
      <c r="CI229" s="177"/>
      <c r="CJ229" s="177"/>
      <c r="CK229" s="184"/>
      <c r="CL229" s="184"/>
      <c r="CM229" s="184"/>
      <c r="CN229" s="177"/>
      <c r="CO229" s="177"/>
      <c r="CP229" s="184"/>
      <c r="CQ229" s="177"/>
      <c r="CR229" s="177"/>
      <c r="CS229" s="184"/>
      <c r="CT229" s="186"/>
      <c r="CU229" s="177"/>
      <c r="CV229" s="184"/>
      <c r="CW229" s="184"/>
      <c r="CX229" s="184"/>
      <c r="CY229" s="184"/>
      <c r="CZ229" s="184"/>
      <c r="DA229" s="184"/>
      <c r="DB229" s="177"/>
      <c r="DC229" s="184"/>
      <c r="DD229" s="184"/>
      <c r="DE229" s="184"/>
      <c r="DF229" s="184"/>
      <c r="DG229" s="184"/>
      <c r="DH229" s="184"/>
      <c r="DI229" s="184"/>
      <c r="DJ229" s="187"/>
      <c r="DK229" s="184"/>
      <c r="DL229" s="176"/>
      <c r="DM229" s="176"/>
      <c r="DN229" s="177"/>
      <c r="DO229" s="176"/>
      <c r="DP229" s="176"/>
      <c r="DQ229" s="176"/>
      <c r="DR229" s="175"/>
      <c r="DS229" s="175"/>
      <c r="DT229" s="176"/>
      <c r="DU229" s="176"/>
      <c r="DV229" s="176"/>
      <c r="DW229" s="175"/>
      <c r="DX229" s="176"/>
      <c r="DY229" s="176"/>
      <c r="DZ229" s="184"/>
      <c r="EA229" s="179"/>
      <c r="EB229" s="184"/>
      <c r="EC229" s="184"/>
      <c r="ED229" s="184"/>
      <c r="EE229" s="188"/>
    </row>
    <row r="230" spans="1:135" s="189" customFormat="1">
      <c r="A230" s="178"/>
      <c r="B230" s="178"/>
      <c r="C230" s="178"/>
      <c r="D230" s="175">
        <f>'Run Parameters'!$B$1 + ROW()-1</f>
        <v>871</v>
      </c>
      <c r="E230" s="176" t="s">
        <v>47</v>
      </c>
      <c r="F230" s="177" t="s">
        <v>766</v>
      </c>
      <c r="G230" s="175" t="str">
        <f t="shared" ref="G230:G240" si="307">("Access Dtls-" &amp; D230)</f>
        <v>Access Dtls-871</v>
      </c>
      <c r="H230" s="176" t="s">
        <v>275</v>
      </c>
      <c r="I230" s="175" t="str">
        <f>("MR. Test_"&amp; AV230 &amp;"_EXCH3")</f>
        <v>MR. Test_871_EXCH3</v>
      </c>
      <c r="J230" s="177"/>
      <c r="K230" s="178" t="s">
        <v>425</v>
      </c>
      <c r="L230" s="175" t="str">
        <f t="shared" ref="L230:L240" si="308">("Cust. Ref-" &amp; D230)</f>
        <v>Cust. Ref-871</v>
      </c>
      <c r="M230" s="176" t="s">
        <v>48</v>
      </c>
      <c r="N230" s="176" t="s">
        <v>425</v>
      </c>
      <c r="O230" s="175"/>
      <c r="P230" s="175" t="str">
        <f t="shared" ref="P230:P240" si="309">("SN-" &amp; D230)</f>
        <v>SN-871</v>
      </c>
      <c r="Q230" s="175" t="str">
        <f t="shared" ref="Q230:Q240" si="310">("SI-" &amp; D230)</f>
        <v>SI-871</v>
      </c>
      <c r="R230" s="175" t="str">
        <f t="shared" ref="R230:R240" si="311">("SE-" &amp; D230)</f>
        <v>SE-871</v>
      </c>
      <c r="S230" s="179" t="str">
        <f t="shared" ref="S230:S240" si="312">("Prev_RA-" &amp; D230)</f>
        <v>Prev_RA-871</v>
      </c>
      <c r="T230" s="179" t="str">
        <f t="shared" ref="T230:T240" si="313">("Prev_Comms-" &amp; D230)</f>
        <v>Prev_Comms-871</v>
      </c>
      <c r="U230" s="176" t="s">
        <v>75</v>
      </c>
      <c r="V230" s="176" t="s">
        <v>401</v>
      </c>
      <c r="W230" s="176" t="s">
        <v>75</v>
      </c>
      <c r="X230" s="176" t="s">
        <v>396</v>
      </c>
      <c r="Y230" s="175" t="str">
        <f t="shared" ref="Y230:Y240" si="314">("Forward Add-" &amp; D230)</f>
        <v>Forward Add-871</v>
      </c>
      <c r="Z230" s="176" t="s">
        <v>401</v>
      </c>
      <c r="AA230" s="180" t="str">
        <f>'Run Parameters'!$B$2</f>
        <v>2018-08-13 08:00</v>
      </c>
      <c r="AB230" s="180" t="str">
        <f>'Run Parameters'!B$3</f>
        <v>2018-08-13 18:00</v>
      </c>
      <c r="AC230" s="182">
        <f>('Run Parameters'!$B$2) - 7</f>
        <v>43318.333333333336</v>
      </c>
      <c r="AD230" s="176" t="s">
        <v>75</v>
      </c>
      <c r="AE230" s="177" t="str">
        <f t="shared" ref="AE230:AE240" si="315">("LAST_METER-" &amp; D230)</f>
        <v>LAST_METER-871</v>
      </c>
      <c r="AF230" s="180" t="str">
        <f>'Run Parameters'!$B$2</f>
        <v>2018-08-13 08:00</v>
      </c>
      <c r="AG230" s="175" t="str">
        <f>'Run Parameters'!B$4</f>
        <v>AUTOTEST2</v>
      </c>
      <c r="AH230" s="179" t="str">
        <f t="shared" ref="AH230:AH240" si="316">("Site_Contact_" &amp; D230)</f>
        <v>Site_Contact_871</v>
      </c>
      <c r="AI230" s="180" t="str">
        <f>'Run Parameters'!B$2</f>
        <v>2018-08-13 08:00</v>
      </c>
      <c r="AJ230" s="225" t="str">
        <f>'Run Parameters'!B$3</f>
        <v>2018-08-13 18:00</v>
      </c>
      <c r="AK230" s="175" t="s">
        <v>396</v>
      </c>
      <c r="AL230" s="179" t="str">
        <f t="shared" ref="AL230:AL240" si="317">"01159" &amp; D230</f>
        <v>01159871</v>
      </c>
      <c r="AM230" s="175" t="str">
        <f t="shared" ref="AM230:AM240" si="318">("0115" &amp; D230)</f>
        <v>0115871</v>
      </c>
      <c r="AN230" s="176"/>
      <c r="AO230" s="195"/>
      <c r="AP230" s="175">
        <v>1</v>
      </c>
      <c r="AQ230" s="183" t="s">
        <v>49</v>
      </c>
      <c r="AR230" s="176"/>
      <c r="AS230" s="175"/>
      <c r="AT230" s="184" t="s">
        <v>400</v>
      </c>
      <c r="AU230" s="184"/>
      <c r="AV230" s="175">
        <f t="shared" ref="AV230:AV240" si="319">D230</f>
        <v>871</v>
      </c>
      <c r="AW230" s="175" t="s">
        <v>767</v>
      </c>
      <c r="AX230" s="175" t="s">
        <v>420</v>
      </c>
      <c r="AY230" s="175" t="s">
        <v>421</v>
      </c>
      <c r="AZ230" s="176" t="s">
        <v>334</v>
      </c>
      <c r="BA230" s="184" t="s">
        <v>154</v>
      </c>
      <c r="BB230" s="175">
        <v>1</v>
      </c>
      <c r="BC230" s="177">
        <f t="shared" ref="BC230:BC240" si="320">D230</f>
        <v>871</v>
      </c>
      <c r="BD230" s="184" t="s">
        <v>768</v>
      </c>
      <c r="BE230" s="184" t="s">
        <v>391</v>
      </c>
      <c r="BF230" s="184" t="s">
        <v>391</v>
      </c>
      <c r="BG230" s="177" t="s">
        <v>766</v>
      </c>
      <c r="BH230" s="177" t="str">
        <f t="shared" ref="BH230:BH240" si="321">BC230&amp;"_"&amp;BB230</f>
        <v>871_1</v>
      </c>
      <c r="BI230" s="175"/>
      <c r="BJ230" s="175" t="str">
        <f t="shared" ref="BJ230:BJ240" si="322">"10000000" &amp; D230</f>
        <v>10000000871</v>
      </c>
      <c r="BK230" s="184" t="s">
        <v>51</v>
      </c>
      <c r="BL230" s="184" t="s">
        <v>54</v>
      </c>
      <c r="BM230" s="177" t="s">
        <v>769</v>
      </c>
      <c r="BN230" s="184" t="s">
        <v>51</v>
      </c>
      <c r="BO230" s="177" t="str">
        <f t="shared" ref="BO230:BO240" si="323">"S05S" &amp; D230</f>
        <v>S05S871</v>
      </c>
      <c r="BP230" s="184" t="s">
        <v>770</v>
      </c>
      <c r="BQ230" s="184" t="s">
        <v>770</v>
      </c>
      <c r="BR230" s="177" t="s">
        <v>161</v>
      </c>
      <c r="BS230" s="184" t="s">
        <v>50</v>
      </c>
      <c r="BT230" s="184" t="s">
        <v>47</v>
      </c>
      <c r="BU230" s="184" t="s">
        <v>393</v>
      </c>
      <c r="BV230" s="184" t="s">
        <v>51</v>
      </c>
      <c r="BW230" s="184" t="s">
        <v>154</v>
      </c>
      <c r="BX230" s="184"/>
      <c r="BY230" s="184"/>
      <c r="BZ230" s="184" t="s">
        <v>157</v>
      </c>
      <c r="CA230" s="184" t="s">
        <v>269</v>
      </c>
      <c r="CB230" s="184" t="s">
        <v>412</v>
      </c>
      <c r="CC230" s="184" t="s">
        <v>771</v>
      </c>
      <c r="CD230" s="184" t="s">
        <v>392</v>
      </c>
      <c r="CE230" s="184" t="s">
        <v>396</v>
      </c>
      <c r="CF230" s="184" t="s">
        <v>398</v>
      </c>
      <c r="CG230" s="184" t="s">
        <v>267</v>
      </c>
      <c r="CH230" s="184" t="s">
        <v>159</v>
      </c>
      <c r="CI230" s="177">
        <v>1</v>
      </c>
      <c r="CJ230" s="177" t="str">
        <f>("GAS_ENQ_NO-" &amp; D230)</f>
        <v>GAS_ENQ_NO-871</v>
      </c>
      <c r="CK230" s="184" t="s">
        <v>165</v>
      </c>
      <c r="CL230" s="184" t="s">
        <v>391</v>
      </c>
      <c r="CM230" s="184" t="s">
        <v>391</v>
      </c>
      <c r="CN230" s="177" t="s">
        <v>278</v>
      </c>
      <c r="CO230" s="177" t="str">
        <f>("GAS_JOB_ID-" &amp; D230)</f>
        <v>GAS_JOB_ID-871</v>
      </c>
      <c r="CP230" s="184"/>
      <c r="CQ230" s="177" t="str">
        <f>"10000" &amp; D230</f>
        <v>10000871</v>
      </c>
      <c r="CR230" s="177" t="s">
        <v>154</v>
      </c>
      <c r="CS230" s="184" t="s">
        <v>51</v>
      </c>
      <c r="CT230" s="186" t="str">
        <f>"GMETER" &amp; D230</f>
        <v>GMETER871</v>
      </c>
      <c r="CU230" s="177" t="s">
        <v>161</v>
      </c>
      <c r="CV230" s="184" t="s">
        <v>165</v>
      </c>
      <c r="CW230" s="184" t="s">
        <v>772</v>
      </c>
      <c r="CX230" s="184"/>
      <c r="CY230" s="184"/>
      <c r="CZ230" s="184" t="s">
        <v>394</v>
      </c>
      <c r="DA230" s="184" t="s">
        <v>395</v>
      </c>
      <c r="DB230" s="177" t="str">
        <f>("GAS_INST_ID-" &amp; $D230)</f>
        <v>GAS_INST_ID-871</v>
      </c>
      <c r="DC230" s="184" t="s">
        <v>161</v>
      </c>
      <c r="DD230" s="184"/>
      <c r="DE230" s="184" t="s">
        <v>51</v>
      </c>
      <c r="DF230" s="184" t="s">
        <v>264</v>
      </c>
      <c r="DG230" s="184"/>
      <c r="DH230" s="184" t="s">
        <v>397</v>
      </c>
      <c r="DI230" s="184" t="s">
        <v>399</v>
      </c>
      <c r="DJ230" s="187" t="s">
        <v>267</v>
      </c>
      <c r="DK230" s="184" t="s">
        <v>140</v>
      </c>
      <c r="DL230" s="176"/>
      <c r="DM230" s="176"/>
      <c r="DN230" s="177" t="str">
        <f>("DS_Pass-" &amp; $D230)</f>
        <v>DS_Pass-871</v>
      </c>
      <c r="DO230" s="176"/>
      <c r="DP230" s="176"/>
      <c r="DQ230" s="176"/>
      <c r="DR230" s="175"/>
      <c r="DS230" s="175"/>
      <c r="DT230" s="176"/>
      <c r="DU230" s="176"/>
      <c r="DV230" s="176"/>
      <c r="DW230" s="175"/>
      <c r="DX230" s="176"/>
      <c r="DY230" s="176"/>
      <c r="DZ230" s="184" t="s">
        <v>770</v>
      </c>
      <c r="EA230" s="179"/>
      <c r="EB230" s="184"/>
      <c r="EC230" s="184"/>
      <c r="ED230" s="184"/>
      <c r="EE230" s="188"/>
    </row>
    <row r="231" spans="1:135" s="189" customFormat="1">
      <c r="A231" s="178"/>
      <c r="B231" s="178"/>
      <c r="C231" s="178"/>
      <c r="D231" s="175">
        <f>'Run Parameters'!$B$1 + ROW()-1</f>
        <v>872</v>
      </c>
      <c r="E231" s="176" t="s">
        <v>47</v>
      </c>
      <c r="F231" s="177" t="s">
        <v>766</v>
      </c>
      <c r="G231" s="175" t="str">
        <f t="shared" si="307"/>
        <v>Access Dtls-872</v>
      </c>
      <c r="H231" s="176" t="s">
        <v>275</v>
      </c>
      <c r="I231" s="175" t="str">
        <f>("MR. Test_"&amp; AV231 &amp;"_EXCH3")</f>
        <v>MR. Test_872_EXCH3</v>
      </c>
      <c r="J231" s="177"/>
      <c r="K231" s="178" t="s">
        <v>425</v>
      </c>
      <c r="L231" s="175" t="str">
        <f t="shared" si="308"/>
        <v>Cust. Ref-872</v>
      </c>
      <c r="M231" s="176" t="s">
        <v>48</v>
      </c>
      <c r="N231" s="176" t="s">
        <v>425</v>
      </c>
      <c r="O231" s="175"/>
      <c r="P231" s="175" t="str">
        <f t="shared" si="309"/>
        <v>SN-872</v>
      </c>
      <c r="Q231" s="175" t="str">
        <f t="shared" si="310"/>
        <v>SI-872</v>
      </c>
      <c r="R231" s="175" t="str">
        <f t="shared" si="311"/>
        <v>SE-872</v>
      </c>
      <c r="S231" s="179" t="str">
        <f t="shared" si="312"/>
        <v>Prev_RA-872</v>
      </c>
      <c r="T231" s="179" t="str">
        <f t="shared" si="313"/>
        <v>Prev_Comms-872</v>
      </c>
      <c r="U231" s="176" t="s">
        <v>75</v>
      </c>
      <c r="V231" s="176" t="s">
        <v>401</v>
      </c>
      <c r="W231" s="176" t="s">
        <v>75</v>
      </c>
      <c r="X231" s="176" t="s">
        <v>396</v>
      </c>
      <c r="Y231" s="175" t="str">
        <f t="shared" si="314"/>
        <v>Forward Add-872</v>
      </c>
      <c r="Z231" s="176" t="s">
        <v>401</v>
      </c>
      <c r="AA231" s="180" t="str">
        <f>'Run Parameters'!$B$2</f>
        <v>2018-08-13 08:00</v>
      </c>
      <c r="AB231" s="180" t="str">
        <f>'Run Parameters'!B$3</f>
        <v>2018-08-13 18:00</v>
      </c>
      <c r="AC231" s="182">
        <f>('Run Parameters'!$B$2) - 7</f>
        <v>43318.333333333336</v>
      </c>
      <c r="AD231" s="176" t="s">
        <v>75</v>
      </c>
      <c r="AE231" s="177" t="str">
        <f t="shared" si="315"/>
        <v>LAST_METER-872</v>
      </c>
      <c r="AF231" s="180" t="str">
        <f>'Run Parameters'!$B$2</f>
        <v>2018-08-13 08:00</v>
      </c>
      <c r="AG231" s="175" t="str">
        <f>'Run Parameters'!B$4</f>
        <v>AUTOTEST2</v>
      </c>
      <c r="AH231" s="179" t="str">
        <f t="shared" si="316"/>
        <v>Site_Contact_872</v>
      </c>
      <c r="AI231" s="180" t="str">
        <f>'Run Parameters'!B$2</f>
        <v>2018-08-13 08:00</v>
      </c>
      <c r="AJ231" s="225" t="str">
        <f>'Run Parameters'!B$3</f>
        <v>2018-08-13 18:00</v>
      </c>
      <c r="AK231" s="175" t="s">
        <v>396</v>
      </c>
      <c r="AL231" s="179" t="str">
        <f t="shared" si="317"/>
        <v>01159872</v>
      </c>
      <c r="AM231" s="175" t="str">
        <f t="shared" si="318"/>
        <v>0115872</v>
      </c>
      <c r="AN231" s="176"/>
      <c r="AO231" s="195"/>
      <c r="AP231" s="175">
        <v>1</v>
      </c>
      <c r="AQ231" s="183" t="s">
        <v>49</v>
      </c>
      <c r="AR231" s="176"/>
      <c r="AS231" s="175"/>
      <c r="AT231" s="184" t="s">
        <v>400</v>
      </c>
      <c r="AU231" s="184"/>
      <c r="AV231" s="175">
        <f t="shared" si="319"/>
        <v>872</v>
      </c>
      <c r="AW231" s="175" t="s">
        <v>767</v>
      </c>
      <c r="AX231" s="175" t="s">
        <v>420</v>
      </c>
      <c r="AY231" s="175" t="s">
        <v>421</v>
      </c>
      <c r="AZ231" s="176" t="s">
        <v>334</v>
      </c>
      <c r="BA231" s="184" t="s">
        <v>154</v>
      </c>
      <c r="BB231" s="175">
        <v>1</v>
      </c>
      <c r="BC231" s="177">
        <f t="shared" si="320"/>
        <v>872</v>
      </c>
      <c r="BD231" s="184" t="s">
        <v>768</v>
      </c>
      <c r="BE231" s="184" t="s">
        <v>391</v>
      </c>
      <c r="BF231" s="184" t="s">
        <v>391</v>
      </c>
      <c r="BG231" s="177" t="s">
        <v>766</v>
      </c>
      <c r="BH231" s="177" t="str">
        <f t="shared" si="321"/>
        <v>872_1</v>
      </c>
      <c r="BI231" s="175"/>
      <c r="BJ231" s="175" t="str">
        <f t="shared" si="322"/>
        <v>10000000872</v>
      </c>
      <c r="BK231" s="184" t="s">
        <v>51</v>
      </c>
      <c r="BL231" s="184" t="s">
        <v>54</v>
      </c>
      <c r="BM231" s="177" t="s">
        <v>769</v>
      </c>
      <c r="BN231" s="184" t="s">
        <v>51</v>
      </c>
      <c r="BO231" s="177" t="str">
        <f t="shared" si="323"/>
        <v>S05S872</v>
      </c>
      <c r="BP231" s="184" t="s">
        <v>770</v>
      </c>
      <c r="BQ231" s="184" t="s">
        <v>770</v>
      </c>
      <c r="BR231" s="177" t="s">
        <v>161</v>
      </c>
      <c r="BS231" s="184" t="s">
        <v>50</v>
      </c>
      <c r="BT231" s="184" t="s">
        <v>47</v>
      </c>
      <c r="BU231" s="184" t="s">
        <v>393</v>
      </c>
      <c r="BV231" s="184" t="s">
        <v>51</v>
      </c>
      <c r="BW231" s="184" t="s">
        <v>154</v>
      </c>
      <c r="BX231" s="184"/>
      <c r="BY231" s="184"/>
      <c r="BZ231" s="184" t="s">
        <v>157</v>
      </c>
      <c r="CA231" s="184" t="s">
        <v>269</v>
      </c>
      <c r="CB231" s="184" t="s">
        <v>412</v>
      </c>
      <c r="CC231" s="184" t="s">
        <v>771</v>
      </c>
      <c r="CD231" s="184" t="s">
        <v>392</v>
      </c>
      <c r="CE231" s="184" t="s">
        <v>396</v>
      </c>
      <c r="CF231" s="184" t="s">
        <v>398</v>
      </c>
      <c r="CG231" s="184" t="s">
        <v>267</v>
      </c>
      <c r="CH231" s="184" t="s">
        <v>159</v>
      </c>
      <c r="CI231" s="177">
        <v>1</v>
      </c>
      <c r="CJ231" s="177" t="str">
        <f>("GAS_ENQ_NO-" &amp; D231)</f>
        <v>GAS_ENQ_NO-872</v>
      </c>
      <c r="CK231" s="184" t="s">
        <v>165</v>
      </c>
      <c r="CL231" s="184" t="s">
        <v>391</v>
      </c>
      <c r="CM231" s="184" t="s">
        <v>391</v>
      </c>
      <c r="CN231" s="177" t="s">
        <v>278</v>
      </c>
      <c r="CO231" s="177" t="str">
        <f>("GAS_JOB_ID-" &amp; D231)</f>
        <v>GAS_JOB_ID-872</v>
      </c>
      <c r="CP231" s="184"/>
      <c r="CQ231" s="177" t="str">
        <f>"10000" &amp; D231</f>
        <v>10000872</v>
      </c>
      <c r="CR231" s="177" t="s">
        <v>154</v>
      </c>
      <c r="CS231" s="184" t="s">
        <v>51</v>
      </c>
      <c r="CT231" s="186" t="str">
        <f>"GMETER" &amp; D231</f>
        <v>GMETER872</v>
      </c>
      <c r="CU231" s="177" t="s">
        <v>161</v>
      </c>
      <c r="CV231" s="184" t="s">
        <v>165</v>
      </c>
      <c r="CW231" s="184" t="s">
        <v>772</v>
      </c>
      <c r="CX231" s="184"/>
      <c r="CY231" s="184"/>
      <c r="CZ231" s="184" t="s">
        <v>394</v>
      </c>
      <c r="DA231" s="184" t="s">
        <v>395</v>
      </c>
      <c r="DB231" s="177" t="str">
        <f>("GAS_INST_ID-" &amp; $D231)</f>
        <v>GAS_INST_ID-872</v>
      </c>
      <c r="DC231" s="184" t="s">
        <v>161</v>
      </c>
      <c r="DD231" s="184"/>
      <c r="DE231" s="184" t="s">
        <v>51</v>
      </c>
      <c r="DF231" s="184" t="s">
        <v>264</v>
      </c>
      <c r="DG231" s="184"/>
      <c r="DH231" s="184" t="s">
        <v>397</v>
      </c>
      <c r="DI231" s="184" t="s">
        <v>399</v>
      </c>
      <c r="DJ231" s="187" t="s">
        <v>267</v>
      </c>
      <c r="DK231" s="184" t="s">
        <v>140</v>
      </c>
      <c r="DL231" s="176"/>
      <c r="DM231" s="176"/>
      <c r="DN231" s="177" t="str">
        <f>("DS_Pass-" &amp; $D231)</f>
        <v>DS_Pass-872</v>
      </c>
      <c r="DO231" s="176"/>
      <c r="DP231" s="176"/>
      <c r="DQ231" s="176"/>
      <c r="DR231" s="175"/>
      <c r="DS231" s="175"/>
      <c r="DT231" s="176"/>
      <c r="DU231" s="176"/>
      <c r="DV231" s="176"/>
      <c r="DW231" s="175"/>
      <c r="DX231" s="176"/>
      <c r="DY231" s="176"/>
      <c r="DZ231" s="184" t="s">
        <v>770</v>
      </c>
      <c r="EA231" s="179"/>
      <c r="EB231" s="184"/>
      <c r="EC231" s="184"/>
      <c r="ED231" s="184"/>
      <c r="EE231" s="188"/>
    </row>
    <row r="232" spans="1:135" s="189" customFormat="1">
      <c r="A232" s="178"/>
      <c r="B232" s="178"/>
      <c r="C232" s="178"/>
      <c r="D232" s="175">
        <f>'Run Parameters'!$B$1 + ROW()-1</f>
        <v>873</v>
      </c>
      <c r="E232" s="176" t="s">
        <v>47</v>
      </c>
      <c r="F232" s="177" t="s">
        <v>766</v>
      </c>
      <c r="G232" s="175" t="str">
        <f t="shared" si="307"/>
        <v>Access Dtls-873</v>
      </c>
      <c r="H232" s="176" t="s">
        <v>275</v>
      </c>
      <c r="I232" s="175" t="str">
        <f>("MR. Test_"&amp; AV232 &amp;"_EXCH3")</f>
        <v>MR. Test_873_EXCH3</v>
      </c>
      <c r="J232" s="177"/>
      <c r="K232" s="178" t="s">
        <v>425</v>
      </c>
      <c r="L232" s="175" t="str">
        <f t="shared" si="308"/>
        <v>Cust. Ref-873</v>
      </c>
      <c r="M232" s="176" t="s">
        <v>48</v>
      </c>
      <c r="N232" s="176" t="s">
        <v>425</v>
      </c>
      <c r="O232" s="175"/>
      <c r="P232" s="175" t="str">
        <f t="shared" si="309"/>
        <v>SN-873</v>
      </c>
      <c r="Q232" s="175" t="str">
        <f t="shared" si="310"/>
        <v>SI-873</v>
      </c>
      <c r="R232" s="175" t="str">
        <f t="shared" si="311"/>
        <v>SE-873</v>
      </c>
      <c r="S232" s="179" t="str">
        <f t="shared" si="312"/>
        <v>Prev_RA-873</v>
      </c>
      <c r="T232" s="179" t="str">
        <f t="shared" si="313"/>
        <v>Prev_Comms-873</v>
      </c>
      <c r="U232" s="176" t="s">
        <v>75</v>
      </c>
      <c r="V232" s="176" t="s">
        <v>844</v>
      </c>
      <c r="W232" s="176" t="s">
        <v>75</v>
      </c>
      <c r="X232" s="176" t="s">
        <v>396</v>
      </c>
      <c r="Y232" s="175" t="str">
        <f t="shared" si="314"/>
        <v>Forward Add-873</v>
      </c>
      <c r="Z232" s="176" t="s">
        <v>844</v>
      </c>
      <c r="AA232" s="180" t="str">
        <f>'Run Parameters'!$B$2</f>
        <v>2018-08-13 08:00</v>
      </c>
      <c r="AB232" s="180" t="str">
        <f>'Run Parameters'!B$3</f>
        <v>2018-08-13 18:00</v>
      </c>
      <c r="AC232" s="182">
        <f>('Run Parameters'!$B$2) - 7</f>
        <v>43318.333333333336</v>
      </c>
      <c r="AD232" s="176" t="s">
        <v>75</v>
      </c>
      <c r="AE232" s="177" t="str">
        <f t="shared" si="315"/>
        <v>LAST_METER-873</v>
      </c>
      <c r="AF232" s="180" t="str">
        <f>'Run Parameters'!$B$2</f>
        <v>2018-08-13 08:00</v>
      </c>
      <c r="AG232" s="175" t="str">
        <f>'Run Parameters'!B$4</f>
        <v>AUTOTEST2</v>
      </c>
      <c r="AH232" s="179" t="str">
        <f t="shared" si="316"/>
        <v>Site_Contact_873</v>
      </c>
      <c r="AI232" s="180" t="str">
        <f>'Run Parameters'!B$2</f>
        <v>2018-08-13 08:00</v>
      </c>
      <c r="AJ232" s="225" t="str">
        <f>'Run Parameters'!B$3</f>
        <v>2018-08-13 18:00</v>
      </c>
      <c r="AK232" s="175" t="s">
        <v>396</v>
      </c>
      <c r="AL232" s="179" t="str">
        <f t="shared" si="317"/>
        <v>01159873</v>
      </c>
      <c r="AM232" s="175" t="str">
        <f t="shared" si="318"/>
        <v>0115873</v>
      </c>
      <c r="AN232" s="176"/>
      <c r="AO232" s="195"/>
      <c r="AP232" s="175">
        <v>2</v>
      </c>
      <c r="AQ232" s="183" t="s">
        <v>51</v>
      </c>
      <c r="AR232" s="176"/>
      <c r="AS232" s="175"/>
      <c r="AT232" s="184" t="s">
        <v>845</v>
      </c>
      <c r="AU232" s="184"/>
      <c r="AV232" s="175">
        <f t="shared" si="319"/>
        <v>873</v>
      </c>
      <c r="AW232" s="175" t="s">
        <v>767</v>
      </c>
      <c r="AX232" s="175" t="s">
        <v>420</v>
      </c>
      <c r="AY232" s="175" t="s">
        <v>421</v>
      </c>
      <c r="AZ232" s="176" t="s">
        <v>334</v>
      </c>
      <c r="BA232" s="184" t="s">
        <v>154</v>
      </c>
      <c r="BB232" s="175">
        <v>2</v>
      </c>
      <c r="BC232" s="177">
        <f t="shared" si="320"/>
        <v>873</v>
      </c>
      <c r="BD232" s="184" t="s">
        <v>768</v>
      </c>
      <c r="BE232" s="184" t="s">
        <v>391</v>
      </c>
      <c r="BF232" s="184" t="s">
        <v>391</v>
      </c>
      <c r="BG232" s="177" t="s">
        <v>766</v>
      </c>
      <c r="BH232" s="177" t="str">
        <f t="shared" si="321"/>
        <v>873_2</v>
      </c>
      <c r="BI232" s="175"/>
      <c r="BJ232" s="175" t="str">
        <f t="shared" si="322"/>
        <v>10000000873</v>
      </c>
      <c r="BK232" s="184" t="s">
        <v>65</v>
      </c>
      <c r="BL232" s="184" t="s">
        <v>846</v>
      </c>
      <c r="BM232" s="177" t="s">
        <v>847</v>
      </c>
      <c r="BN232" s="184" t="s">
        <v>65</v>
      </c>
      <c r="BO232" s="177" t="str">
        <f t="shared" si="323"/>
        <v>S05S873</v>
      </c>
      <c r="BP232" s="184" t="s">
        <v>770</v>
      </c>
      <c r="BQ232" s="184" t="s">
        <v>770</v>
      </c>
      <c r="BR232" s="177" t="s">
        <v>161</v>
      </c>
      <c r="BS232" s="184" t="s">
        <v>202</v>
      </c>
      <c r="BT232" s="184" t="s">
        <v>47</v>
      </c>
      <c r="BU232" s="184" t="s">
        <v>848</v>
      </c>
      <c r="BV232" s="184" t="s">
        <v>65</v>
      </c>
      <c r="BW232" s="184" t="s">
        <v>154</v>
      </c>
      <c r="BX232" s="184"/>
      <c r="BY232" s="184"/>
      <c r="BZ232" s="184" t="s">
        <v>157</v>
      </c>
      <c r="CA232" s="184" t="s">
        <v>849</v>
      </c>
      <c r="CB232" s="184" t="s">
        <v>850</v>
      </c>
      <c r="CC232" s="184" t="s">
        <v>851</v>
      </c>
      <c r="CD232" s="184" t="s">
        <v>392</v>
      </c>
      <c r="CE232" s="184" t="s">
        <v>396</v>
      </c>
      <c r="CF232" s="184" t="s">
        <v>398</v>
      </c>
      <c r="CG232" s="184" t="s">
        <v>852</v>
      </c>
      <c r="CH232" s="184" t="s">
        <v>159</v>
      </c>
      <c r="CI232" s="177">
        <v>2</v>
      </c>
      <c r="CJ232" s="177" t="str">
        <f>("GAS_ENQ_NO-" &amp; D232)</f>
        <v>GAS_ENQ_NO-873</v>
      </c>
      <c r="CK232" s="184" t="s">
        <v>853</v>
      </c>
      <c r="CL232" s="184" t="s">
        <v>391</v>
      </c>
      <c r="CM232" s="184" t="s">
        <v>391</v>
      </c>
      <c r="CN232" s="177" t="s">
        <v>278</v>
      </c>
      <c r="CO232" s="177" t="str">
        <f>("GAS_JOB_ID-" &amp; D232)</f>
        <v>GAS_JOB_ID-873</v>
      </c>
      <c r="CP232" s="184"/>
      <c r="CQ232" s="177" t="str">
        <f>"10000" &amp; D232</f>
        <v>10000873</v>
      </c>
      <c r="CR232" s="177" t="s">
        <v>154</v>
      </c>
      <c r="CS232" s="184" t="s">
        <v>65</v>
      </c>
      <c r="CT232" s="186" t="str">
        <f>"GMETER" &amp; D232</f>
        <v>GMETER873</v>
      </c>
      <c r="CU232" s="177" t="s">
        <v>161</v>
      </c>
      <c r="CV232" s="184" t="s">
        <v>853</v>
      </c>
      <c r="CW232" s="184" t="s">
        <v>772</v>
      </c>
      <c r="CX232" s="184"/>
      <c r="CY232" s="184"/>
      <c r="CZ232" s="184" t="s">
        <v>394</v>
      </c>
      <c r="DA232" s="184" t="s">
        <v>395</v>
      </c>
      <c r="DB232" s="177" t="str">
        <f>("GAS_INST_ID-" &amp; $D232)</f>
        <v>GAS_INST_ID-873</v>
      </c>
      <c r="DC232" s="184" t="s">
        <v>161</v>
      </c>
      <c r="DD232" s="184"/>
      <c r="DE232" s="184" t="s">
        <v>65</v>
      </c>
      <c r="DF232" s="184" t="s">
        <v>854</v>
      </c>
      <c r="DG232" s="184"/>
      <c r="DH232" s="184" t="s">
        <v>397</v>
      </c>
      <c r="DI232" s="184" t="s">
        <v>399</v>
      </c>
      <c r="DJ232" s="187" t="s">
        <v>852</v>
      </c>
      <c r="DK232" s="184" t="s">
        <v>140</v>
      </c>
      <c r="DL232" s="176"/>
      <c r="DM232" s="176"/>
      <c r="DN232" s="177" t="str">
        <f>("DS_Pass-" &amp; $D232)</f>
        <v>DS_Pass-873</v>
      </c>
      <c r="DO232" s="176"/>
      <c r="DP232" s="176"/>
      <c r="DQ232" s="176"/>
      <c r="DR232" s="175"/>
      <c r="DS232" s="175"/>
      <c r="DT232" s="176"/>
      <c r="DU232" s="176"/>
      <c r="DV232" s="176"/>
      <c r="DW232" s="175"/>
      <c r="DX232" s="176"/>
      <c r="DY232" s="176"/>
      <c r="DZ232" s="184" t="s">
        <v>770</v>
      </c>
      <c r="EA232" s="179"/>
      <c r="EB232" s="184"/>
      <c r="EC232" s="184"/>
      <c r="ED232" s="184"/>
      <c r="EE232" s="188"/>
    </row>
    <row r="233" spans="1:135" s="189" customFormat="1">
      <c r="A233" s="178"/>
      <c r="B233" s="178"/>
      <c r="C233" s="178"/>
      <c r="D233" s="175">
        <f>'Run Parameters'!$B$1 + ROW()-1</f>
        <v>874</v>
      </c>
      <c r="E233" s="176" t="s">
        <v>47</v>
      </c>
      <c r="F233" s="177" t="s">
        <v>831</v>
      </c>
      <c r="G233" s="175" t="str">
        <f t="shared" si="307"/>
        <v>Access Dtls-874</v>
      </c>
      <c r="H233" s="176" t="s">
        <v>332</v>
      </c>
      <c r="I233" s="175" t="str">
        <f>("MR. Test_"&amp; AV233 &amp;"_EXCH1")</f>
        <v>MR. Test_874_EXCH1</v>
      </c>
      <c r="J233" s="175"/>
      <c r="K233" s="178" t="s">
        <v>425</v>
      </c>
      <c r="L233" s="175" t="str">
        <f t="shared" si="308"/>
        <v>Cust. Ref-874</v>
      </c>
      <c r="M233" s="176" t="s">
        <v>48</v>
      </c>
      <c r="N233" s="176" t="s">
        <v>425</v>
      </c>
      <c r="O233" s="175"/>
      <c r="P233" s="175" t="str">
        <f t="shared" si="309"/>
        <v>SN-874</v>
      </c>
      <c r="Q233" s="175" t="str">
        <f t="shared" si="310"/>
        <v>SI-874</v>
      </c>
      <c r="R233" s="175" t="str">
        <f t="shared" si="311"/>
        <v>SE-874</v>
      </c>
      <c r="S233" s="179" t="str">
        <f t="shared" si="312"/>
        <v>Prev_RA-874</v>
      </c>
      <c r="T233" s="179" t="str">
        <f t="shared" si="313"/>
        <v>Prev_Comms-874</v>
      </c>
      <c r="U233" s="176" t="s">
        <v>75</v>
      </c>
      <c r="V233" s="176" t="s">
        <v>401</v>
      </c>
      <c r="W233" s="176" t="s">
        <v>75</v>
      </c>
      <c r="X233" s="176" t="s">
        <v>396</v>
      </c>
      <c r="Y233" s="175" t="str">
        <f t="shared" si="314"/>
        <v>Forward Add-874</v>
      </c>
      <c r="Z233" s="176" t="s">
        <v>401</v>
      </c>
      <c r="AA233" s="180" t="str">
        <f>'Run Parameters'!$B$2</f>
        <v>2018-08-13 08:00</v>
      </c>
      <c r="AB233" s="180" t="str">
        <f>'Run Parameters'!B$3</f>
        <v>2018-08-13 18:00</v>
      </c>
      <c r="AC233" s="182">
        <f>('Run Parameters'!$B$2) - 7</f>
        <v>43318.333333333336</v>
      </c>
      <c r="AD233" s="176" t="s">
        <v>75</v>
      </c>
      <c r="AE233" s="177" t="str">
        <f t="shared" si="315"/>
        <v>LAST_METER-874</v>
      </c>
      <c r="AF233" s="180" t="str">
        <f>'Run Parameters'!$B$2</f>
        <v>2018-08-13 08:00</v>
      </c>
      <c r="AG233" s="175" t="str">
        <f>'Run Parameters'!B$4</f>
        <v>AUTOTEST2</v>
      </c>
      <c r="AH233" s="179" t="str">
        <f t="shared" si="316"/>
        <v>Site_Contact_874</v>
      </c>
      <c r="AI233" s="180" t="str">
        <f>'Run Parameters'!B$2</f>
        <v>2018-08-13 08:00</v>
      </c>
      <c r="AJ233" s="225" t="str">
        <f>'Run Parameters'!B$3</f>
        <v>2018-08-13 18:00</v>
      </c>
      <c r="AK233" s="175" t="s">
        <v>396</v>
      </c>
      <c r="AL233" s="179" t="str">
        <f t="shared" si="317"/>
        <v>01159874</v>
      </c>
      <c r="AM233" s="175" t="str">
        <f t="shared" si="318"/>
        <v>0115874</v>
      </c>
      <c r="AN233" s="176"/>
      <c r="AO233" s="176"/>
      <c r="AP233" s="175">
        <v>1</v>
      </c>
      <c r="AQ233" s="183" t="s">
        <v>49</v>
      </c>
      <c r="AR233" s="176"/>
      <c r="AS233" s="175"/>
      <c r="AT233" s="184" t="s">
        <v>832</v>
      </c>
      <c r="AU233" s="184"/>
      <c r="AV233" s="175">
        <f t="shared" si="319"/>
        <v>874</v>
      </c>
      <c r="AW233" s="175" t="s">
        <v>833</v>
      </c>
      <c r="AX233" s="175" t="s">
        <v>420</v>
      </c>
      <c r="AY233" s="175" t="s">
        <v>421</v>
      </c>
      <c r="AZ233" s="176" t="s">
        <v>333</v>
      </c>
      <c r="BA233" s="176" t="s">
        <v>154</v>
      </c>
      <c r="BB233" s="175">
        <v>1</v>
      </c>
      <c r="BC233" s="177">
        <f t="shared" si="320"/>
        <v>874</v>
      </c>
      <c r="BD233" s="185" t="s">
        <v>834</v>
      </c>
      <c r="BE233" s="176" t="s">
        <v>391</v>
      </c>
      <c r="BF233" s="176" t="s">
        <v>391</v>
      </c>
      <c r="BG233" s="175" t="s">
        <v>831</v>
      </c>
      <c r="BH233" s="177" t="str">
        <f t="shared" si="321"/>
        <v>874_1</v>
      </c>
      <c r="BI233" s="175"/>
      <c r="BJ233" s="175" t="str">
        <f t="shared" si="322"/>
        <v>10000000874</v>
      </c>
      <c r="BK233" s="176" t="s">
        <v>51</v>
      </c>
      <c r="BL233" s="176" t="s">
        <v>405</v>
      </c>
      <c r="BM233" s="175" t="s">
        <v>411</v>
      </c>
      <c r="BN233" s="176"/>
      <c r="BO233" s="177" t="str">
        <f t="shared" si="323"/>
        <v>S05S874</v>
      </c>
      <c r="BP233" s="176" t="s">
        <v>409</v>
      </c>
      <c r="BQ233" s="176" t="s">
        <v>409</v>
      </c>
      <c r="BR233" s="175" t="s">
        <v>159</v>
      </c>
      <c r="BS233" s="176" t="s">
        <v>50</v>
      </c>
      <c r="BT233" s="184" t="s">
        <v>157</v>
      </c>
      <c r="BU233" s="176" t="s">
        <v>835</v>
      </c>
      <c r="BV233" s="176" t="s">
        <v>51</v>
      </c>
      <c r="BW233" s="176" t="s">
        <v>154</v>
      </c>
      <c r="BX233" s="176"/>
      <c r="BY233" s="176"/>
      <c r="BZ233" s="176" t="s">
        <v>157</v>
      </c>
      <c r="CA233" s="176" t="s">
        <v>269</v>
      </c>
      <c r="CB233" s="184" t="s">
        <v>412</v>
      </c>
      <c r="CC233" s="184" t="s">
        <v>771</v>
      </c>
      <c r="CD233" s="184" t="s">
        <v>392</v>
      </c>
      <c r="CE233" s="184" t="s">
        <v>396</v>
      </c>
      <c r="CF233" s="184" t="s">
        <v>398</v>
      </c>
      <c r="CG233" s="185" t="s">
        <v>836</v>
      </c>
      <c r="CH233" s="184" t="s">
        <v>159</v>
      </c>
      <c r="CI233" s="177">
        <v>1</v>
      </c>
      <c r="CJ233" s="177" t="str">
        <f>("GAS_ENQ_NO-" &amp; D233)</f>
        <v>GAS_ENQ_NO-874</v>
      </c>
      <c r="CK233" s="184" t="s">
        <v>165</v>
      </c>
      <c r="CL233" s="184" t="s">
        <v>391</v>
      </c>
      <c r="CM233" s="184" t="s">
        <v>391</v>
      </c>
      <c r="CN233" s="177" t="s">
        <v>837</v>
      </c>
      <c r="CO233" s="177" t="str">
        <f>("GAS_JOB_ID-" &amp; D233)</f>
        <v>GAS_JOB_ID-874</v>
      </c>
      <c r="CP233" s="184"/>
      <c r="CQ233" s="177" t="str">
        <f>"10000" &amp; D233</f>
        <v>10000874</v>
      </c>
      <c r="CR233" s="177" t="s">
        <v>154</v>
      </c>
      <c r="CS233" s="184" t="s">
        <v>51</v>
      </c>
      <c r="CT233" s="186" t="str">
        <f>"GMETER" &amp; D233</f>
        <v>GMETER874</v>
      </c>
      <c r="CU233" s="177" t="s">
        <v>161</v>
      </c>
      <c r="CV233" s="184" t="s">
        <v>165</v>
      </c>
      <c r="CW233" s="184" t="s">
        <v>772</v>
      </c>
      <c r="CX233" s="184"/>
      <c r="CY233" s="184"/>
      <c r="CZ233" s="184" t="s">
        <v>394</v>
      </c>
      <c r="DA233" s="184" t="s">
        <v>395</v>
      </c>
      <c r="DB233" s="177" t="str">
        <f>("GAS_INST_ID-" &amp; $D233)</f>
        <v>GAS_INST_ID-874</v>
      </c>
      <c r="DC233" s="184" t="s">
        <v>161</v>
      </c>
      <c r="DD233" s="184"/>
      <c r="DE233" s="184" t="s">
        <v>51</v>
      </c>
      <c r="DF233" s="184" t="s">
        <v>264</v>
      </c>
      <c r="DG233" s="184"/>
      <c r="DH233" s="184" t="s">
        <v>397</v>
      </c>
      <c r="DI233" s="184" t="s">
        <v>399</v>
      </c>
      <c r="DJ233" s="187" t="s">
        <v>836</v>
      </c>
      <c r="DK233" s="184" t="s">
        <v>140</v>
      </c>
      <c r="DL233" s="176"/>
      <c r="DM233" s="176"/>
      <c r="DN233" s="177" t="str">
        <f t="shared" ref="DN233:DN240" si="324">("DS_Pass-" &amp; $D233)</f>
        <v>DS_Pass-874</v>
      </c>
      <c r="DO233" s="176"/>
      <c r="DP233" s="176"/>
      <c r="DQ233" s="176"/>
      <c r="DR233" s="175"/>
      <c r="DS233" s="175"/>
      <c r="DT233" s="176"/>
      <c r="DU233" s="176"/>
      <c r="DV233" s="176"/>
      <c r="DW233" s="175"/>
      <c r="DX233" s="176"/>
      <c r="DY233" s="176"/>
      <c r="DZ233" s="176" t="s">
        <v>409</v>
      </c>
      <c r="EA233" s="179"/>
      <c r="EB233" s="176"/>
      <c r="EC233" s="176"/>
      <c r="ED233" s="185"/>
      <c r="EE233" s="188"/>
    </row>
    <row r="234" spans="1:135" s="189" customFormat="1">
      <c r="A234" s="178"/>
      <c r="B234" s="178"/>
      <c r="C234" s="178"/>
      <c r="D234" s="175">
        <f>'Run Parameters'!$B$1 + ROW()-1</f>
        <v>875</v>
      </c>
      <c r="E234" s="176" t="s">
        <v>47</v>
      </c>
      <c r="F234" s="177" t="s">
        <v>831</v>
      </c>
      <c r="G234" s="175" t="str">
        <f t="shared" si="307"/>
        <v>Access Dtls-875</v>
      </c>
      <c r="H234" s="176" t="s">
        <v>332</v>
      </c>
      <c r="I234" s="175" t="str">
        <f>("MR. Test_"&amp; AV234 &amp;"_EXCH1")</f>
        <v>MR. Test_875_EXCH1</v>
      </c>
      <c r="J234" s="175"/>
      <c r="K234" s="178" t="s">
        <v>425</v>
      </c>
      <c r="L234" s="175" t="str">
        <f t="shared" si="308"/>
        <v>Cust. Ref-875</v>
      </c>
      <c r="M234" s="176" t="s">
        <v>48</v>
      </c>
      <c r="N234" s="176" t="s">
        <v>425</v>
      </c>
      <c r="O234" s="175"/>
      <c r="P234" s="175" t="str">
        <f t="shared" si="309"/>
        <v>SN-875</v>
      </c>
      <c r="Q234" s="175" t="str">
        <f t="shared" si="310"/>
        <v>SI-875</v>
      </c>
      <c r="R234" s="175" t="str">
        <f t="shared" si="311"/>
        <v>SE-875</v>
      </c>
      <c r="S234" s="179" t="str">
        <f t="shared" si="312"/>
        <v>Prev_RA-875</v>
      </c>
      <c r="T234" s="179" t="str">
        <f t="shared" si="313"/>
        <v>Prev_Comms-875</v>
      </c>
      <c r="U234" s="176" t="s">
        <v>75</v>
      </c>
      <c r="V234" s="176" t="s">
        <v>401</v>
      </c>
      <c r="W234" s="176" t="s">
        <v>75</v>
      </c>
      <c r="X234" s="176" t="s">
        <v>396</v>
      </c>
      <c r="Y234" s="175" t="str">
        <f t="shared" si="314"/>
        <v>Forward Add-875</v>
      </c>
      <c r="Z234" s="176" t="s">
        <v>401</v>
      </c>
      <c r="AA234" s="180" t="str">
        <f>'Run Parameters'!$B$2</f>
        <v>2018-08-13 08:00</v>
      </c>
      <c r="AB234" s="180" t="str">
        <f>'Run Parameters'!B$3</f>
        <v>2018-08-13 18:00</v>
      </c>
      <c r="AC234" s="182">
        <f>('Run Parameters'!$B$2) - 7</f>
        <v>43318.333333333336</v>
      </c>
      <c r="AD234" s="176" t="s">
        <v>75</v>
      </c>
      <c r="AE234" s="177" t="str">
        <f t="shared" si="315"/>
        <v>LAST_METER-875</v>
      </c>
      <c r="AF234" s="180" t="str">
        <f>'Run Parameters'!$B$2</f>
        <v>2018-08-13 08:00</v>
      </c>
      <c r="AG234" s="175" t="str">
        <f>'Run Parameters'!B$4</f>
        <v>AUTOTEST2</v>
      </c>
      <c r="AH234" s="179" t="str">
        <f t="shared" si="316"/>
        <v>Site_Contact_875</v>
      </c>
      <c r="AI234" s="180" t="str">
        <f>'Run Parameters'!B$2</f>
        <v>2018-08-13 08:00</v>
      </c>
      <c r="AJ234" s="225" t="str">
        <f>'Run Parameters'!B$3</f>
        <v>2018-08-13 18:00</v>
      </c>
      <c r="AK234" s="175" t="s">
        <v>396</v>
      </c>
      <c r="AL234" s="179" t="str">
        <f t="shared" si="317"/>
        <v>01159875</v>
      </c>
      <c r="AM234" s="175" t="str">
        <f t="shared" si="318"/>
        <v>0115875</v>
      </c>
      <c r="AN234" s="176"/>
      <c r="AO234" s="176"/>
      <c r="AP234" s="175">
        <v>1</v>
      </c>
      <c r="AQ234" s="183" t="s">
        <v>49</v>
      </c>
      <c r="AR234" s="176"/>
      <c r="AS234" s="175"/>
      <c r="AT234" s="184" t="s">
        <v>832</v>
      </c>
      <c r="AU234" s="184"/>
      <c r="AV234" s="175">
        <f t="shared" si="319"/>
        <v>875</v>
      </c>
      <c r="AW234" s="175" t="s">
        <v>833</v>
      </c>
      <c r="AX234" s="175" t="s">
        <v>420</v>
      </c>
      <c r="AY234" s="175" t="s">
        <v>421</v>
      </c>
      <c r="AZ234" s="176" t="s">
        <v>333</v>
      </c>
      <c r="BA234" s="176" t="s">
        <v>154</v>
      </c>
      <c r="BB234" s="175">
        <v>1</v>
      </c>
      <c r="BC234" s="177">
        <f t="shared" si="320"/>
        <v>875</v>
      </c>
      <c r="BD234" s="185" t="s">
        <v>834</v>
      </c>
      <c r="BE234" s="176" t="s">
        <v>391</v>
      </c>
      <c r="BF234" s="176" t="s">
        <v>391</v>
      </c>
      <c r="BG234" s="175" t="s">
        <v>831</v>
      </c>
      <c r="BH234" s="177" t="str">
        <f t="shared" si="321"/>
        <v>875_1</v>
      </c>
      <c r="BI234" s="175"/>
      <c r="BJ234" s="175" t="str">
        <f t="shared" si="322"/>
        <v>10000000875</v>
      </c>
      <c r="BK234" s="176" t="s">
        <v>51</v>
      </c>
      <c r="BL234" s="176" t="s">
        <v>405</v>
      </c>
      <c r="BM234" s="175" t="s">
        <v>411</v>
      </c>
      <c r="BN234" s="176"/>
      <c r="BO234" s="177" t="str">
        <f t="shared" si="323"/>
        <v>S05S875</v>
      </c>
      <c r="BP234" s="176" t="s">
        <v>409</v>
      </c>
      <c r="BQ234" s="176" t="s">
        <v>409</v>
      </c>
      <c r="BR234" s="175" t="s">
        <v>159</v>
      </c>
      <c r="BS234" s="176" t="s">
        <v>50</v>
      </c>
      <c r="BT234" s="184" t="s">
        <v>157</v>
      </c>
      <c r="BU234" s="176" t="s">
        <v>835</v>
      </c>
      <c r="BV234" s="176" t="s">
        <v>51</v>
      </c>
      <c r="BW234" s="176" t="s">
        <v>154</v>
      </c>
      <c r="BX234" s="176"/>
      <c r="BY234" s="176"/>
      <c r="BZ234" s="176" t="s">
        <v>157</v>
      </c>
      <c r="CA234" s="176" t="s">
        <v>269</v>
      </c>
      <c r="CB234" s="184" t="s">
        <v>412</v>
      </c>
      <c r="CC234" s="184" t="s">
        <v>771</v>
      </c>
      <c r="CD234" s="184" t="s">
        <v>392</v>
      </c>
      <c r="CE234" s="184" t="s">
        <v>396</v>
      </c>
      <c r="CF234" s="184" t="s">
        <v>398</v>
      </c>
      <c r="CG234" s="185" t="s">
        <v>836</v>
      </c>
      <c r="CH234" s="184" t="s">
        <v>159</v>
      </c>
      <c r="CI234" s="177">
        <v>1</v>
      </c>
      <c r="CJ234" s="177" t="str">
        <f>("GAS_ENQ_NO-" &amp; D234)</f>
        <v>GAS_ENQ_NO-875</v>
      </c>
      <c r="CK234" s="184" t="s">
        <v>165</v>
      </c>
      <c r="CL234" s="184" t="s">
        <v>391</v>
      </c>
      <c r="CM234" s="184" t="s">
        <v>391</v>
      </c>
      <c r="CN234" s="177" t="s">
        <v>837</v>
      </c>
      <c r="CO234" s="177" t="str">
        <f>("GAS_JOB_ID-" &amp; D234)</f>
        <v>GAS_JOB_ID-875</v>
      </c>
      <c r="CP234" s="184"/>
      <c r="CQ234" s="177" t="str">
        <f>"10000" &amp; D234</f>
        <v>10000875</v>
      </c>
      <c r="CR234" s="177" t="s">
        <v>154</v>
      </c>
      <c r="CS234" s="184" t="s">
        <v>51</v>
      </c>
      <c r="CT234" s="186" t="str">
        <f>"GMETER" &amp; D234</f>
        <v>GMETER875</v>
      </c>
      <c r="CU234" s="177" t="s">
        <v>161</v>
      </c>
      <c r="CV234" s="184" t="s">
        <v>165</v>
      </c>
      <c r="CW234" s="184" t="s">
        <v>772</v>
      </c>
      <c r="CX234" s="184"/>
      <c r="CY234" s="184"/>
      <c r="CZ234" s="184" t="s">
        <v>394</v>
      </c>
      <c r="DA234" s="184" t="s">
        <v>395</v>
      </c>
      <c r="DB234" s="177" t="str">
        <f>("GAS_INST_ID-" &amp; $D234)</f>
        <v>GAS_INST_ID-875</v>
      </c>
      <c r="DC234" s="184" t="s">
        <v>161</v>
      </c>
      <c r="DD234" s="184"/>
      <c r="DE234" s="184" t="s">
        <v>51</v>
      </c>
      <c r="DF234" s="184" t="s">
        <v>264</v>
      </c>
      <c r="DG234" s="184"/>
      <c r="DH234" s="184" t="s">
        <v>397</v>
      </c>
      <c r="DI234" s="184" t="s">
        <v>399</v>
      </c>
      <c r="DJ234" s="187" t="s">
        <v>836</v>
      </c>
      <c r="DK234" s="184" t="s">
        <v>140</v>
      </c>
      <c r="DL234" s="176"/>
      <c r="DM234" s="176"/>
      <c r="DN234" s="177" t="str">
        <f t="shared" si="324"/>
        <v>DS_Pass-875</v>
      </c>
      <c r="DO234" s="176"/>
      <c r="DP234" s="176"/>
      <c r="DQ234" s="176"/>
      <c r="DR234" s="175"/>
      <c r="DS234" s="175"/>
      <c r="DT234" s="176"/>
      <c r="DU234" s="176"/>
      <c r="DV234" s="176"/>
      <c r="DW234" s="175"/>
      <c r="DX234" s="176"/>
      <c r="DY234" s="176"/>
      <c r="DZ234" s="176" t="s">
        <v>409</v>
      </c>
      <c r="EA234" s="179"/>
      <c r="EB234" s="176"/>
      <c r="EC234" s="176"/>
      <c r="ED234" s="185"/>
      <c r="EE234" s="188"/>
    </row>
    <row r="235" spans="1:135" s="209" customFormat="1">
      <c r="A235" s="199"/>
      <c r="B235" s="199"/>
      <c r="C235" s="199"/>
      <c r="D235" s="196">
        <f>'Run Parameters'!$B$1 + ROW()-1</f>
        <v>876</v>
      </c>
      <c r="E235" s="197" t="s">
        <v>47</v>
      </c>
      <c r="F235" s="198" t="s">
        <v>403</v>
      </c>
      <c r="G235" s="196" t="str">
        <f t="shared" si="307"/>
        <v>Access Dtls-876</v>
      </c>
      <c r="H235" s="197" t="s">
        <v>275</v>
      </c>
      <c r="I235" s="196" t="str">
        <f>("MR. Test_"&amp; AV235 &amp;"_EXCH2")</f>
        <v>MR. Test_876_EXCH2</v>
      </c>
      <c r="J235" s="198"/>
      <c r="K235" s="199" t="s">
        <v>425</v>
      </c>
      <c r="L235" s="196" t="str">
        <f t="shared" si="308"/>
        <v>Cust. Ref-876</v>
      </c>
      <c r="M235" s="197" t="s">
        <v>48</v>
      </c>
      <c r="N235" s="197" t="s">
        <v>425</v>
      </c>
      <c r="O235" s="196"/>
      <c r="P235" s="196" t="str">
        <f t="shared" si="309"/>
        <v>SN-876</v>
      </c>
      <c r="Q235" s="196" t="str">
        <f t="shared" si="310"/>
        <v>SI-876</v>
      </c>
      <c r="R235" s="196" t="str">
        <f t="shared" si="311"/>
        <v>SE-876</v>
      </c>
      <c r="S235" s="200" t="str">
        <f t="shared" si="312"/>
        <v>Prev_RA-876</v>
      </c>
      <c r="T235" s="200" t="str">
        <f t="shared" si="313"/>
        <v>Prev_Comms-876</v>
      </c>
      <c r="U235" s="197" t="s">
        <v>75</v>
      </c>
      <c r="V235" s="197" t="s">
        <v>401</v>
      </c>
      <c r="W235" s="197" t="s">
        <v>75</v>
      </c>
      <c r="X235" s="197" t="s">
        <v>396</v>
      </c>
      <c r="Y235" s="196" t="str">
        <f t="shared" si="314"/>
        <v>Forward Add-876</v>
      </c>
      <c r="Z235" s="197" t="s">
        <v>401</v>
      </c>
      <c r="AA235" s="201" t="str">
        <f>'Run Parameters'!$B$2</f>
        <v>2018-08-13 08:00</v>
      </c>
      <c r="AB235" s="201" t="str">
        <f>'Run Parameters'!B$3</f>
        <v>2018-08-13 18:00</v>
      </c>
      <c r="AC235" s="202">
        <f>('Run Parameters'!$B$2) - 7</f>
        <v>43318.333333333336</v>
      </c>
      <c r="AD235" s="197" t="s">
        <v>75</v>
      </c>
      <c r="AE235" s="198" t="str">
        <f t="shared" si="315"/>
        <v>LAST_METER-876</v>
      </c>
      <c r="AF235" s="201" t="str">
        <f>'Run Parameters'!$B$2</f>
        <v>2018-08-13 08:00</v>
      </c>
      <c r="AG235" s="196" t="str">
        <f>'Run Parameters'!B$4</f>
        <v>AUTOTEST2</v>
      </c>
      <c r="AH235" s="200" t="str">
        <f t="shared" si="316"/>
        <v>Site_Contact_876</v>
      </c>
      <c r="AI235" s="201" t="str">
        <f>'Run Parameters'!B$2</f>
        <v>2018-08-13 08:00</v>
      </c>
      <c r="AJ235" s="224" t="str">
        <f>'Run Parameters'!B$3</f>
        <v>2018-08-13 18:00</v>
      </c>
      <c r="AK235" s="196" t="s">
        <v>396</v>
      </c>
      <c r="AL235" s="200" t="str">
        <f t="shared" si="317"/>
        <v>01159876</v>
      </c>
      <c r="AM235" s="196" t="str">
        <f t="shared" si="318"/>
        <v>0115876</v>
      </c>
      <c r="AN235" s="197"/>
      <c r="AO235" s="203"/>
      <c r="AP235" s="196">
        <v>1</v>
      </c>
      <c r="AQ235" s="204" t="s">
        <v>49</v>
      </c>
      <c r="AR235" s="197"/>
      <c r="AS235" s="196"/>
      <c r="AT235" s="205"/>
      <c r="AU235" s="205"/>
      <c r="AV235" s="196">
        <f t="shared" si="319"/>
        <v>876</v>
      </c>
      <c r="AW235" s="196" t="s">
        <v>423</v>
      </c>
      <c r="AX235" s="196" t="s">
        <v>420</v>
      </c>
      <c r="AY235" s="196" t="s">
        <v>421</v>
      </c>
      <c r="AZ235" s="197" t="s">
        <v>334</v>
      </c>
      <c r="BA235" s="205" t="s">
        <v>154</v>
      </c>
      <c r="BB235" s="196">
        <v>1</v>
      </c>
      <c r="BC235" s="198">
        <f t="shared" si="320"/>
        <v>876</v>
      </c>
      <c r="BD235" s="205" t="s">
        <v>410</v>
      </c>
      <c r="BE235" s="205" t="s">
        <v>391</v>
      </c>
      <c r="BF235" s="205" t="s">
        <v>391</v>
      </c>
      <c r="BG235" s="198" t="s">
        <v>403</v>
      </c>
      <c r="BH235" s="198" t="str">
        <f t="shared" si="321"/>
        <v>876_1</v>
      </c>
      <c r="BI235" s="196"/>
      <c r="BJ235" s="196" t="str">
        <f t="shared" si="322"/>
        <v>10000000876</v>
      </c>
      <c r="BK235" s="205" t="s">
        <v>51</v>
      </c>
      <c r="BL235" s="205" t="s">
        <v>54</v>
      </c>
      <c r="BM235" s="198" t="s">
        <v>411</v>
      </c>
      <c r="BN235" s="205" t="s">
        <v>51</v>
      </c>
      <c r="BO235" s="198" t="str">
        <f t="shared" si="323"/>
        <v>S05S876</v>
      </c>
      <c r="BP235" s="205" t="s">
        <v>402</v>
      </c>
      <c r="BQ235" s="205" t="s">
        <v>402</v>
      </c>
      <c r="BR235" s="198" t="s">
        <v>161</v>
      </c>
      <c r="BS235" s="205" t="s">
        <v>50</v>
      </c>
      <c r="BT235" s="205" t="s">
        <v>135</v>
      </c>
      <c r="BU235" s="205" t="s">
        <v>393</v>
      </c>
      <c r="BV235" s="205" t="s">
        <v>51</v>
      </c>
      <c r="BW235" s="205" t="s">
        <v>154</v>
      </c>
      <c r="BX235" s="205"/>
      <c r="BY235" s="205"/>
      <c r="BZ235" s="205" t="s">
        <v>157</v>
      </c>
      <c r="CA235" s="205" t="s">
        <v>269</v>
      </c>
      <c r="CB235" s="205" t="s">
        <v>412</v>
      </c>
      <c r="CC235" s="205" t="s">
        <v>781</v>
      </c>
      <c r="CD235" s="205" t="s">
        <v>392</v>
      </c>
      <c r="CE235" s="205" t="s">
        <v>396</v>
      </c>
      <c r="CF235" s="205" t="s">
        <v>398</v>
      </c>
      <c r="CG235" s="205" t="s">
        <v>418</v>
      </c>
      <c r="CH235" s="205" t="s">
        <v>159</v>
      </c>
      <c r="CI235" s="196"/>
      <c r="CJ235" s="196"/>
      <c r="CK235" s="197"/>
      <c r="CL235" s="205"/>
      <c r="CM235" s="205"/>
      <c r="CN235" s="196"/>
      <c r="CO235" s="198"/>
      <c r="CP235" s="205"/>
      <c r="CQ235" s="198"/>
      <c r="CR235" s="196"/>
      <c r="CS235" s="205"/>
      <c r="CT235" s="206"/>
      <c r="CU235" s="196"/>
      <c r="CV235" s="205"/>
      <c r="CW235" s="205"/>
      <c r="CX235" s="205"/>
      <c r="CY235" s="205"/>
      <c r="CZ235" s="205"/>
      <c r="DA235" s="205"/>
      <c r="DB235" s="198"/>
      <c r="DC235" s="205"/>
      <c r="DD235" s="197"/>
      <c r="DE235" s="205"/>
      <c r="DF235" s="205"/>
      <c r="DG235" s="205"/>
      <c r="DH235" s="205"/>
      <c r="DI235" s="205"/>
      <c r="DJ235" s="207"/>
      <c r="DK235" s="197"/>
      <c r="DL235" s="197"/>
      <c r="DM235" s="197"/>
      <c r="DN235" s="198" t="str">
        <f t="shared" si="324"/>
        <v>DS_Pass-876</v>
      </c>
      <c r="DO235" s="197"/>
      <c r="DP235" s="197"/>
      <c r="DQ235" s="197"/>
      <c r="DR235" s="196"/>
      <c r="DS235" s="196"/>
      <c r="DT235" s="197"/>
      <c r="DU235" s="197"/>
      <c r="DV235" s="197"/>
      <c r="DW235" s="196"/>
      <c r="DX235" s="197"/>
      <c r="DY235" s="197"/>
      <c r="DZ235" s="205" t="s">
        <v>402</v>
      </c>
      <c r="EA235" s="200"/>
      <c r="EB235" s="205"/>
      <c r="EC235" s="205"/>
      <c r="ED235" s="205"/>
      <c r="EE235" s="208"/>
    </row>
    <row r="236" spans="1:135" s="209" customFormat="1">
      <c r="A236" s="199"/>
      <c r="B236" s="199"/>
      <c r="C236" s="199"/>
      <c r="D236" s="196">
        <f>'Run Parameters'!$B$1 + ROW()-1</f>
        <v>877</v>
      </c>
      <c r="E236" s="197" t="s">
        <v>47</v>
      </c>
      <c r="F236" s="198" t="s">
        <v>403</v>
      </c>
      <c r="G236" s="196" t="str">
        <f t="shared" si="307"/>
        <v>Access Dtls-877</v>
      </c>
      <c r="H236" s="197" t="s">
        <v>275</v>
      </c>
      <c r="I236" s="196" t="str">
        <f>("MR. Test_"&amp; AV236 &amp;"_EXCH2")</f>
        <v>MR. Test_877_EXCH2</v>
      </c>
      <c r="J236" s="198"/>
      <c r="K236" s="199" t="s">
        <v>425</v>
      </c>
      <c r="L236" s="196" t="str">
        <f t="shared" si="308"/>
        <v>Cust. Ref-877</v>
      </c>
      <c r="M236" s="197" t="s">
        <v>48</v>
      </c>
      <c r="N236" s="197" t="s">
        <v>425</v>
      </c>
      <c r="O236" s="196"/>
      <c r="P236" s="196" t="str">
        <f t="shared" si="309"/>
        <v>SN-877</v>
      </c>
      <c r="Q236" s="196" t="str">
        <f t="shared" si="310"/>
        <v>SI-877</v>
      </c>
      <c r="R236" s="196" t="str">
        <f t="shared" si="311"/>
        <v>SE-877</v>
      </c>
      <c r="S236" s="200" t="str">
        <f t="shared" si="312"/>
        <v>Prev_RA-877</v>
      </c>
      <c r="T236" s="200" t="str">
        <f t="shared" si="313"/>
        <v>Prev_Comms-877</v>
      </c>
      <c r="U236" s="197" t="s">
        <v>75</v>
      </c>
      <c r="V236" s="197" t="s">
        <v>401</v>
      </c>
      <c r="W236" s="197" t="s">
        <v>75</v>
      </c>
      <c r="X236" s="197" t="s">
        <v>396</v>
      </c>
      <c r="Y236" s="196" t="str">
        <f t="shared" si="314"/>
        <v>Forward Add-877</v>
      </c>
      <c r="Z236" s="197" t="s">
        <v>401</v>
      </c>
      <c r="AA236" s="201" t="str">
        <f>'Run Parameters'!$B$2</f>
        <v>2018-08-13 08:00</v>
      </c>
      <c r="AB236" s="201" t="str">
        <f>'Run Parameters'!B$3</f>
        <v>2018-08-13 18:00</v>
      </c>
      <c r="AC236" s="202">
        <f>('Run Parameters'!$B$2) - 7</f>
        <v>43318.333333333336</v>
      </c>
      <c r="AD236" s="197" t="s">
        <v>75</v>
      </c>
      <c r="AE236" s="198" t="str">
        <f t="shared" si="315"/>
        <v>LAST_METER-877</v>
      </c>
      <c r="AF236" s="201" t="str">
        <f>'Run Parameters'!$B$2</f>
        <v>2018-08-13 08:00</v>
      </c>
      <c r="AG236" s="196" t="str">
        <f>'Run Parameters'!B$4</f>
        <v>AUTOTEST2</v>
      </c>
      <c r="AH236" s="200" t="str">
        <f t="shared" si="316"/>
        <v>Site_Contact_877</v>
      </c>
      <c r="AI236" s="201" t="str">
        <f>'Run Parameters'!B$2</f>
        <v>2018-08-13 08:00</v>
      </c>
      <c r="AJ236" s="224" t="str">
        <f>'Run Parameters'!B$3</f>
        <v>2018-08-13 18:00</v>
      </c>
      <c r="AK236" s="196" t="s">
        <v>396</v>
      </c>
      <c r="AL236" s="200" t="str">
        <f t="shared" si="317"/>
        <v>01159877</v>
      </c>
      <c r="AM236" s="196" t="str">
        <f t="shared" si="318"/>
        <v>0115877</v>
      </c>
      <c r="AN236" s="197"/>
      <c r="AO236" s="203"/>
      <c r="AP236" s="196">
        <v>1</v>
      </c>
      <c r="AQ236" s="204" t="s">
        <v>49</v>
      </c>
      <c r="AR236" s="197"/>
      <c r="AS236" s="196"/>
      <c r="AT236" s="205"/>
      <c r="AU236" s="205"/>
      <c r="AV236" s="196">
        <f t="shared" si="319"/>
        <v>877</v>
      </c>
      <c r="AW236" s="196" t="s">
        <v>423</v>
      </c>
      <c r="AX236" s="196" t="s">
        <v>420</v>
      </c>
      <c r="AY236" s="196" t="s">
        <v>421</v>
      </c>
      <c r="AZ236" s="197" t="s">
        <v>334</v>
      </c>
      <c r="BA236" s="205" t="s">
        <v>154</v>
      </c>
      <c r="BB236" s="196">
        <v>1</v>
      </c>
      <c r="BC236" s="198">
        <f t="shared" si="320"/>
        <v>877</v>
      </c>
      <c r="BD236" s="205" t="s">
        <v>410</v>
      </c>
      <c r="BE236" s="205" t="s">
        <v>391</v>
      </c>
      <c r="BF236" s="205" t="s">
        <v>391</v>
      </c>
      <c r="BG236" s="198" t="s">
        <v>403</v>
      </c>
      <c r="BH236" s="198" t="str">
        <f t="shared" si="321"/>
        <v>877_1</v>
      </c>
      <c r="BI236" s="196"/>
      <c r="BJ236" s="196" t="str">
        <f t="shared" si="322"/>
        <v>10000000877</v>
      </c>
      <c r="BK236" s="205" t="s">
        <v>51</v>
      </c>
      <c r="BL236" s="205" t="s">
        <v>54</v>
      </c>
      <c r="BM236" s="198" t="s">
        <v>411</v>
      </c>
      <c r="BN236" s="205" t="s">
        <v>51</v>
      </c>
      <c r="BO236" s="198" t="str">
        <f t="shared" si="323"/>
        <v>S05S877</v>
      </c>
      <c r="BP236" s="205" t="s">
        <v>402</v>
      </c>
      <c r="BQ236" s="205" t="s">
        <v>402</v>
      </c>
      <c r="BR236" s="198" t="s">
        <v>161</v>
      </c>
      <c r="BS236" s="205" t="s">
        <v>50</v>
      </c>
      <c r="BT236" s="205" t="s">
        <v>135</v>
      </c>
      <c r="BU236" s="205" t="s">
        <v>393</v>
      </c>
      <c r="BV236" s="205" t="s">
        <v>51</v>
      </c>
      <c r="BW236" s="205" t="s">
        <v>154</v>
      </c>
      <c r="BX236" s="205"/>
      <c r="BY236" s="205"/>
      <c r="BZ236" s="205" t="s">
        <v>157</v>
      </c>
      <c r="CA236" s="205" t="s">
        <v>269</v>
      </c>
      <c r="CB236" s="205" t="s">
        <v>412</v>
      </c>
      <c r="CC236" s="205" t="s">
        <v>781</v>
      </c>
      <c r="CD236" s="205" t="s">
        <v>392</v>
      </c>
      <c r="CE236" s="205" t="s">
        <v>396</v>
      </c>
      <c r="CF236" s="205" t="s">
        <v>398</v>
      </c>
      <c r="CG236" s="205" t="s">
        <v>418</v>
      </c>
      <c r="CH236" s="205" t="s">
        <v>159</v>
      </c>
      <c r="CI236" s="196"/>
      <c r="CJ236" s="196"/>
      <c r="CK236" s="197"/>
      <c r="CL236" s="205"/>
      <c r="CM236" s="205"/>
      <c r="CN236" s="196"/>
      <c r="CO236" s="198"/>
      <c r="CP236" s="205"/>
      <c r="CQ236" s="198"/>
      <c r="CR236" s="196"/>
      <c r="CS236" s="205"/>
      <c r="CT236" s="206"/>
      <c r="CU236" s="196"/>
      <c r="CV236" s="205"/>
      <c r="CW236" s="205"/>
      <c r="CX236" s="205"/>
      <c r="CY236" s="205"/>
      <c r="CZ236" s="205"/>
      <c r="DA236" s="205"/>
      <c r="DB236" s="198"/>
      <c r="DC236" s="205"/>
      <c r="DD236" s="197"/>
      <c r="DE236" s="205"/>
      <c r="DF236" s="205"/>
      <c r="DG236" s="205"/>
      <c r="DH236" s="205"/>
      <c r="DI236" s="205"/>
      <c r="DJ236" s="207"/>
      <c r="DK236" s="197"/>
      <c r="DL236" s="197"/>
      <c r="DM236" s="197"/>
      <c r="DN236" s="198" t="str">
        <f t="shared" si="324"/>
        <v>DS_Pass-877</v>
      </c>
      <c r="DO236" s="197"/>
      <c r="DP236" s="197"/>
      <c r="DQ236" s="197"/>
      <c r="DR236" s="196"/>
      <c r="DS236" s="196"/>
      <c r="DT236" s="197"/>
      <c r="DU236" s="197"/>
      <c r="DV236" s="197"/>
      <c r="DW236" s="196"/>
      <c r="DX236" s="197"/>
      <c r="DY236" s="197"/>
      <c r="DZ236" s="205" t="s">
        <v>402</v>
      </c>
      <c r="EA236" s="200"/>
      <c r="EB236" s="205"/>
      <c r="EC236" s="205"/>
      <c r="ED236" s="205"/>
      <c r="EE236" s="208"/>
    </row>
    <row r="237" spans="1:135" s="209" customFormat="1">
      <c r="A237" s="199"/>
      <c r="B237" s="199"/>
      <c r="C237" s="199"/>
      <c r="D237" s="196">
        <f>'Run Parameters'!$B$1 + ROW()-1</f>
        <v>878</v>
      </c>
      <c r="E237" s="197" t="s">
        <v>47</v>
      </c>
      <c r="F237" s="198" t="s">
        <v>403</v>
      </c>
      <c r="G237" s="196" t="str">
        <f t="shared" si="307"/>
        <v>Access Dtls-878</v>
      </c>
      <c r="H237" s="197" t="s">
        <v>275</v>
      </c>
      <c r="I237" s="196" t="str">
        <f>("MR. Test_"&amp; AV237 &amp;"_EXCH2")</f>
        <v>MR. Test_878_EXCH2</v>
      </c>
      <c r="J237" s="198"/>
      <c r="K237" s="199" t="s">
        <v>425</v>
      </c>
      <c r="L237" s="196" t="str">
        <f t="shared" si="308"/>
        <v>Cust. Ref-878</v>
      </c>
      <c r="M237" s="197" t="s">
        <v>48</v>
      </c>
      <c r="N237" s="197" t="s">
        <v>425</v>
      </c>
      <c r="O237" s="196"/>
      <c r="P237" s="196" t="str">
        <f t="shared" si="309"/>
        <v>SN-878</v>
      </c>
      <c r="Q237" s="196" t="str">
        <f t="shared" si="310"/>
        <v>SI-878</v>
      </c>
      <c r="R237" s="196" t="str">
        <f t="shared" si="311"/>
        <v>SE-878</v>
      </c>
      <c r="S237" s="200" t="str">
        <f t="shared" si="312"/>
        <v>Prev_RA-878</v>
      </c>
      <c r="T237" s="200" t="str">
        <f t="shared" si="313"/>
        <v>Prev_Comms-878</v>
      </c>
      <c r="U237" s="197" t="s">
        <v>75</v>
      </c>
      <c r="V237" s="197" t="s">
        <v>401</v>
      </c>
      <c r="W237" s="197" t="s">
        <v>75</v>
      </c>
      <c r="X237" s="197" t="s">
        <v>396</v>
      </c>
      <c r="Y237" s="196" t="str">
        <f t="shared" si="314"/>
        <v>Forward Add-878</v>
      </c>
      <c r="Z237" s="197" t="s">
        <v>401</v>
      </c>
      <c r="AA237" s="201" t="str">
        <f>'Run Parameters'!$B$2</f>
        <v>2018-08-13 08:00</v>
      </c>
      <c r="AB237" s="201" t="str">
        <f>'Run Parameters'!B$3</f>
        <v>2018-08-13 18:00</v>
      </c>
      <c r="AC237" s="202">
        <f>('Run Parameters'!$B$2) - 7</f>
        <v>43318.333333333336</v>
      </c>
      <c r="AD237" s="197" t="s">
        <v>75</v>
      </c>
      <c r="AE237" s="198" t="str">
        <f t="shared" si="315"/>
        <v>LAST_METER-878</v>
      </c>
      <c r="AF237" s="201" t="str">
        <f>'Run Parameters'!$B$2</f>
        <v>2018-08-13 08:00</v>
      </c>
      <c r="AG237" s="196" t="str">
        <f>'Run Parameters'!B$4</f>
        <v>AUTOTEST2</v>
      </c>
      <c r="AH237" s="200" t="str">
        <f t="shared" si="316"/>
        <v>Site_Contact_878</v>
      </c>
      <c r="AI237" s="201" t="str">
        <f>'Run Parameters'!B$2</f>
        <v>2018-08-13 08:00</v>
      </c>
      <c r="AJ237" s="224" t="str">
        <f>'Run Parameters'!B$3</f>
        <v>2018-08-13 18:00</v>
      </c>
      <c r="AK237" s="196" t="s">
        <v>396</v>
      </c>
      <c r="AL237" s="200" t="str">
        <f t="shared" si="317"/>
        <v>01159878</v>
      </c>
      <c r="AM237" s="196" t="str">
        <f t="shared" si="318"/>
        <v>0115878</v>
      </c>
      <c r="AN237" s="197"/>
      <c r="AO237" s="203"/>
      <c r="AP237" s="196">
        <v>1</v>
      </c>
      <c r="AQ237" s="204" t="s">
        <v>49</v>
      </c>
      <c r="AR237" s="197"/>
      <c r="AS237" s="196"/>
      <c r="AT237" s="205"/>
      <c r="AU237" s="205"/>
      <c r="AV237" s="196">
        <f t="shared" si="319"/>
        <v>878</v>
      </c>
      <c r="AW237" s="196" t="s">
        <v>423</v>
      </c>
      <c r="AX237" s="196" t="s">
        <v>420</v>
      </c>
      <c r="AY237" s="196" t="s">
        <v>421</v>
      </c>
      <c r="AZ237" s="197" t="s">
        <v>334</v>
      </c>
      <c r="BA237" s="205" t="s">
        <v>154</v>
      </c>
      <c r="BB237" s="196">
        <v>1</v>
      </c>
      <c r="BC237" s="198">
        <f t="shared" si="320"/>
        <v>878</v>
      </c>
      <c r="BD237" s="205" t="s">
        <v>410</v>
      </c>
      <c r="BE237" s="205" t="s">
        <v>391</v>
      </c>
      <c r="BF237" s="205" t="s">
        <v>391</v>
      </c>
      <c r="BG237" s="198" t="s">
        <v>403</v>
      </c>
      <c r="BH237" s="198" t="str">
        <f t="shared" si="321"/>
        <v>878_1</v>
      </c>
      <c r="BI237" s="196"/>
      <c r="BJ237" s="196" t="str">
        <f t="shared" si="322"/>
        <v>10000000878</v>
      </c>
      <c r="BK237" s="205" t="s">
        <v>51</v>
      </c>
      <c r="BL237" s="205" t="s">
        <v>54</v>
      </c>
      <c r="BM237" s="198" t="s">
        <v>411</v>
      </c>
      <c r="BN237" s="205" t="s">
        <v>51</v>
      </c>
      <c r="BO237" s="198" t="str">
        <f t="shared" si="323"/>
        <v>S05S878</v>
      </c>
      <c r="BP237" s="205" t="s">
        <v>402</v>
      </c>
      <c r="BQ237" s="205" t="s">
        <v>402</v>
      </c>
      <c r="BR237" s="198" t="s">
        <v>161</v>
      </c>
      <c r="BS237" s="205" t="s">
        <v>50</v>
      </c>
      <c r="BT237" s="205" t="s">
        <v>135</v>
      </c>
      <c r="BU237" s="205" t="s">
        <v>393</v>
      </c>
      <c r="BV237" s="205" t="s">
        <v>51</v>
      </c>
      <c r="BW237" s="205" t="s">
        <v>154</v>
      </c>
      <c r="BX237" s="205"/>
      <c r="BY237" s="205"/>
      <c r="BZ237" s="205" t="s">
        <v>157</v>
      </c>
      <c r="CA237" s="205" t="s">
        <v>269</v>
      </c>
      <c r="CB237" s="205" t="s">
        <v>412</v>
      </c>
      <c r="CC237" s="205" t="s">
        <v>781</v>
      </c>
      <c r="CD237" s="205" t="s">
        <v>392</v>
      </c>
      <c r="CE237" s="205" t="s">
        <v>396</v>
      </c>
      <c r="CF237" s="205" t="s">
        <v>398</v>
      </c>
      <c r="CG237" s="205" t="s">
        <v>418</v>
      </c>
      <c r="CH237" s="205" t="s">
        <v>159</v>
      </c>
      <c r="CI237" s="196"/>
      <c r="CJ237" s="196"/>
      <c r="CK237" s="197"/>
      <c r="CL237" s="205"/>
      <c r="CM237" s="205"/>
      <c r="CN237" s="196"/>
      <c r="CO237" s="198"/>
      <c r="CP237" s="205"/>
      <c r="CQ237" s="198"/>
      <c r="CR237" s="196"/>
      <c r="CS237" s="205"/>
      <c r="CT237" s="206"/>
      <c r="CU237" s="196"/>
      <c r="CV237" s="205"/>
      <c r="CW237" s="205"/>
      <c r="CX237" s="205"/>
      <c r="CY237" s="205"/>
      <c r="CZ237" s="205"/>
      <c r="DA237" s="205"/>
      <c r="DB237" s="198"/>
      <c r="DC237" s="205"/>
      <c r="DD237" s="197"/>
      <c r="DE237" s="205"/>
      <c r="DF237" s="205"/>
      <c r="DG237" s="205"/>
      <c r="DH237" s="205"/>
      <c r="DI237" s="205"/>
      <c r="DJ237" s="207"/>
      <c r="DK237" s="197"/>
      <c r="DL237" s="197"/>
      <c r="DM237" s="197"/>
      <c r="DN237" s="198" t="str">
        <f t="shared" si="324"/>
        <v>DS_Pass-878</v>
      </c>
      <c r="DO237" s="197"/>
      <c r="DP237" s="197"/>
      <c r="DQ237" s="197"/>
      <c r="DR237" s="196"/>
      <c r="DS237" s="196"/>
      <c r="DT237" s="197"/>
      <c r="DU237" s="197"/>
      <c r="DV237" s="197"/>
      <c r="DW237" s="196"/>
      <c r="DX237" s="197"/>
      <c r="DY237" s="197"/>
      <c r="DZ237" s="205" t="s">
        <v>402</v>
      </c>
      <c r="EA237" s="200"/>
      <c r="EB237" s="205"/>
      <c r="EC237" s="205"/>
      <c r="ED237" s="205"/>
      <c r="EE237" s="208"/>
    </row>
    <row r="238" spans="1:135" s="209" customFormat="1">
      <c r="A238" s="199"/>
      <c r="B238" s="199"/>
      <c r="C238" s="199"/>
      <c r="D238" s="196">
        <f>'Run Parameters'!$B$1 + ROW()-1</f>
        <v>879</v>
      </c>
      <c r="E238" s="197" t="s">
        <v>47</v>
      </c>
      <c r="F238" s="198" t="s">
        <v>403</v>
      </c>
      <c r="G238" s="196" t="str">
        <f t="shared" si="307"/>
        <v>Access Dtls-879</v>
      </c>
      <c r="H238" s="197" t="s">
        <v>275</v>
      </c>
      <c r="I238" s="196" t="str">
        <f>("MR. Test_"&amp; AV238 &amp;"_EXCH2")</f>
        <v>MR. Test_879_EXCH2</v>
      </c>
      <c r="J238" s="198"/>
      <c r="K238" s="199" t="s">
        <v>425</v>
      </c>
      <c r="L238" s="196" t="str">
        <f t="shared" si="308"/>
        <v>Cust. Ref-879</v>
      </c>
      <c r="M238" s="197" t="s">
        <v>48</v>
      </c>
      <c r="N238" s="197" t="s">
        <v>425</v>
      </c>
      <c r="O238" s="196"/>
      <c r="P238" s="196" t="str">
        <f t="shared" si="309"/>
        <v>SN-879</v>
      </c>
      <c r="Q238" s="196" t="str">
        <f t="shared" si="310"/>
        <v>SI-879</v>
      </c>
      <c r="R238" s="196" t="str">
        <f t="shared" si="311"/>
        <v>SE-879</v>
      </c>
      <c r="S238" s="200" t="str">
        <f t="shared" si="312"/>
        <v>Prev_RA-879</v>
      </c>
      <c r="T238" s="200" t="str">
        <f t="shared" si="313"/>
        <v>Prev_Comms-879</v>
      </c>
      <c r="U238" s="197" t="s">
        <v>75</v>
      </c>
      <c r="V238" s="197" t="s">
        <v>401</v>
      </c>
      <c r="W238" s="197" t="s">
        <v>75</v>
      </c>
      <c r="X238" s="197" t="s">
        <v>396</v>
      </c>
      <c r="Y238" s="196" t="str">
        <f t="shared" si="314"/>
        <v>Forward Add-879</v>
      </c>
      <c r="Z238" s="197" t="s">
        <v>401</v>
      </c>
      <c r="AA238" s="201" t="str">
        <f>'Run Parameters'!$B$2</f>
        <v>2018-08-13 08:00</v>
      </c>
      <c r="AB238" s="201" t="str">
        <f>'Run Parameters'!B$3</f>
        <v>2018-08-13 18:00</v>
      </c>
      <c r="AC238" s="202">
        <f>('Run Parameters'!$B$2) - 7</f>
        <v>43318.333333333336</v>
      </c>
      <c r="AD238" s="197" t="s">
        <v>75</v>
      </c>
      <c r="AE238" s="198" t="str">
        <f t="shared" si="315"/>
        <v>LAST_METER-879</v>
      </c>
      <c r="AF238" s="201" t="str">
        <f>'Run Parameters'!$B$2</f>
        <v>2018-08-13 08:00</v>
      </c>
      <c r="AG238" s="196" t="str">
        <f>'Run Parameters'!B$4</f>
        <v>AUTOTEST2</v>
      </c>
      <c r="AH238" s="200" t="str">
        <f t="shared" si="316"/>
        <v>Site_Contact_879</v>
      </c>
      <c r="AI238" s="201" t="str">
        <f>'Run Parameters'!B$2</f>
        <v>2018-08-13 08:00</v>
      </c>
      <c r="AJ238" s="224" t="str">
        <f>'Run Parameters'!B$3</f>
        <v>2018-08-13 18:00</v>
      </c>
      <c r="AK238" s="196" t="s">
        <v>396</v>
      </c>
      <c r="AL238" s="200" t="str">
        <f t="shared" si="317"/>
        <v>01159879</v>
      </c>
      <c r="AM238" s="196" t="str">
        <f t="shared" si="318"/>
        <v>0115879</v>
      </c>
      <c r="AN238" s="197"/>
      <c r="AO238" s="203"/>
      <c r="AP238" s="196">
        <v>1</v>
      </c>
      <c r="AQ238" s="204" t="s">
        <v>49</v>
      </c>
      <c r="AR238" s="197"/>
      <c r="AS238" s="196"/>
      <c r="AT238" s="205"/>
      <c r="AU238" s="205"/>
      <c r="AV238" s="196">
        <f t="shared" si="319"/>
        <v>879</v>
      </c>
      <c r="AW238" s="196" t="s">
        <v>423</v>
      </c>
      <c r="AX238" s="196" t="s">
        <v>420</v>
      </c>
      <c r="AY238" s="196" t="s">
        <v>421</v>
      </c>
      <c r="AZ238" s="197" t="s">
        <v>334</v>
      </c>
      <c r="BA238" s="205" t="s">
        <v>154</v>
      </c>
      <c r="BB238" s="196">
        <v>1</v>
      </c>
      <c r="BC238" s="198">
        <f t="shared" si="320"/>
        <v>879</v>
      </c>
      <c r="BD238" s="205" t="s">
        <v>410</v>
      </c>
      <c r="BE238" s="205" t="s">
        <v>391</v>
      </c>
      <c r="BF238" s="205" t="s">
        <v>391</v>
      </c>
      <c r="BG238" s="198" t="s">
        <v>403</v>
      </c>
      <c r="BH238" s="198" t="str">
        <f t="shared" si="321"/>
        <v>879_1</v>
      </c>
      <c r="BI238" s="196"/>
      <c r="BJ238" s="196" t="str">
        <f t="shared" si="322"/>
        <v>10000000879</v>
      </c>
      <c r="BK238" s="205" t="s">
        <v>51</v>
      </c>
      <c r="BL238" s="205" t="s">
        <v>54</v>
      </c>
      <c r="BM238" s="198" t="s">
        <v>411</v>
      </c>
      <c r="BN238" s="205" t="s">
        <v>51</v>
      </c>
      <c r="BO238" s="198" t="str">
        <f t="shared" si="323"/>
        <v>S05S879</v>
      </c>
      <c r="BP238" s="205" t="s">
        <v>402</v>
      </c>
      <c r="BQ238" s="205" t="s">
        <v>402</v>
      </c>
      <c r="BR238" s="198" t="s">
        <v>161</v>
      </c>
      <c r="BS238" s="205" t="s">
        <v>50</v>
      </c>
      <c r="BT238" s="205" t="s">
        <v>135</v>
      </c>
      <c r="BU238" s="205" t="s">
        <v>393</v>
      </c>
      <c r="BV238" s="205" t="s">
        <v>51</v>
      </c>
      <c r="BW238" s="205" t="s">
        <v>154</v>
      </c>
      <c r="BX238" s="205"/>
      <c r="BY238" s="205"/>
      <c r="BZ238" s="205" t="s">
        <v>157</v>
      </c>
      <c r="CA238" s="205" t="s">
        <v>269</v>
      </c>
      <c r="CB238" s="205" t="s">
        <v>412</v>
      </c>
      <c r="CC238" s="205" t="s">
        <v>781</v>
      </c>
      <c r="CD238" s="205" t="s">
        <v>392</v>
      </c>
      <c r="CE238" s="205" t="s">
        <v>396</v>
      </c>
      <c r="CF238" s="205" t="s">
        <v>398</v>
      </c>
      <c r="CG238" s="205" t="s">
        <v>418</v>
      </c>
      <c r="CH238" s="205" t="s">
        <v>159</v>
      </c>
      <c r="CI238" s="196"/>
      <c r="CJ238" s="196"/>
      <c r="CK238" s="197"/>
      <c r="CL238" s="205"/>
      <c r="CM238" s="205"/>
      <c r="CN238" s="196"/>
      <c r="CO238" s="198"/>
      <c r="CP238" s="205"/>
      <c r="CQ238" s="198"/>
      <c r="CR238" s="196"/>
      <c r="CS238" s="205"/>
      <c r="CT238" s="206"/>
      <c r="CU238" s="196"/>
      <c r="CV238" s="205"/>
      <c r="CW238" s="205"/>
      <c r="CX238" s="205"/>
      <c r="CY238" s="205"/>
      <c r="CZ238" s="205"/>
      <c r="DA238" s="205"/>
      <c r="DB238" s="198"/>
      <c r="DC238" s="205"/>
      <c r="DD238" s="197"/>
      <c r="DE238" s="205"/>
      <c r="DF238" s="205"/>
      <c r="DG238" s="205"/>
      <c r="DH238" s="205"/>
      <c r="DI238" s="205"/>
      <c r="DJ238" s="207"/>
      <c r="DK238" s="197"/>
      <c r="DL238" s="197"/>
      <c r="DM238" s="197"/>
      <c r="DN238" s="198" t="str">
        <f t="shared" si="324"/>
        <v>DS_Pass-879</v>
      </c>
      <c r="DO238" s="197"/>
      <c r="DP238" s="197"/>
      <c r="DQ238" s="197"/>
      <c r="DR238" s="196"/>
      <c r="DS238" s="196"/>
      <c r="DT238" s="197"/>
      <c r="DU238" s="197"/>
      <c r="DV238" s="197"/>
      <c r="DW238" s="196"/>
      <c r="DX238" s="197"/>
      <c r="DY238" s="197"/>
      <c r="DZ238" s="205" t="s">
        <v>402</v>
      </c>
      <c r="EA238" s="200"/>
      <c r="EB238" s="205"/>
      <c r="EC238" s="205"/>
      <c r="ED238" s="205"/>
      <c r="EE238" s="208"/>
    </row>
    <row r="239" spans="1:135" s="209" customFormat="1">
      <c r="A239" s="199"/>
      <c r="B239" s="199"/>
      <c r="C239" s="199"/>
      <c r="D239" s="196">
        <f>'Run Parameters'!$B$1 + ROW()-1</f>
        <v>880</v>
      </c>
      <c r="E239" s="197" t="s">
        <v>47</v>
      </c>
      <c r="F239" s="198" t="s">
        <v>766</v>
      </c>
      <c r="G239" s="196" t="str">
        <f t="shared" si="307"/>
        <v>Access Dtls-880</v>
      </c>
      <c r="H239" s="197" t="s">
        <v>275</v>
      </c>
      <c r="I239" s="196" t="str">
        <f>("MR. Test_"&amp; AV239 &amp;"_EXCH3")</f>
        <v>MR. Test_880_EXCH3</v>
      </c>
      <c r="J239" s="198"/>
      <c r="K239" s="199" t="s">
        <v>425</v>
      </c>
      <c r="L239" s="196" t="str">
        <f t="shared" si="308"/>
        <v>Cust. Ref-880</v>
      </c>
      <c r="M239" s="197" t="s">
        <v>48</v>
      </c>
      <c r="N239" s="197" t="s">
        <v>425</v>
      </c>
      <c r="O239" s="196"/>
      <c r="P239" s="196" t="str">
        <f t="shared" si="309"/>
        <v>SN-880</v>
      </c>
      <c r="Q239" s="196" t="str">
        <f t="shared" si="310"/>
        <v>SI-880</v>
      </c>
      <c r="R239" s="196" t="str">
        <f t="shared" si="311"/>
        <v>SE-880</v>
      </c>
      <c r="S239" s="200" t="str">
        <f t="shared" si="312"/>
        <v>Prev_RA-880</v>
      </c>
      <c r="T239" s="200" t="str">
        <f t="shared" si="313"/>
        <v>Prev_Comms-880</v>
      </c>
      <c r="U239" s="197" t="s">
        <v>75</v>
      </c>
      <c r="V239" s="197" t="s">
        <v>401</v>
      </c>
      <c r="W239" s="197" t="s">
        <v>75</v>
      </c>
      <c r="X239" s="197" t="s">
        <v>396</v>
      </c>
      <c r="Y239" s="196" t="str">
        <f t="shared" si="314"/>
        <v>Forward Add-880</v>
      </c>
      <c r="Z239" s="197" t="s">
        <v>401</v>
      </c>
      <c r="AA239" s="201" t="str">
        <f>'Run Parameters'!$B$2</f>
        <v>2018-08-13 08:00</v>
      </c>
      <c r="AB239" s="201" t="str">
        <f>'Run Parameters'!B$3</f>
        <v>2018-08-13 18:00</v>
      </c>
      <c r="AC239" s="202">
        <f>('Run Parameters'!$B$2) - 7</f>
        <v>43318.333333333336</v>
      </c>
      <c r="AD239" s="197" t="s">
        <v>75</v>
      </c>
      <c r="AE239" s="198" t="str">
        <f t="shared" si="315"/>
        <v>LAST_METER-880</v>
      </c>
      <c r="AF239" s="201" t="str">
        <f>'Run Parameters'!$B$2</f>
        <v>2018-08-13 08:00</v>
      </c>
      <c r="AG239" s="196" t="str">
        <f>'Run Parameters'!B$4</f>
        <v>AUTOTEST2</v>
      </c>
      <c r="AH239" s="200" t="str">
        <f t="shared" si="316"/>
        <v>Site_Contact_880</v>
      </c>
      <c r="AI239" s="201" t="str">
        <f>'Run Parameters'!B$2</f>
        <v>2018-08-13 08:00</v>
      </c>
      <c r="AJ239" s="224" t="str">
        <f>'Run Parameters'!B$3</f>
        <v>2018-08-13 18:00</v>
      </c>
      <c r="AK239" s="196" t="s">
        <v>396</v>
      </c>
      <c r="AL239" s="200" t="str">
        <f t="shared" si="317"/>
        <v>01159880</v>
      </c>
      <c r="AM239" s="196" t="str">
        <f t="shared" si="318"/>
        <v>0115880</v>
      </c>
      <c r="AN239" s="197"/>
      <c r="AO239" s="203"/>
      <c r="AP239" s="196">
        <v>1</v>
      </c>
      <c r="AQ239" s="204" t="s">
        <v>49</v>
      </c>
      <c r="AR239" s="197"/>
      <c r="AS239" s="196"/>
      <c r="AT239" s="205" t="s">
        <v>400</v>
      </c>
      <c r="AU239" s="205"/>
      <c r="AV239" s="196">
        <f t="shared" si="319"/>
        <v>880</v>
      </c>
      <c r="AW239" s="196" t="s">
        <v>767</v>
      </c>
      <c r="AX239" s="196" t="s">
        <v>420</v>
      </c>
      <c r="AY239" s="196" t="s">
        <v>421</v>
      </c>
      <c r="AZ239" s="197" t="s">
        <v>334</v>
      </c>
      <c r="BA239" s="205" t="s">
        <v>154</v>
      </c>
      <c r="BB239" s="196">
        <v>1</v>
      </c>
      <c r="BC239" s="198">
        <f t="shared" si="320"/>
        <v>880</v>
      </c>
      <c r="BD239" s="205" t="s">
        <v>768</v>
      </c>
      <c r="BE239" s="205" t="s">
        <v>391</v>
      </c>
      <c r="BF239" s="205" t="s">
        <v>391</v>
      </c>
      <c r="BG239" s="198" t="s">
        <v>766</v>
      </c>
      <c r="BH239" s="198" t="str">
        <f t="shared" si="321"/>
        <v>880_1</v>
      </c>
      <c r="BI239" s="196"/>
      <c r="BJ239" s="196" t="str">
        <f t="shared" si="322"/>
        <v>10000000880</v>
      </c>
      <c r="BK239" s="205" t="s">
        <v>51</v>
      </c>
      <c r="BL239" s="205" t="s">
        <v>54</v>
      </c>
      <c r="BM239" s="198" t="s">
        <v>769</v>
      </c>
      <c r="BN239" s="205" t="s">
        <v>51</v>
      </c>
      <c r="BO239" s="198" t="str">
        <f t="shared" si="323"/>
        <v>S05S880</v>
      </c>
      <c r="BP239" s="205" t="s">
        <v>770</v>
      </c>
      <c r="BQ239" s="205" t="s">
        <v>770</v>
      </c>
      <c r="BR239" s="198" t="s">
        <v>161</v>
      </c>
      <c r="BS239" s="205" t="s">
        <v>50</v>
      </c>
      <c r="BT239" s="205" t="s">
        <v>47</v>
      </c>
      <c r="BU239" s="205" t="s">
        <v>393</v>
      </c>
      <c r="BV239" s="205" t="s">
        <v>51</v>
      </c>
      <c r="BW239" s="205" t="s">
        <v>154</v>
      </c>
      <c r="BX239" s="205"/>
      <c r="BY239" s="205"/>
      <c r="BZ239" s="205" t="s">
        <v>157</v>
      </c>
      <c r="CA239" s="205" t="s">
        <v>269</v>
      </c>
      <c r="CB239" s="205" t="s">
        <v>412</v>
      </c>
      <c r="CC239" s="205" t="s">
        <v>771</v>
      </c>
      <c r="CD239" s="205" t="s">
        <v>392</v>
      </c>
      <c r="CE239" s="205" t="s">
        <v>396</v>
      </c>
      <c r="CF239" s="205" t="s">
        <v>398</v>
      </c>
      <c r="CG239" s="205" t="s">
        <v>267</v>
      </c>
      <c r="CH239" s="205" t="s">
        <v>159</v>
      </c>
      <c r="CI239" s="198">
        <v>1</v>
      </c>
      <c r="CJ239" s="198" t="str">
        <f>("GAS_ENQ_NO-" &amp; D239)</f>
        <v>GAS_ENQ_NO-880</v>
      </c>
      <c r="CK239" s="205" t="s">
        <v>165</v>
      </c>
      <c r="CL239" s="205" t="s">
        <v>391</v>
      </c>
      <c r="CM239" s="205" t="s">
        <v>391</v>
      </c>
      <c r="CN239" s="198" t="s">
        <v>278</v>
      </c>
      <c r="CO239" s="198" t="str">
        <f>("GAS_JOB_ID-" &amp; D239)</f>
        <v>GAS_JOB_ID-880</v>
      </c>
      <c r="CP239" s="205"/>
      <c r="CQ239" s="198" t="str">
        <f>"10000" &amp; D239</f>
        <v>10000880</v>
      </c>
      <c r="CR239" s="198" t="s">
        <v>154</v>
      </c>
      <c r="CS239" s="205" t="s">
        <v>51</v>
      </c>
      <c r="CT239" s="206" t="str">
        <f>"GMETER" &amp; D239</f>
        <v>GMETER880</v>
      </c>
      <c r="CU239" s="198" t="s">
        <v>161</v>
      </c>
      <c r="CV239" s="205" t="s">
        <v>165</v>
      </c>
      <c r="CW239" s="205" t="s">
        <v>772</v>
      </c>
      <c r="CX239" s="205"/>
      <c r="CY239" s="205"/>
      <c r="CZ239" s="205" t="s">
        <v>394</v>
      </c>
      <c r="DA239" s="205" t="s">
        <v>395</v>
      </c>
      <c r="DB239" s="198" t="str">
        <f>("GAS_INST_ID-" &amp; $D239)</f>
        <v>GAS_INST_ID-880</v>
      </c>
      <c r="DC239" s="205" t="s">
        <v>161</v>
      </c>
      <c r="DD239" s="205"/>
      <c r="DE239" s="205" t="s">
        <v>51</v>
      </c>
      <c r="DF239" s="205" t="s">
        <v>264</v>
      </c>
      <c r="DG239" s="205"/>
      <c r="DH239" s="205" t="s">
        <v>397</v>
      </c>
      <c r="DI239" s="205" t="s">
        <v>399</v>
      </c>
      <c r="DJ239" s="207" t="s">
        <v>267</v>
      </c>
      <c r="DK239" s="205" t="s">
        <v>140</v>
      </c>
      <c r="DL239" s="197"/>
      <c r="DM239" s="197"/>
      <c r="DN239" s="198" t="str">
        <f>("DS_Pass-" &amp; $D239)</f>
        <v>DS_Pass-880</v>
      </c>
      <c r="DO239" s="197"/>
      <c r="DP239" s="197"/>
      <c r="DQ239" s="197"/>
      <c r="DR239" s="196"/>
      <c r="DS239" s="196"/>
      <c r="DT239" s="197"/>
      <c r="DU239" s="197"/>
      <c r="DV239" s="197"/>
      <c r="DW239" s="196"/>
      <c r="DX239" s="197"/>
      <c r="DY239" s="197"/>
      <c r="DZ239" s="205" t="s">
        <v>770</v>
      </c>
      <c r="EA239" s="200"/>
      <c r="EB239" s="205"/>
      <c r="EC239" s="205"/>
      <c r="ED239" s="205"/>
      <c r="EE239" s="208"/>
    </row>
    <row r="240" spans="1:135" s="209" customFormat="1">
      <c r="A240" s="199"/>
      <c r="B240" s="199"/>
      <c r="C240" s="199"/>
      <c r="D240" s="196">
        <f>'Run Parameters'!$B$1 + ROW()-1</f>
        <v>881</v>
      </c>
      <c r="E240" s="197" t="s">
        <v>47</v>
      </c>
      <c r="F240" s="198" t="s">
        <v>831</v>
      </c>
      <c r="G240" s="196" t="str">
        <f t="shared" si="307"/>
        <v>Access Dtls-881</v>
      </c>
      <c r="H240" s="197" t="s">
        <v>332</v>
      </c>
      <c r="I240" s="196" t="str">
        <f>("MR. Test_"&amp; AV240 &amp;"_EXCH1")</f>
        <v>MR. Test_881_EXCH1</v>
      </c>
      <c r="J240" s="196"/>
      <c r="K240" s="199" t="s">
        <v>425</v>
      </c>
      <c r="L240" s="196" t="str">
        <f t="shared" si="308"/>
        <v>Cust. Ref-881</v>
      </c>
      <c r="M240" s="197" t="s">
        <v>48</v>
      </c>
      <c r="N240" s="197" t="s">
        <v>425</v>
      </c>
      <c r="O240" s="196"/>
      <c r="P240" s="196" t="str">
        <f t="shared" si="309"/>
        <v>SN-881</v>
      </c>
      <c r="Q240" s="196" t="str">
        <f t="shared" si="310"/>
        <v>SI-881</v>
      </c>
      <c r="R240" s="196" t="str">
        <f t="shared" si="311"/>
        <v>SE-881</v>
      </c>
      <c r="S240" s="200" t="str">
        <f t="shared" si="312"/>
        <v>Prev_RA-881</v>
      </c>
      <c r="T240" s="200" t="str">
        <f t="shared" si="313"/>
        <v>Prev_Comms-881</v>
      </c>
      <c r="U240" s="197" t="s">
        <v>75</v>
      </c>
      <c r="V240" s="197" t="s">
        <v>401</v>
      </c>
      <c r="W240" s="197" t="s">
        <v>75</v>
      </c>
      <c r="X240" s="197" t="s">
        <v>396</v>
      </c>
      <c r="Y240" s="196" t="str">
        <f t="shared" si="314"/>
        <v>Forward Add-881</v>
      </c>
      <c r="Z240" s="197" t="s">
        <v>401</v>
      </c>
      <c r="AA240" s="201" t="str">
        <f>'Run Parameters'!$B$2</f>
        <v>2018-08-13 08:00</v>
      </c>
      <c r="AB240" s="201" t="str">
        <f>'Run Parameters'!B$3</f>
        <v>2018-08-13 18:00</v>
      </c>
      <c r="AC240" s="202">
        <f>('Run Parameters'!$B$2) - 7</f>
        <v>43318.333333333336</v>
      </c>
      <c r="AD240" s="197" t="s">
        <v>75</v>
      </c>
      <c r="AE240" s="198" t="str">
        <f t="shared" si="315"/>
        <v>LAST_METER-881</v>
      </c>
      <c r="AF240" s="201" t="str">
        <f>'Run Parameters'!$B$2</f>
        <v>2018-08-13 08:00</v>
      </c>
      <c r="AG240" s="196" t="str">
        <f>'Run Parameters'!B$4</f>
        <v>AUTOTEST2</v>
      </c>
      <c r="AH240" s="200" t="str">
        <f t="shared" si="316"/>
        <v>Site_Contact_881</v>
      </c>
      <c r="AI240" s="201" t="str">
        <f>'Run Parameters'!B$2</f>
        <v>2018-08-13 08:00</v>
      </c>
      <c r="AJ240" s="224" t="str">
        <f>'Run Parameters'!B$3</f>
        <v>2018-08-13 18:00</v>
      </c>
      <c r="AK240" s="196" t="s">
        <v>396</v>
      </c>
      <c r="AL240" s="200" t="str">
        <f t="shared" si="317"/>
        <v>01159881</v>
      </c>
      <c r="AM240" s="196" t="str">
        <f t="shared" si="318"/>
        <v>0115881</v>
      </c>
      <c r="AN240" s="197"/>
      <c r="AO240" s="197"/>
      <c r="AP240" s="196">
        <v>1</v>
      </c>
      <c r="AQ240" s="204" t="s">
        <v>49</v>
      </c>
      <c r="AR240" s="197"/>
      <c r="AS240" s="196"/>
      <c r="AT240" s="205" t="s">
        <v>832</v>
      </c>
      <c r="AU240" s="205"/>
      <c r="AV240" s="196">
        <f t="shared" si="319"/>
        <v>881</v>
      </c>
      <c r="AW240" s="196" t="s">
        <v>833</v>
      </c>
      <c r="AX240" s="196" t="s">
        <v>420</v>
      </c>
      <c r="AY240" s="196" t="s">
        <v>421</v>
      </c>
      <c r="AZ240" s="197" t="s">
        <v>333</v>
      </c>
      <c r="BA240" s="197" t="s">
        <v>154</v>
      </c>
      <c r="BB240" s="196">
        <v>1</v>
      </c>
      <c r="BC240" s="198">
        <f t="shared" si="320"/>
        <v>881</v>
      </c>
      <c r="BD240" s="210" t="s">
        <v>834</v>
      </c>
      <c r="BE240" s="197" t="s">
        <v>391</v>
      </c>
      <c r="BF240" s="197" t="s">
        <v>391</v>
      </c>
      <c r="BG240" s="196" t="s">
        <v>831</v>
      </c>
      <c r="BH240" s="198" t="str">
        <f t="shared" si="321"/>
        <v>881_1</v>
      </c>
      <c r="BI240" s="196"/>
      <c r="BJ240" s="196" t="str">
        <f t="shared" si="322"/>
        <v>10000000881</v>
      </c>
      <c r="BK240" s="197" t="s">
        <v>51</v>
      </c>
      <c r="BL240" s="197" t="s">
        <v>405</v>
      </c>
      <c r="BM240" s="196" t="s">
        <v>411</v>
      </c>
      <c r="BN240" s="197"/>
      <c r="BO240" s="198" t="str">
        <f t="shared" si="323"/>
        <v>S05S881</v>
      </c>
      <c r="BP240" s="197" t="s">
        <v>409</v>
      </c>
      <c r="BQ240" s="197" t="s">
        <v>409</v>
      </c>
      <c r="BR240" s="196" t="s">
        <v>159</v>
      </c>
      <c r="BS240" s="197" t="s">
        <v>50</v>
      </c>
      <c r="BT240" s="205" t="s">
        <v>157</v>
      </c>
      <c r="BU240" s="197" t="s">
        <v>835</v>
      </c>
      <c r="BV240" s="197" t="s">
        <v>51</v>
      </c>
      <c r="BW240" s="197" t="s">
        <v>154</v>
      </c>
      <c r="BX240" s="197"/>
      <c r="BY240" s="197"/>
      <c r="BZ240" s="197" t="s">
        <v>157</v>
      </c>
      <c r="CA240" s="197" t="s">
        <v>269</v>
      </c>
      <c r="CB240" s="205" t="s">
        <v>412</v>
      </c>
      <c r="CC240" s="205" t="s">
        <v>771</v>
      </c>
      <c r="CD240" s="205" t="s">
        <v>392</v>
      </c>
      <c r="CE240" s="205" t="s">
        <v>396</v>
      </c>
      <c r="CF240" s="205" t="s">
        <v>398</v>
      </c>
      <c r="CG240" s="210" t="s">
        <v>836</v>
      </c>
      <c r="CH240" s="205" t="s">
        <v>159</v>
      </c>
      <c r="CI240" s="198">
        <v>1</v>
      </c>
      <c r="CJ240" s="198" t="str">
        <f>("GAS_ENQ_NO-" &amp; D240)</f>
        <v>GAS_ENQ_NO-881</v>
      </c>
      <c r="CK240" s="205" t="s">
        <v>165</v>
      </c>
      <c r="CL240" s="205" t="s">
        <v>391</v>
      </c>
      <c r="CM240" s="205" t="s">
        <v>391</v>
      </c>
      <c r="CN240" s="198" t="s">
        <v>837</v>
      </c>
      <c r="CO240" s="198" t="str">
        <f>("GAS_JOB_ID-" &amp; D240)</f>
        <v>GAS_JOB_ID-881</v>
      </c>
      <c r="CP240" s="205"/>
      <c r="CQ240" s="198" t="str">
        <f>"10000" &amp; D240</f>
        <v>10000881</v>
      </c>
      <c r="CR240" s="198" t="s">
        <v>154</v>
      </c>
      <c r="CS240" s="205" t="s">
        <v>51</v>
      </c>
      <c r="CT240" s="206" t="str">
        <f>"GMETER" &amp; D240</f>
        <v>GMETER881</v>
      </c>
      <c r="CU240" s="198" t="s">
        <v>161</v>
      </c>
      <c r="CV240" s="205" t="s">
        <v>165</v>
      </c>
      <c r="CW240" s="205" t="s">
        <v>772</v>
      </c>
      <c r="CX240" s="205"/>
      <c r="CY240" s="205"/>
      <c r="CZ240" s="205" t="s">
        <v>394</v>
      </c>
      <c r="DA240" s="205" t="s">
        <v>395</v>
      </c>
      <c r="DB240" s="198" t="str">
        <f>("GAS_INST_ID-" &amp; $D240)</f>
        <v>GAS_INST_ID-881</v>
      </c>
      <c r="DC240" s="205" t="s">
        <v>161</v>
      </c>
      <c r="DD240" s="205"/>
      <c r="DE240" s="205" t="s">
        <v>51</v>
      </c>
      <c r="DF240" s="205" t="s">
        <v>264</v>
      </c>
      <c r="DG240" s="205"/>
      <c r="DH240" s="205" t="s">
        <v>397</v>
      </c>
      <c r="DI240" s="205" t="s">
        <v>399</v>
      </c>
      <c r="DJ240" s="207" t="s">
        <v>836</v>
      </c>
      <c r="DK240" s="205" t="s">
        <v>140</v>
      </c>
      <c r="DL240" s="197"/>
      <c r="DM240" s="197"/>
      <c r="DN240" s="198" t="str">
        <f t="shared" si="324"/>
        <v>DS_Pass-881</v>
      </c>
      <c r="DO240" s="197"/>
      <c r="DP240" s="197"/>
      <c r="DQ240" s="197"/>
      <c r="DR240" s="196"/>
      <c r="DS240" s="196"/>
      <c r="DT240" s="197"/>
      <c r="DU240" s="197"/>
      <c r="DV240" s="197"/>
      <c r="DW240" s="196"/>
      <c r="DX240" s="197"/>
      <c r="DY240" s="197"/>
      <c r="DZ240" s="197" t="s">
        <v>409</v>
      </c>
      <c r="EA240" s="200"/>
      <c r="EB240" s="197"/>
      <c r="EC240" s="197"/>
      <c r="ED240" s="210"/>
      <c r="EE240" s="208"/>
    </row>
    <row r="241" spans="1:136" s="194" customFormat="1">
      <c r="A241" s="219"/>
      <c r="B241" s="219"/>
      <c r="C241" s="219"/>
      <c r="D241" s="13"/>
      <c r="E241" s="15"/>
      <c r="F241" s="18"/>
      <c r="G241" s="13"/>
      <c r="H241" s="15"/>
      <c r="I241" s="13"/>
      <c r="J241" s="13"/>
      <c r="K241" s="19"/>
      <c r="L241" s="13"/>
      <c r="M241" s="15"/>
      <c r="N241" s="15"/>
      <c r="O241" s="13"/>
      <c r="P241" s="13"/>
      <c r="Q241" s="13"/>
      <c r="R241" s="13"/>
      <c r="S241" s="54"/>
      <c r="T241" s="54"/>
      <c r="U241" s="17"/>
      <c r="V241" s="15"/>
      <c r="W241" s="17"/>
      <c r="X241" s="15"/>
      <c r="Y241" s="13"/>
      <c r="Z241" s="15"/>
      <c r="AA241" s="136"/>
      <c r="AB241" s="137"/>
      <c r="AC241" s="26"/>
      <c r="AD241" s="17"/>
      <c r="AE241" s="18"/>
      <c r="AF241" s="137"/>
      <c r="AG241" s="13"/>
      <c r="AH241" s="54"/>
      <c r="AI241" s="137"/>
      <c r="AJ241" s="223"/>
      <c r="AK241" s="13"/>
      <c r="AL241" s="54"/>
      <c r="AM241" s="13"/>
      <c r="AN241" s="15"/>
      <c r="AO241" s="15"/>
      <c r="AP241" s="13"/>
      <c r="AQ241" s="53"/>
      <c r="AR241" s="15"/>
      <c r="AS241" s="13"/>
      <c r="AT241" s="7"/>
      <c r="AU241" s="7"/>
      <c r="AV241" s="13"/>
      <c r="AW241" s="13"/>
      <c r="AX241" s="13"/>
      <c r="AY241" s="13"/>
      <c r="AZ241" s="15"/>
      <c r="BA241" s="15"/>
      <c r="BB241" s="21"/>
      <c r="BC241" s="20"/>
      <c r="BD241" s="190"/>
      <c r="BE241" s="17"/>
      <c r="BF241" s="17"/>
      <c r="BG241" s="21"/>
      <c r="BH241" s="20"/>
      <c r="BI241" s="21"/>
      <c r="BJ241" s="21"/>
      <c r="BK241" s="17"/>
      <c r="BL241" s="17"/>
      <c r="BM241" s="21"/>
      <c r="BN241" s="17"/>
      <c r="BO241" s="20"/>
      <c r="BP241" s="17"/>
      <c r="BQ241" s="17"/>
      <c r="BR241" s="21"/>
      <c r="BS241" s="17"/>
      <c r="BT241" s="16"/>
      <c r="BU241" s="17"/>
      <c r="BV241" s="17"/>
      <c r="BW241" s="17"/>
      <c r="BX241" s="17"/>
      <c r="BY241" s="17"/>
      <c r="BZ241" s="17"/>
      <c r="CA241" s="17"/>
      <c r="CB241" s="16"/>
      <c r="CC241" s="16"/>
      <c r="CD241" s="16"/>
      <c r="CE241" s="16"/>
      <c r="CF241" s="16"/>
      <c r="CG241" s="190"/>
      <c r="CH241" s="16"/>
      <c r="CI241" s="6"/>
      <c r="CJ241" s="6"/>
      <c r="CK241" s="7"/>
      <c r="CL241" s="7"/>
      <c r="CM241" s="7"/>
      <c r="CN241" s="6"/>
      <c r="CO241" s="6"/>
      <c r="CP241" s="7"/>
      <c r="CQ241" s="6"/>
      <c r="CR241" s="6"/>
      <c r="CS241" s="7"/>
      <c r="CT241" s="27"/>
      <c r="CU241" s="6"/>
      <c r="CV241" s="7"/>
      <c r="CW241" s="7"/>
      <c r="CX241" s="7"/>
      <c r="CY241" s="7"/>
      <c r="CZ241" s="7"/>
      <c r="DA241" s="7"/>
      <c r="DB241" s="6"/>
      <c r="DC241" s="7"/>
      <c r="DD241" s="7"/>
      <c r="DE241" s="7"/>
      <c r="DF241" s="7"/>
      <c r="DG241" s="7"/>
      <c r="DH241" s="7"/>
      <c r="DI241" s="7"/>
      <c r="DJ241" s="191"/>
      <c r="DK241" s="7"/>
      <c r="DL241" s="40"/>
      <c r="DM241" s="40"/>
      <c r="DN241" s="18"/>
      <c r="DO241" s="40"/>
      <c r="DP241" s="40"/>
      <c r="DQ241" s="40"/>
      <c r="DR241" s="41"/>
      <c r="DS241" s="41"/>
      <c r="DT241" s="40"/>
      <c r="DU241" s="40"/>
      <c r="DV241" s="40"/>
      <c r="DW241" s="41"/>
      <c r="DX241" s="40"/>
      <c r="DY241" s="40"/>
      <c r="DZ241" s="40"/>
      <c r="EA241" s="39"/>
      <c r="EB241" s="40"/>
      <c r="EC241" s="40"/>
      <c r="ED241" s="190"/>
      <c r="EE241" s="192"/>
      <c r="EF241" s="193"/>
    </row>
    <row r="242" spans="1:136" s="194" customFormat="1">
      <c r="A242" s="219"/>
      <c r="B242" s="219"/>
      <c r="C242" s="219"/>
      <c r="D242" s="13"/>
      <c r="E242" s="15"/>
      <c r="F242" s="18"/>
      <c r="G242" s="13"/>
      <c r="H242" s="15"/>
      <c r="I242" s="13"/>
      <c r="J242" s="13"/>
      <c r="K242" s="19"/>
      <c r="L242" s="13"/>
      <c r="M242" s="15"/>
      <c r="N242" s="15"/>
      <c r="O242" s="13"/>
      <c r="P242" s="13"/>
      <c r="Q242" s="13"/>
      <c r="R242" s="13"/>
      <c r="S242" s="54"/>
      <c r="T242" s="54"/>
      <c r="U242" s="17"/>
      <c r="V242" s="15"/>
      <c r="W242" s="17"/>
      <c r="X242" s="15"/>
      <c r="Y242" s="13"/>
      <c r="Z242" s="15"/>
      <c r="AA242" s="136"/>
      <c r="AB242" s="137"/>
      <c r="AC242" s="26"/>
      <c r="AD242" s="17"/>
      <c r="AE242" s="18"/>
      <c r="AF242" s="137"/>
      <c r="AG242" s="13"/>
      <c r="AH242" s="54"/>
      <c r="AI242" s="137"/>
      <c r="AJ242" s="223"/>
      <c r="AK242" s="13"/>
      <c r="AL242" s="54"/>
      <c r="AM242" s="13"/>
      <c r="AN242" s="15"/>
      <c r="AO242" s="15"/>
      <c r="AP242" s="13"/>
      <c r="AQ242" s="53"/>
      <c r="AR242" s="15"/>
      <c r="AS242" s="13"/>
      <c r="AT242" s="7"/>
      <c r="AU242" s="7"/>
      <c r="AV242" s="13"/>
      <c r="AW242" s="13"/>
      <c r="AX242" s="13"/>
      <c r="AY242" s="13"/>
      <c r="AZ242" s="15"/>
      <c r="BA242" s="15"/>
      <c r="BB242" s="21"/>
      <c r="BC242" s="20"/>
      <c r="BD242" s="190"/>
      <c r="BE242" s="17"/>
      <c r="BF242" s="17"/>
      <c r="BG242" s="21"/>
      <c r="BH242" s="20"/>
      <c r="BI242" s="21"/>
      <c r="BJ242" s="21"/>
      <c r="BK242" s="17"/>
      <c r="BL242" s="17"/>
      <c r="BM242" s="21"/>
      <c r="BN242" s="17"/>
      <c r="BO242" s="20"/>
      <c r="BP242" s="17"/>
      <c r="BQ242" s="17"/>
      <c r="BR242" s="21"/>
      <c r="BS242" s="17"/>
      <c r="BT242" s="16"/>
      <c r="BU242" s="17"/>
      <c r="BV242" s="17"/>
      <c r="BW242" s="17"/>
      <c r="BX242" s="17"/>
      <c r="BY242" s="17"/>
      <c r="BZ242" s="17"/>
      <c r="CA242" s="17"/>
      <c r="CB242" s="16"/>
      <c r="CC242" s="16"/>
      <c r="CD242" s="16"/>
      <c r="CE242" s="16"/>
      <c r="CF242" s="16"/>
      <c r="CG242" s="190"/>
      <c r="CH242" s="16"/>
      <c r="CI242" s="6"/>
      <c r="CJ242" s="6"/>
      <c r="CK242" s="7"/>
      <c r="CL242" s="7"/>
      <c r="CM242" s="7"/>
      <c r="CN242" s="6"/>
      <c r="CO242" s="6"/>
      <c r="CP242" s="7"/>
      <c r="CQ242" s="6"/>
      <c r="CR242" s="6"/>
      <c r="CS242" s="7"/>
      <c r="CT242" s="27"/>
      <c r="CU242" s="6"/>
      <c r="CV242" s="7"/>
      <c r="CW242" s="7"/>
      <c r="CX242" s="7"/>
      <c r="CY242" s="7"/>
      <c r="CZ242" s="7"/>
      <c r="DA242" s="7"/>
      <c r="DB242" s="6"/>
      <c r="DC242" s="7"/>
      <c r="DD242" s="7"/>
      <c r="DE242" s="7"/>
      <c r="DF242" s="7"/>
      <c r="DG242" s="7"/>
      <c r="DH242" s="7"/>
      <c r="DI242" s="7"/>
      <c r="DJ242" s="191"/>
      <c r="DK242" s="7"/>
      <c r="DL242" s="40"/>
      <c r="DM242" s="40"/>
      <c r="DN242" s="18"/>
      <c r="DO242" s="40"/>
      <c r="DP242" s="40"/>
      <c r="DQ242" s="40"/>
      <c r="DR242" s="41"/>
      <c r="DS242" s="41"/>
      <c r="DT242" s="40"/>
      <c r="DU242" s="40"/>
      <c r="DV242" s="40"/>
      <c r="DW242" s="41"/>
      <c r="DX242" s="40"/>
      <c r="DY242" s="40"/>
      <c r="DZ242" s="40"/>
      <c r="EA242" s="39"/>
      <c r="EB242" s="40"/>
      <c r="EC242" s="40"/>
      <c r="ED242" s="190"/>
      <c r="EE242" s="192"/>
      <c r="EF242" s="193"/>
    </row>
    <row r="243" spans="1:136" s="194" customFormat="1">
      <c r="A243" s="219"/>
      <c r="B243" s="219"/>
      <c r="C243" s="219"/>
      <c r="D243" s="13"/>
      <c r="E243" s="15"/>
      <c r="F243" s="18"/>
      <c r="G243" s="13"/>
      <c r="H243" s="15"/>
      <c r="I243" s="13"/>
      <c r="J243" s="13"/>
      <c r="K243" s="19"/>
      <c r="L243" s="13"/>
      <c r="M243" s="15"/>
      <c r="N243" s="15"/>
      <c r="O243" s="13"/>
      <c r="P243" s="13"/>
      <c r="Q243" s="13"/>
      <c r="R243" s="13"/>
      <c r="S243" s="54"/>
      <c r="T243" s="54"/>
      <c r="U243" s="17"/>
      <c r="V243" s="15"/>
      <c r="W243" s="17"/>
      <c r="X243" s="15"/>
      <c r="Y243" s="13"/>
      <c r="Z243" s="15"/>
      <c r="AA243" s="136"/>
      <c r="AB243" s="137"/>
      <c r="AC243" s="26"/>
      <c r="AD243" s="17"/>
      <c r="AE243" s="18"/>
      <c r="AF243" s="137"/>
      <c r="AG243" s="13"/>
      <c r="AH243" s="54"/>
      <c r="AI243" s="137"/>
      <c r="AJ243" s="223"/>
      <c r="AK243" s="13"/>
      <c r="AL243" s="54"/>
      <c r="AM243" s="13"/>
      <c r="AN243" s="15"/>
      <c r="AO243" s="15"/>
      <c r="AP243" s="13"/>
      <c r="AQ243" s="53"/>
      <c r="AR243" s="15"/>
      <c r="AS243" s="13"/>
      <c r="AT243" s="7"/>
      <c r="AU243" s="7"/>
      <c r="AV243" s="13"/>
      <c r="AW243" s="13"/>
      <c r="AX243" s="13"/>
      <c r="AY243" s="13"/>
      <c r="AZ243" s="15"/>
      <c r="BA243" s="15"/>
      <c r="BB243" s="21"/>
      <c r="BC243" s="20"/>
      <c r="BD243" s="190"/>
      <c r="BE243" s="17"/>
      <c r="BF243" s="17"/>
      <c r="BG243" s="21"/>
      <c r="BH243" s="20"/>
      <c r="BI243" s="21"/>
      <c r="BJ243" s="21"/>
      <c r="BK243" s="17"/>
      <c r="BL243" s="17"/>
      <c r="BM243" s="21"/>
      <c r="BN243" s="17"/>
      <c r="BO243" s="20"/>
      <c r="BP243" s="17"/>
      <c r="BQ243" s="17"/>
      <c r="BR243" s="21"/>
      <c r="BS243" s="17"/>
      <c r="BT243" s="16"/>
      <c r="BU243" s="17"/>
      <c r="BV243" s="17"/>
      <c r="BW243" s="17"/>
      <c r="BX243" s="17"/>
      <c r="BY243" s="17"/>
      <c r="BZ243" s="17"/>
      <c r="CA243" s="17"/>
      <c r="CB243" s="16"/>
      <c r="CC243" s="16"/>
      <c r="CD243" s="16"/>
      <c r="CE243" s="16"/>
      <c r="CF243" s="16"/>
      <c r="CG243" s="190"/>
      <c r="CH243" s="16"/>
      <c r="CI243" s="6"/>
      <c r="CJ243" s="6"/>
      <c r="CK243" s="7"/>
      <c r="CL243" s="7"/>
      <c r="CM243" s="7"/>
      <c r="CN243" s="6"/>
      <c r="CO243" s="6"/>
      <c r="CP243" s="7"/>
      <c r="CQ243" s="6"/>
      <c r="CR243" s="6"/>
      <c r="CS243" s="7"/>
      <c r="CT243" s="27"/>
      <c r="CU243" s="6"/>
      <c r="CV243" s="7"/>
      <c r="CW243" s="7"/>
      <c r="CX243" s="7"/>
      <c r="CY243" s="7"/>
      <c r="CZ243" s="7"/>
      <c r="DA243" s="7"/>
      <c r="DB243" s="6"/>
      <c r="DC243" s="7"/>
      <c r="DD243" s="7"/>
      <c r="DE243" s="7"/>
      <c r="DF243" s="7"/>
      <c r="DG243" s="7"/>
      <c r="DH243" s="7"/>
      <c r="DI243" s="7"/>
      <c r="DJ243" s="191"/>
      <c r="DK243" s="7"/>
      <c r="DL243" s="40"/>
      <c r="DM243" s="40"/>
      <c r="DN243" s="18"/>
      <c r="DO243" s="40"/>
      <c r="DP243" s="40"/>
      <c r="DQ243" s="40"/>
      <c r="DR243" s="41"/>
      <c r="DS243" s="41"/>
      <c r="DT243" s="40"/>
      <c r="DU243" s="40"/>
      <c r="DV243" s="40"/>
      <c r="DW243" s="41"/>
      <c r="DX243" s="40"/>
      <c r="DY243" s="40"/>
      <c r="DZ243" s="40"/>
      <c r="EA243" s="39"/>
      <c r="EB243" s="40"/>
      <c r="EC243" s="40"/>
      <c r="ED243" s="190"/>
      <c r="EE243" s="192"/>
      <c r="EF243" s="193"/>
    </row>
    <row r="244" spans="1:136" s="194" customFormat="1">
      <c r="A244" s="219"/>
      <c r="B244" s="219"/>
      <c r="C244" s="219"/>
      <c r="D244" s="13"/>
      <c r="E244" s="15"/>
      <c r="F244" s="18"/>
      <c r="G244" s="13"/>
      <c r="H244" s="15"/>
      <c r="I244" s="13"/>
      <c r="J244" s="13"/>
      <c r="K244" s="19"/>
      <c r="L244" s="13"/>
      <c r="M244" s="15"/>
      <c r="N244" s="15"/>
      <c r="O244" s="13"/>
      <c r="P244" s="13"/>
      <c r="Q244" s="13"/>
      <c r="R244" s="13"/>
      <c r="S244" s="54"/>
      <c r="T244" s="54"/>
      <c r="U244" s="17"/>
      <c r="V244" s="15"/>
      <c r="W244" s="17"/>
      <c r="X244" s="15"/>
      <c r="Y244" s="13"/>
      <c r="Z244" s="15"/>
      <c r="AA244" s="136"/>
      <c r="AB244" s="137"/>
      <c r="AC244" s="26"/>
      <c r="AD244" s="17"/>
      <c r="AE244" s="18"/>
      <c r="AF244" s="137"/>
      <c r="AG244" s="13"/>
      <c r="AH244" s="54"/>
      <c r="AI244" s="137"/>
      <c r="AJ244" s="223"/>
      <c r="AK244" s="13"/>
      <c r="AL244" s="54"/>
      <c r="AM244" s="13"/>
      <c r="AN244" s="15"/>
      <c r="AO244" s="15"/>
      <c r="AP244" s="13"/>
      <c r="AQ244" s="53"/>
      <c r="AR244" s="15"/>
      <c r="AS244" s="13"/>
      <c r="AT244" s="7"/>
      <c r="AU244" s="7"/>
      <c r="AV244" s="13"/>
      <c r="AW244" s="13"/>
      <c r="AX244" s="13"/>
      <c r="AY244" s="13"/>
      <c r="AZ244" s="15"/>
      <c r="BA244" s="15"/>
      <c r="BB244" s="21"/>
      <c r="BC244" s="20"/>
      <c r="BD244" s="190"/>
      <c r="BE244" s="17"/>
      <c r="BF244" s="17"/>
      <c r="BG244" s="21"/>
      <c r="BH244" s="20"/>
      <c r="BI244" s="21"/>
      <c r="BJ244" s="21"/>
      <c r="BK244" s="17"/>
      <c r="BL244" s="17"/>
      <c r="BM244" s="21"/>
      <c r="BN244" s="17"/>
      <c r="BO244" s="20"/>
      <c r="BP244" s="17"/>
      <c r="BQ244" s="17"/>
      <c r="BR244" s="21"/>
      <c r="BS244" s="17"/>
      <c r="BT244" s="16"/>
      <c r="BU244" s="17"/>
      <c r="BV244" s="17"/>
      <c r="BW244" s="17"/>
      <c r="BX244" s="17"/>
      <c r="BY244" s="17"/>
      <c r="BZ244" s="17"/>
      <c r="CA244" s="17"/>
      <c r="CB244" s="16"/>
      <c r="CC244" s="16"/>
      <c r="CD244" s="16"/>
      <c r="CE244" s="16"/>
      <c r="CF244" s="16"/>
      <c r="CG244" s="190"/>
      <c r="CH244" s="16"/>
      <c r="CI244" s="6"/>
      <c r="CJ244" s="6"/>
      <c r="CK244" s="7"/>
      <c r="CL244" s="7"/>
      <c r="CM244" s="7"/>
      <c r="CN244" s="6"/>
      <c r="CO244" s="6"/>
      <c r="CP244" s="7"/>
      <c r="CQ244" s="6"/>
      <c r="CR244" s="6"/>
      <c r="CS244" s="7"/>
      <c r="CT244" s="27"/>
      <c r="CU244" s="6"/>
      <c r="CV244" s="7"/>
      <c r="CW244" s="7"/>
      <c r="CX244" s="7"/>
      <c r="CY244" s="7"/>
      <c r="CZ244" s="7"/>
      <c r="DA244" s="7"/>
      <c r="DB244" s="6"/>
      <c r="DC244" s="7"/>
      <c r="DD244" s="7"/>
      <c r="DE244" s="7"/>
      <c r="DF244" s="7"/>
      <c r="DG244" s="7"/>
      <c r="DH244" s="7"/>
      <c r="DI244" s="7"/>
      <c r="DJ244" s="191"/>
      <c r="DK244" s="7"/>
      <c r="DL244" s="40"/>
      <c r="DM244" s="40"/>
      <c r="DN244" s="18"/>
      <c r="DO244" s="40"/>
      <c r="DP244" s="40"/>
      <c r="DQ244" s="40"/>
      <c r="DR244" s="41"/>
      <c r="DS244" s="41"/>
      <c r="DT244" s="40"/>
      <c r="DU244" s="40"/>
      <c r="DV244" s="40"/>
      <c r="DW244" s="41"/>
      <c r="DX244" s="40"/>
      <c r="DY244" s="40"/>
      <c r="DZ244" s="40"/>
      <c r="EA244" s="39"/>
      <c r="EB244" s="40"/>
      <c r="EC244" s="40"/>
      <c r="ED244" s="190"/>
      <c r="EE244" s="192"/>
      <c r="EF244" s="193"/>
    </row>
    <row r="245" spans="1:136" s="194" customFormat="1">
      <c r="A245" s="219"/>
      <c r="B245" s="219"/>
      <c r="C245" s="219"/>
      <c r="D245" s="13"/>
      <c r="E245" s="15"/>
      <c r="F245" s="18"/>
      <c r="G245" s="13"/>
      <c r="H245" s="15"/>
      <c r="I245" s="13"/>
      <c r="J245" s="13"/>
      <c r="K245" s="19"/>
      <c r="L245" s="13"/>
      <c r="M245" s="15"/>
      <c r="N245" s="15"/>
      <c r="O245" s="13"/>
      <c r="P245" s="13"/>
      <c r="Q245" s="13"/>
      <c r="R245" s="13"/>
      <c r="S245" s="54"/>
      <c r="T245" s="54"/>
      <c r="U245" s="17"/>
      <c r="V245" s="15"/>
      <c r="W245" s="17"/>
      <c r="X245" s="15"/>
      <c r="Y245" s="13"/>
      <c r="Z245" s="15"/>
      <c r="AA245" s="136"/>
      <c r="AB245" s="137"/>
      <c r="AC245" s="26"/>
      <c r="AD245" s="17"/>
      <c r="AE245" s="18"/>
      <c r="AF245" s="137"/>
      <c r="AG245" s="13"/>
      <c r="AH245" s="54"/>
      <c r="AI245" s="137"/>
      <c r="AJ245" s="223"/>
      <c r="AK245" s="13"/>
      <c r="AL245" s="54"/>
      <c r="AM245" s="13"/>
      <c r="AN245" s="15"/>
      <c r="AO245" s="15"/>
      <c r="AP245" s="13"/>
      <c r="AQ245" s="53"/>
      <c r="AR245" s="15"/>
      <c r="AS245" s="13"/>
      <c r="AT245" s="7"/>
      <c r="AU245" s="7"/>
      <c r="AV245" s="13"/>
      <c r="AW245" s="13"/>
      <c r="AX245" s="13"/>
      <c r="AY245" s="13"/>
      <c r="AZ245" s="15"/>
      <c r="BA245" s="15"/>
      <c r="BB245" s="21"/>
      <c r="BC245" s="20"/>
      <c r="BD245" s="190"/>
      <c r="BE245" s="17"/>
      <c r="BF245" s="17"/>
      <c r="BG245" s="21"/>
      <c r="BH245" s="20"/>
      <c r="BI245" s="21"/>
      <c r="BJ245" s="21"/>
      <c r="BK245" s="17"/>
      <c r="BL245" s="17"/>
      <c r="BM245" s="21"/>
      <c r="BN245" s="17"/>
      <c r="BO245" s="20"/>
      <c r="BP245" s="17"/>
      <c r="BQ245" s="17"/>
      <c r="BR245" s="21"/>
      <c r="BS245" s="17"/>
      <c r="BT245" s="16"/>
      <c r="BU245" s="17"/>
      <c r="BV245" s="17"/>
      <c r="BW245" s="17"/>
      <c r="BX245" s="17"/>
      <c r="BY245" s="17"/>
      <c r="BZ245" s="17"/>
      <c r="CA245" s="17"/>
      <c r="CB245" s="16"/>
      <c r="CC245" s="16"/>
      <c r="CD245" s="16"/>
      <c r="CE245" s="16"/>
      <c r="CF245" s="16"/>
      <c r="CG245" s="190"/>
      <c r="CH245" s="16"/>
      <c r="CI245" s="6"/>
      <c r="CJ245" s="6"/>
      <c r="CK245" s="7"/>
      <c r="CL245" s="7"/>
      <c r="CM245" s="7"/>
      <c r="CN245" s="6"/>
      <c r="CO245" s="6"/>
      <c r="CP245" s="7"/>
      <c r="CQ245" s="6"/>
      <c r="CR245" s="6"/>
      <c r="CS245" s="7"/>
      <c r="CT245" s="27"/>
      <c r="CU245" s="6"/>
      <c r="CV245" s="7"/>
      <c r="CW245" s="7"/>
      <c r="CX245" s="7"/>
      <c r="CY245" s="7"/>
      <c r="CZ245" s="7"/>
      <c r="DA245" s="7"/>
      <c r="DB245" s="6"/>
      <c r="DC245" s="7"/>
      <c r="DD245" s="7"/>
      <c r="DE245" s="7"/>
      <c r="DF245" s="7"/>
      <c r="DG245" s="7"/>
      <c r="DH245" s="7"/>
      <c r="DI245" s="7"/>
      <c r="DJ245" s="191"/>
      <c r="DK245" s="7"/>
      <c r="DL245" s="40"/>
      <c r="DM245" s="40"/>
      <c r="DN245" s="18"/>
      <c r="DO245" s="40"/>
      <c r="DP245" s="40"/>
      <c r="DQ245" s="40"/>
      <c r="DR245" s="41"/>
      <c r="DS245" s="41"/>
      <c r="DT245" s="40"/>
      <c r="DU245" s="40"/>
      <c r="DV245" s="40"/>
      <c r="DW245" s="41"/>
      <c r="DX245" s="40"/>
      <c r="DY245" s="40"/>
      <c r="DZ245" s="40"/>
      <c r="EA245" s="39"/>
      <c r="EB245" s="40"/>
      <c r="EC245" s="40"/>
      <c r="ED245" s="190"/>
      <c r="EE245" s="192"/>
      <c r="EF245" s="193"/>
    </row>
    <row r="246" spans="1:136" s="189" customFormat="1">
      <c r="A246" s="178"/>
      <c r="B246" s="178"/>
      <c r="C246" s="178"/>
      <c r="D246" s="175">
        <f>'Run Parameters'!$B$1 + ROW()-1</f>
        <v>887</v>
      </c>
      <c r="E246" s="176" t="s">
        <v>47</v>
      </c>
      <c r="F246" s="177" t="s">
        <v>831</v>
      </c>
      <c r="G246" s="175" t="str">
        <f>("Access Dtls-" &amp; D246)</f>
        <v>Access Dtls-887</v>
      </c>
      <c r="H246" s="176" t="s">
        <v>332</v>
      </c>
      <c r="I246" s="175" t="str">
        <f>("MR. Test_"&amp; AV246 &amp;"_EXCH1")</f>
        <v>MR. Test_887_EXCH1</v>
      </c>
      <c r="J246" s="175"/>
      <c r="K246" s="178" t="s">
        <v>425</v>
      </c>
      <c r="L246" s="175" t="str">
        <f>("Cust. Ref-" &amp; D246)</f>
        <v>Cust. Ref-887</v>
      </c>
      <c r="M246" s="176" t="s">
        <v>48</v>
      </c>
      <c r="N246" s="176" t="s">
        <v>425</v>
      </c>
      <c r="O246" s="175"/>
      <c r="P246" s="175" t="str">
        <f>("SN-" &amp; D246)</f>
        <v>SN-887</v>
      </c>
      <c r="Q246" s="175" t="str">
        <f>("SI-" &amp; D246)</f>
        <v>SI-887</v>
      </c>
      <c r="R246" s="175" t="str">
        <f>("SE-" &amp; D246)</f>
        <v>SE-887</v>
      </c>
      <c r="S246" s="179" t="str">
        <f>("Prev_RA-" &amp; D246)</f>
        <v>Prev_RA-887</v>
      </c>
      <c r="T246" s="179" t="str">
        <f>("Prev_Comms-" &amp; D246)</f>
        <v>Prev_Comms-887</v>
      </c>
      <c r="U246" s="176" t="s">
        <v>75</v>
      </c>
      <c r="V246" s="176" t="s">
        <v>401</v>
      </c>
      <c r="W246" s="176" t="s">
        <v>75</v>
      </c>
      <c r="X246" s="176" t="s">
        <v>396</v>
      </c>
      <c r="Y246" s="175" t="str">
        <f>("Forward Add-" &amp; D246)</f>
        <v>Forward Add-887</v>
      </c>
      <c r="Z246" s="176" t="s">
        <v>401</v>
      </c>
      <c r="AA246" s="180" t="str">
        <f>'Run Parameters'!$B$2</f>
        <v>2018-08-13 08:00</v>
      </c>
      <c r="AB246" s="180" t="str">
        <f>'Run Parameters'!B$3</f>
        <v>2018-08-13 18:00</v>
      </c>
      <c r="AC246" s="182">
        <f>('Run Parameters'!$B$2) - 7</f>
        <v>43318.333333333336</v>
      </c>
      <c r="AD246" s="176" t="s">
        <v>75</v>
      </c>
      <c r="AE246" s="177" t="str">
        <f>("LAST_METER-" &amp; D246)</f>
        <v>LAST_METER-887</v>
      </c>
      <c r="AF246" s="180" t="str">
        <f>'Run Parameters'!$B$2</f>
        <v>2018-08-13 08:00</v>
      </c>
      <c r="AG246" s="175" t="str">
        <f>'Run Parameters'!B$4</f>
        <v>AUTOTEST2</v>
      </c>
      <c r="AH246" s="179" t="str">
        <f>("Site_Contact_" &amp; D246)</f>
        <v>Site_Contact_887</v>
      </c>
      <c r="AI246" s="180" t="str">
        <f>'Run Parameters'!B$2</f>
        <v>2018-08-13 08:00</v>
      </c>
      <c r="AJ246" s="223" t="str">
        <f>'Run Parameters'!B$3</f>
        <v>2018-08-13 18:00</v>
      </c>
      <c r="AK246" s="175" t="s">
        <v>396</v>
      </c>
      <c r="AL246" s="179" t="str">
        <f>"01159" &amp; D246</f>
        <v>01159887</v>
      </c>
      <c r="AM246" s="175" t="str">
        <f>("0115" &amp; D246)</f>
        <v>0115887</v>
      </c>
      <c r="AN246" s="176"/>
      <c r="AO246" s="176"/>
      <c r="AP246" s="175">
        <v>1</v>
      </c>
      <c r="AQ246" s="183" t="s">
        <v>49</v>
      </c>
      <c r="AR246" s="176"/>
      <c r="AS246" s="175"/>
      <c r="AT246" s="184" t="s">
        <v>832</v>
      </c>
      <c r="AU246" s="184"/>
      <c r="AV246" s="175">
        <f>D246</f>
        <v>887</v>
      </c>
      <c r="AW246" s="175" t="s">
        <v>833</v>
      </c>
      <c r="AX246" s="175" t="s">
        <v>420</v>
      </c>
      <c r="AY246" s="175" t="s">
        <v>421</v>
      </c>
      <c r="AZ246" s="176" t="s">
        <v>333</v>
      </c>
      <c r="BA246" s="176" t="s">
        <v>154</v>
      </c>
      <c r="BB246" s="175">
        <v>1</v>
      </c>
      <c r="BC246" s="177">
        <f>D246</f>
        <v>887</v>
      </c>
      <c r="BD246" s="185" t="s">
        <v>834</v>
      </c>
      <c r="BE246" s="176" t="s">
        <v>391</v>
      </c>
      <c r="BF246" s="176" t="s">
        <v>391</v>
      </c>
      <c r="BG246" s="175" t="s">
        <v>831</v>
      </c>
      <c r="BH246" s="177" t="str">
        <f>BC246&amp;"_"&amp;BB246</f>
        <v>887_1</v>
      </c>
      <c r="BI246" s="175"/>
      <c r="BJ246" s="175" t="str">
        <f>"10000000" &amp; D246</f>
        <v>10000000887</v>
      </c>
      <c r="BK246" s="176" t="s">
        <v>51</v>
      </c>
      <c r="BL246" s="176" t="s">
        <v>405</v>
      </c>
      <c r="BM246" s="175" t="s">
        <v>411</v>
      </c>
      <c r="BN246" s="176"/>
      <c r="BO246" s="177" t="str">
        <f>"S05S" &amp; D246</f>
        <v>S05S887</v>
      </c>
      <c r="BP246" s="176" t="s">
        <v>409</v>
      </c>
      <c r="BQ246" s="176" t="s">
        <v>409</v>
      </c>
      <c r="BR246" s="175" t="s">
        <v>159</v>
      </c>
      <c r="BS246" s="176" t="s">
        <v>50</v>
      </c>
      <c r="BT246" s="184" t="s">
        <v>157</v>
      </c>
      <c r="BU246" s="176" t="s">
        <v>835</v>
      </c>
      <c r="BV246" s="176" t="s">
        <v>51</v>
      </c>
      <c r="BW246" s="176" t="s">
        <v>154</v>
      </c>
      <c r="BX246" s="176"/>
      <c r="BY246" s="176"/>
      <c r="BZ246" s="176" t="s">
        <v>157</v>
      </c>
      <c r="CA246" s="176" t="s">
        <v>269</v>
      </c>
      <c r="CB246" s="184" t="s">
        <v>412</v>
      </c>
      <c r="CC246" s="184" t="s">
        <v>771</v>
      </c>
      <c r="CD246" s="184" t="s">
        <v>392</v>
      </c>
      <c r="CE246" s="184" t="s">
        <v>396</v>
      </c>
      <c r="CF246" s="184" t="s">
        <v>398</v>
      </c>
      <c r="CG246" s="185" t="s">
        <v>836</v>
      </c>
      <c r="CH246" s="184" t="s">
        <v>159</v>
      </c>
      <c r="CI246" s="177">
        <v>1</v>
      </c>
      <c r="CJ246" s="177" t="str">
        <f>("GAS_ENQ_NO-" &amp; D246)</f>
        <v>GAS_ENQ_NO-887</v>
      </c>
      <c r="CK246" s="184" t="s">
        <v>165</v>
      </c>
      <c r="CL246" s="184" t="s">
        <v>391</v>
      </c>
      <c r="CM246" s="184" t="s">
        <v>391</v>
      </c>
      <c r="CN246" s="177" t="s">
        <v>837</v>
      </c>
      <c r="CO246" s="177" t="str">
        <f>("GAS_JOB_ID-" &amp; D246)</f>
        <v>GAS_JOB_ID-887</v>
      </c>
      <c r="CP246" s="184"/>
      <c r="CQ246" s="177" t="str">
        <f>"10000" &amp; D246</f>
        <v>10000887</v>
      </c>
      <c r="CR246" s="177" t="s">
        <v>154</v>
      </c>
      <c r="CS246" s="184" t="s">
        <v>51</v>
      </c>
      <c r="CT246" s="186" t="str">
        <f>"GMETER" &amp; D246</f>
        <v>GMETER887</v>
      </c>
      <c r="CU246" s="177" t="s">
        <v>161</v>
      </c>
      <c r="CV246" s="184" t="s">
        <v>165</v>
      </c>
      <c r="CW246" s="184" t="s">
        <v>772</v>
      </c>
      <c r="CX246" s="184"/>
      <c r="CY246" s="184"/>
      <c r="CZ246" s="184" t="s">
        <v>394</v>
      </c>
      <c r="DA246" s="184" t="s">
        <v>395</v>
      </c>
      <c r="DB246" s="177" t="str">
        <f>("GAS_INST_ID-" &amp; $D246)</f>
        <v>GAS_INST_ID-887</v>
      </c>
      <c r="DC246" s="184" t="s">
        <v>161</v>
      </c>
      <c r="DD246" s="184"/>
      <c r="DE246" s="184" t="s">
        <v>51</v>
      </c>
      <c r="DF246" s="184" t="s">
        <v>264</v>
      </c>
      <c r="DG246" s="184"/>
      <c r="DH246" s="184" t="s">
        <v>397</v>
      </c>
      <c r="DI246" s="184" t="s">
        <v>399</v>
      </c>
      <c r="DJ246" s="187" t="s">
        <v>836</v>
      </c>
      <c r="DK246" s="184" t="s">
        <v>140</v>
      </c>
      <c r="DL246" s="176"/>
      <c r="DM246" s="176"/>
      <c r="DN246" s="177" t="str">
        <f>("DS_Pass-" &amp; $D246)</f>
        <v>DS_Pass-887</v>
      </c>
      <c r="DO246" s="176"/>
      <c r="DP246" s="176"/>
      <c r="DQ246" s="176"/>
      <c r="DR246" s="175"/>
      <c r="DS246" s="175"/>
      <c r="DT246" s="176"/>
      <c r="DU246" s="176"/>
      <c r="DV246" s="176"/>
      <c r="DW246" s="175"/>
      <c r="DX246" s="176"/>
      <c r="DY246" s="176"/>
      <c r="DZ246" s="176" t="s">
        <v>409</v>
      </c>
      <c r="EA246" s="179"/>
      <c r="EB246" s="176"/>
      <c r="EC246" s="176"/>
      <c r="ED246" s="185"/>
      <c r="EE246" s="188"/>
    </row>
    <row r="247" spans="1:136" s="129" customFormat="1" ht="13.5" thickBot="1">
      <c r="A247" s="121"/>
      <c r="B247" s="121"/>
      <c r="C247" s="121"/>
      <c r="D247" s="220">
        <f>'Run Parameters'!$B$1 + ROW()-1</f>
        <v>888</v>
      </c>
      <c r="E247" s="40" t="s">
        <v>47</v>
      </c>
      <c r="F247" s="38" t="s">
        <v>331</v>
      </c>
      <c r="G247" s="41" t="str">
        <f>("Access Dtls-" &amp; D247)</f>
        <v>Access Dtls-888</v>
      </c>
      <c r="H247" s="40" t="s">
        <v>332</v>
      </c>
      <c r="I247" s="41" t="str">
        <f>("MR. Test_"&amp; AV247 &amp;"_EXCH5")</f>
        <v>MR. Test_888_EXCH5</v>
      </c>
      <c r="J247" s="41"/>
      <c r="K247" s="121" t="s">
        <v>425</v>
      </c>
      <c r="L247" s="41" t="str">
        <f>("Cust. Ref-" &amp; D247)</f>
        <v>Cust. Ref-888</v>
      </c>
      <c r="M247" s="40" t="s">
        <v>48</v>
      </c>
      <c r="N247" s="40" t="s">
        <v>425</v>
      </c>
      <c r="O247" s="41"/>
      <c r="P247" s="41" t="str">
        <f>("SN-" &amp; D247)</f>
        <v>SN-888</v>
      </c>
      <c r="Q247" s="41" t="str">
        <f>("SI-" &amp; D247)</f>
        <v>SI-888</v>
      </c>
      <c r="R247" s="41" t="str">
        <f>("SE-" &amp; D247)</f>
        <v>SE-888</v>
      </c>
      <c r="S247" s="39" t="str">
        <f>("Prev_RA-" &amp; D247)</f>
        <v>Prev_RA-888</v>
      </c>
      <c r="T247" s="39" t="str">
        <f>("Prev_Comms-" &amp; D247)</f>
        <v>Prev_Comms-888</v>
      </c>
      <c r="U247" s="40" t="s">
        <v>75</v>
      </c>
      <c r="V247" s="40" t="s">
        <v>401</v>
      </c>
      <c r="W247" s="40" t="s">
        <v>75</v>
      </c>
      <c r="X247" s="40" t="s">
        <v>396</v>
      </c>
      <c r="Y247" s="41" t="str">
        <f>("Forward Add-" &amp; D247)</f>
        <v>Forward Add-888</v>
      </c>
      <c r="Z247" s="40" t="s">
        <v>401</v>
      </c>
      <c r="AA247" s="122" t="str">
        <f>'Run Parameters'!$B$2</f>
        <v>2018-08-13 08:00</v>
      </c>
      <c r="AB247" s="122" t="str">
        <f>'Run Parameters'!B$3</f>
        <v>2018-08-13 18:00</v>
      </c>
      <c r="AC247" s="123">
        <f>('Run Parameters'!$B$2) - 7</f>
        <v>43318.333333333336</v>
      </c>
      <c r="AD247" s="40" t="s">
        <v>75</v>
      </c>
      <c r="AE247" s="38" t="str">
        <f>("LAST_METER-" &amp; D247)</f>
        <v>LAST_METER-888</v>
      </c>
      <c r="AF247" s="122" t="str">
        <f>'Run Parameters'!$B$2</f>
        <v>2018-08-13 08:00</v>
      </c>
      <c r="AG247" s="13" t="str">
        <f>'Run Parameters'!B$4</f>
        <v>AUTOTEST2</v>
      </c>
      <c r="AH247" s="39" t="str">
        <f>("Site_Contact_" &amp; D247)</f>
        <v>Site_Contact_888</v>
      </c>
      <c r="AI247" s="122" t="str">
        <f>'Run Parameters'!B$2</f>
        <v>2018-08-13 08:00</v>
      </c>
      <c r="AJ247" s="223" t="str">
        <f>'Run Parameters'!B$3</f>
        <v>2018-08-13 18:00</v>
      </c>
      <c r="AK247" s="41" t="s">
        <v>396</v>
      </c>
      <c r="AL247" s="39" t="str">
        <f>"01159" &amp; D247</f>
        <v>01159888</v>
      </c>
      <c r="AM247" s="41" t="str">
        <f>("0115" &amp; D247)</f>
        <v>0115888</v>
      </c>
      <c r="AN247" s="40"/>
      <c r="AO247" s="40"/>
      <c r="AP247" s="41">
        <v>1</v>
      </c>
      <c r="AQ247" s="124" t="s">
        <v>49</v>
      </c>
      <c r="AR247" s="40"/>
      <c r="AS247" s="41"/>
      <c r="AT247" s="40"/>
      <c r="AU247" s="40"/>
      <c r="AV247" s="41">
        <f>D247</f>
        <v>888</v>
      </c>
      <c r="AW247" s="41" t="s">
        <v>422</v>
      </c>
      <c r="AX247" s="41" t="s">
        <v>420</v>
      </c>
      <c r="AY247" s="41" t="s">
        <v>421</v>
      </c>
      <c r="AZ247" s="40" t="s">
        <v>333</v>
      </c>
      <c r="BA247" s="40" t="s">
        <v>154</v>
      </c>
      <c r="BB247" s="41">
        <v>1</v>
      </c>
      <c r="BC247" s="38" t="str">
        <f>("E_ENQ_NO-" &amp; D247)</f>
        <v>E_ENQ_NO-888</v>
      </c>
      <c r="BD247" s="37" t="s">
        <v>719</v>
      </c>
      <c r="BE247" s="40" t="s">
        <v>391</v>
      </c>
      <c r="BF247" s="40" t="s">
        <v>391</v>
      </c>
      <c r="BG247" s="41" t="s">
        <v>331</v>
      </c>
      <c r="BH247" s="38" t="str">
        <f>("ELEC_JOB_ID-" &amp; D247)</f>
        <v>ELEC_JOB_ID-888</v>
      </c>
      <c r="BI247" s="41"/>
      <c r="BJ247" s="41" t="str">
        <f>"10000000" &amp; D247</f>
        <v>10000000888</v>
      </c>
      <c r="BK247" s="40" t="s">
        <v>51</v>
      </c>
      <c r="BL247" s="40" t="s">
        <v>405</v>
      </c>
      <c r="BM247" s="41" t="s">
        <v>406</v>
      </c>
      <c r="BN247" s="40" t="s">
        <v>51</v>
      </c>
      <c r="BO247" s="38" t="str">
        <f>"S05S" &amp; D247</f>
        <v>S05S888</v>
      </c>
      <c r="BP247" s="40" t="s">
        <v>407</v>
      </c>
      <c r="BQ247" s="40" t="s">
        <v>407</v>
      </c>
      <c r="BR247" s="41" t="s">
        <v>158</v>
      </c>
      <c r="BS247" s="40" t="s">
        <v>166</v>
      </c>
      <c r="BT247" s="37" t="s">
        <v>162</v>
      </c>
      <c r="BU247" s="40" t="s">
        <v>408</v>
      </c>
      <c r="BV247" s="40" t="s">
        <v>65</v>
      </c>
      <c r="BW247" s="40" t="s">
        <v>154</v>
      </c>
      <c r="BX247" s="40"/>
      <c r="BY247" s="40"/>
      <c r="BZ247" s="40" t="s">
        <v>157</v>
      </c>
      <c r="CA247" s="40">
        <v>151</v>
      </c>
      <c r="CB247" s="37" t="s">
        <v>416</v>
      </c>
      <c r="CC247" s="37" t="s">
        <v>415</v>
      </c>
      <c r="CD247" s="40" t="s">
        <v>392</v>
      </c>
      <c r="CE247" s="40" t="s">
        <v>396</v>
      </c>
      <c r="CF247" s="40" t="s">
        <v>398</v>
      </c>
      <c r="CG247" s="40" t="s">
        <v>718</v>
      </c>
      <c r="CH247" s="40" t="s">
        <v>159</v>
      </c>
      <c r="CI247" s="42"/>
      <c r="CJ247" s="42"/>
      <c r="CK247" s="42"/>
      <c r="CL247" s="42"/>
      <c r="CM247" s="42"/>
      <c r="CN247" s="125"/>
      <c r="CO247" s="42"/>
      <c r="CP247" s="42"/>
      <c r="CQ247" s="125" t="s">
        <v>77</v>
      </c>
      <c r="CR247" s="42"/>
      <c r="CS247" s="42"/>
      <c r="CT247" s="42"/>
      <c r="CU247" s="42"/>
      <c r="CV247" s="42"/>
      <c r="CW247" s="42"/>
      <c r="CX247" s="42"/>
      <c r="CY247" s="42"/>
      <c r="CZ247" s="42"/>
      <c r="DA247" s="42"/>
      <c r="DB247" s="42"/>
      <c r="DC247" s="42"/>
      <c r="DD247" s="126"/>
      <c r="DE247" s="42"/>
      <c r="DF247" s="42"/>
      <c r="DG247" s="42"/>
      <c r="DH247" s="42"/>
      <c r="DI247" s="42"/>
      <c r="DJ247" s="127"/>
      <c r="DK247" s="42"/>
      <c r="DL247" s="42"/>
      <c r="DM247" s="42"/>
      <c r="DN247" s="42"/>
      <c r="DO247" s="42"/>
      <c r="DP247" s="42"/>
      <c r="DQ247" s="42"/>
      <c r="DR247" s="42"/>
      <c r="DS247" s="42"/>
      <c r="DT247" s="42"/>
      <c r="DU247" s="42"/>
      <c r="DV247" s="42"/>
      <c r="DW247" s="42"/>
      <c r="DX247" s="42"/>
      <c r="DY247" s="42"/>
      <c r="DZ247" s="42"/>
      <c r="EA247" s="42"/>
      <c r="EB247" s="42"/>
      <c r="EC247" s="42"/>
      <c r="ED247" s="128"/>
      <c r="EE247" s="128"/>
    </row>
    <row r="248" spans="1:136" ht="13.5" thickBot="1">
      <c r="D248" s="4"/>
      <c r="E248" s="3"/>
      <c r="F248" s="4"/>
      <c r="G248" s="4"/>
      <c r="H248" s="3"/>
      <c r="I248" s="3"/>
      <c r="J248" s="3"/>
      <c r="K248" s="3"/>
      <c r="L248" s="3"/>
      <c r="M248" s="3"/>
      <c r="N248" s="3"/>
      <c r="O248" s="3"/>
      <c r="P248" s="3"/>
      <c r="Q248" s="3"/>
      <c r="R248" s="3"/>
      <c r="S248" s="3"/>
      <c r="T248" s="3"/>
      <c r="U248" s="3"/>
      <c r="V248" s="3"/>
      <c r="W248" s="3"/>
      <c r="X248" s="3"/>
      <c r="Y248" s="3"/>
      <c r="Z248" s="3"/>
      <c r="AA248" s="3"/>
      <c r="AB248" s="3"/>
      <c r="AC248" s="3"/>
      <c r="AD248" s="3"/>
      <c r="AE248" s="3"/>
      <c r="AF248" s="3"/>
      <c r="AG248" s="3"/>
      <c r="AH248" s="3"/>
      <c r="AI248" s="3"/>
      <c r="AJ248" s="3"/>
      <c r="AK248" s="3"/>
      <c r="AL248" s="3"/>
      <c r="AM248" s="3"/>
      <c r="AN248" s="3"/>
      <c r="AO248" s="3"/>
      <c r="AP248" s="3"/>
      <c r="AQ248" s="3"/>
      <c r="AR248" s="3"/>
      <c r="AS248" s="3"/>
      <c r="AT248" s="3"/>
      <c r="AU248" s="3"/>
      <c r="AV248" s="3"/>
      <c r="AW248" s="3"/>
      <c r="AX248" s="3"/>
      <c r="AY248" s="3"/>
      <c r="AZ248" s="3"/>
      <c r="BA248" s="3"/>
      <c r="BB248" s="3"/>
      <c r="BC248" s="3"/>
      <c r="BD248" s="3"/>
      <c r="BE248" s="3"/>
      <c r="BF248" s="3"/>
      <c r="BG248" s="3"/>
      <c r="BH248" s="3"/>
      <c r="BI248" s="3"/>
      <c r="BJ248" s="3"/>
      <c r="BK248" s="3"/>
      <c r="BL248" s="3"/>
      <c r="BM248" s="3"/>
      <c r="BN248" s="3"/>
      <c r="BO248" s="3"/>
      <c r="BP248" s="3"/>
      <c r="BQ248" s="3"/>
      <c r="BR248" s="3"/>
      <c r="BS248" s="3"/>
      <c r="BT248" s="3"/>
      <c r="BU248" s="3"/>
      <c r="BV248" s="3"/>
      <c r="BW248" s="3"/>
      <c r="BX248" s="3"/>
      <c r="BY248" s="3"/>
      <c r="BZ248" s="3"/>
      <c r="CA248" s="3"/>
      <c r="CB248" s="3"/>
      <c r="CC248" s="3"/>
      <c r="CD248" s="3"/>
      <c r="CE248" s="3"/>
      <c r="CF248" s="3"/>
      <c r="CG248" s="3"/>
      <c r="CH248" s="3"/>
      <c r="CI248" s="3"/>
      <c r="CJ248" s="3"/>
      <c r="CK248" s="3"/>
      <c r="CL248" s="3"/>
      <c r="CM248" s="3"/>
      <c r="CN248" s="5"/>
      <c r="CO248" s="3"/>
      <c r="CP248" s="3"/>
      <c r="CQ248" s="3"/>
      <c r="CR248" s="3"/>
      <c r="CS248" s="3"/>
      <c r="CT248" s="3"/>
      <c r="CU248" s="3"/>
      <c r="CV248" s="3"/>
      <c r="CW248" s="3"/>
      <c r="CX248" s="3"/>
      <c r="CY248" s="3"/>
      <c r="CZ248" s="3"/>
      <c r="DA248" s="3"/>
      <c r="DB248" s="3"/>
      <c r="DC248" s="3"/>
      <c r="DD248" s="1"/>
      <c r="DE248" s="3"/>
      <c r="DF248" s="3"/>
      <c r="DG248" s="3"/>
      <c r="DH248" s="3"/>
      <c r="DI248" s="3"/>
      <c r="DJ248" s="3"/>
      <c r="DK248" s="3"/>
      <c r="DL248" s="3"/>
      <c r="DM248" s="3"/>
      <c r="DN248" s="3"/>
      <c r="DO248" s="3"/>
      <c r="DP248" s="3"/>
      <c r="DQ248" s="3"/>
      <c r="DR248" s="3"/>
      <c r="DS248" s="3"/>
      <c r="DT248" s="3"/>
      <c r="DU248" s="3"/>
      <c r="DV248" s="3"/>
      <c r="DW248" s="3"/>
      <c r="DX248" s="3"/>
      <c r="DY248" s="3"/>
      <c r="DZ248" s="3"/>
      <c r="EA248" s="3"/>
      <c r="EB248" s="3"/>
      <c r="EC248" s="3"/>
      <c r="ED248" s="3"/>
      <c r="EE248" s="3"/>
      <c r="EF248" s="55"/>
    </row>
    <row r="249" spans="1:136">
      <c r="D249" s="4"/>
      <c r="E249" s="3"/>
      <c r="F249" s="43" t="s">
        <v>432</v>
      </c>
      <c r="G249" s="4"/>
      <c r="H249" s="3"/>
      <c r="I249" s="3"/>
      <c r="J249" s="3"/>
      <c r="K249" s="3"/>
      <c r="L249" s="3"/>
      <c r="M249" s="3"/>
      <c r="N249" s="3"/>
      <c r="O249" s="3"/>
      <c r="P249" s="3"/>
      <c r="Q249" s="3"/>
      <c r="R249" s="3"/>
      <c r="S249" s="3"/>
      <c r="T249" s="3"/>
      <c r="U249" s="3"/>
      <c r="V249" s="3"/>
      <c r="W249" s="3"/>
      <c r="X249" s="3"/>
      <c r="Y249" s="3"/>
      <c r="Z249" s="3"/>
      <c r="AA249" s="3"/>
      <c r="AB249" s="3"/>
      <c r="AC249" s="3"/>
      <c r="AD249" s="3"/>
      <c r="AE249" s="3"/>
      <c r="AF249" s="3"/>
      <c r="AG249" s="3"/>
      <c r="AH249" s="3"/>
      <c r="AI249" s="3"/>
      <c r="AJ249" s="3"/>
      <c r="AK249" s="3"/>
      <c r="AL249" s="3"/>
      <c r="AM249" s="3"/>
      <c r="AN249" s="3"/>
      <c r="AO249" s="3"/>
      <c r="AP249" s="3"/>
      <c r="AQ249" s="3"/>
      <c r="AR249" s="3"/>
      <c r="AS249" s="3"/>
      <c r="AT249" s="3"/>
      <c r="AU249" s="3"/>
      <c r="AV249" s="3"/>
      <c r="AW249" s="3"/>
      <c r="AX249" s="3"/>
      <c r="AY249" s="3"/>
      <c r="AZ249" s="3"/>
      <c r="BA249" s="3"/>
      <c r="BB249" s="3"/>
      <c r="BC249" s="3"/>
      <c r="BD249" s="3"/>
      <c r="BE249" s="3"/>
      <c r="BF249" s="3"/>
      <c r="BG249" s="3"/>
      <c r="BH249" s="3"/>
      <c r="BI249" s="3"/>
      <c r="BJ249" s="3"/>
      <c r="BK249" s="3"/>
      <c r="BL249" s="3"/>
      <c r="BM249" s="3"/>
      <c r="BN249" s="3"/>
      <c r="BO249" s="3"/>
      <c r="BP249" s="3"/>
      <c r="BQ249" s="3"/>
      <c r="BR249" s="3"/>
      <c r="BS249" s="3"/>
      <c r="BT249" s="3"/>
      <c r="BU249" s="3"/>
      <c r="BV249" s="3"/>
      <c r="BW249" s="3"/>
      <c r="BX249" s="3"/>
      <c r="BY249" s="3"/>
      <c r="BZ249" s="3"/>
      <c r="CA249" s="3"/>
      <c r="CB249" s="3"/>
      <c r="CC249" s="3"/>
      <c r="CD249" s="3"/>
      <c r="CE249" s="3"/>
      <c r="CF249" s="3"/>
      <c r="CG249" s="3"/>
      <c r="CH249" s="3"/>
      <c r="CI249" s="3"/>
      <c r="CJ249" s="3"/>
      <c r="CK249" s="3"/>
      <c r="CL249" s="3"/>
      <c r="CM249" s="3"/>
      <c r="CN249" s="5"/>
      <c r="CO249" s="3"/>
      <c r="CP249" s="3"/>
      <c r="CQ249" s="3"/>
      <c r="CR249" s="3"/>
      <c r="CS249" s="3"/>
      <c r="CT249" s="3"/>
      <c r="CU249" s="3"/>
      <c r="CV249" s="3"/>
      <c r="CW249" s="3"/>
      <c r="CX249" s="3"/>
      <c r="CY249" s="3"/>
      <c r="CZ249" s="3"/>
      <c r="DA249" s="3"/>
      <c r="DB249" s="3"/>
      <c r="DC249" s="3"/>
      <c r="DD249" s="1"/>
      <c r="DE249" s="3"/>
      <c r="DF249" s="3"/>
      <c r="DG249" s="3"/>
      <c r="DH249" s="3"/>
      <c r="DI249" s="3"/>
      <c r="DJ249" s="3"/>
      <c r="DK249" s="3"/>
      <c r="DL249" s="3"/>
      <c r="DM249" s="3"/>
      <c r="DN249" s="3"/>
      <c r="DO249" s="3"/>
      <c r="DP249" s="3"/>
      <c r="DQ249" s="3"/>
      <c r="DR249" s="3"/>
      <c r="DS249" s="3"/>
      <c r="DT249" s="3"/>
      <c r="DU249" s="3"/>
      <c r="DV249" s="3"/>
      <c r="DW249" s="3"/>
      <c r="DX249" s="3"/>
      <c r="DY249" s="3"/>
      <c r="DZ249" s="3"/>
      <c r="EA249" s="3"/>
      <c r="EB249" s="3"/>
      <c r="EC249" s="3"/>
      <c r="ED249" s="3"/>
      <c r="EE249" s="3"/>
      <c r="EF249" s="55"/>
    </row>
    <row r="250" spans="1:136">
      <c r="D250" s="4"/>
      <c r="E250" s="3"/>
      <c r="F250" s="22" t="s">
        <v>429</v>
      </c>
      <c r="G250" s="4"/>
      <c r="H250" s="3"/>
      <c r="I250" s="3"/>
      <c r="J250" s="3"/>
      <c r="K250" s="3"/>
      <c r="L250" s="3"/>
      <c r="M250" s="3"/>
      <c r="N250" s="3"/>
      <c r="O250" s="3"/>
      <c r="P250" s="3"/>
      <c r="Q250" s="3"/>
      <c r="R250" s="3"/>
      <c r="S250" s="3"/>
      <c r="T250" s="3"/>
      <c r="U250" s="3"/>
      <c r="V250" s="3"/>
      <c r="W250" s="3"/>
      <c r="X250" s="3"/>
      <c r="Y250" s="3"/>
      <c r="Z250" s="3"/>
      <c r="AA250" s="3"/>
      <c r="AB250" s="3"/>
      <c r="AC250" s="3"/>
      <c r="AD250" s="3"/>
      <c r="AE250" s="3"/>
      <c r="AF250" s="3"/>
      <c r="AG250" s="3"/>
      <c r="AH250" s="3"/>
      <c r="AI250" s="3"/>
      <c r="AJ250" s="3"/>
      <c r="AK250" s="3"/>
      <c r="AL250" s="3"/>
      <c r="AM250" s="3"/>
      <c r="AN250" s="3"/>
      <c r="AO250" s="3"/>
      <c r="AP250" s="3"/>
      <c r="AQ250" s="3"/>
      <c r="AR250" s="3"/>
      <c r="AS250" s="3"/>
      <c r="AT250" s="3"/>
      <c r="AU250" s="3"/>
      <c r="AV250" s="3"/>
      <c r="AW250" s="3"/>
      <c r="AX250" s="3"/>
      <c r="AY250" s="3"/>
      <c r="AZ250" s="3"/>
      <c r="BA250" s="3"/>
      <c r="BB250" s="3"/>
      <c r="BC250" s="3"/>
      <c r="BD250" s="3"/>
      <c r="BE250" s="3"/>
      <c r="BF250" s="3"/>
      <c r="BG250" s="3"/>
      <c r="BH250" s="3"/>
      <c r="BI250" s="3"/>
      <c r="BJ250" s="3"/>
      <c r="BK250" s="3"/>
      <c r="BL250" s="3"/>
      <c r="BM250" s="3"/>
      <c r="BN250" s="3"/>
      <c r="BO250" s="3"/>
      <c r="BP250" s="3"/>
      <c r="BQ250" s="3"/>
      <c r="BR250" s="3"/>
      <c r="BS250" s="3"/>
      <c r="BT250" s="3"/>
      <c r="BU250" s="3"/>
      <c r="BV250" s="3"/>
      <c r="BW250" s="3"/>
      <c r="BX250" s="3"/>
      <c r="BY250" s="3"/>
      <c r="BZ250" s="3"/>
      <c r="CA250" s="3"/>
      <c r="CB250" s="3"/>
      <c r="CC250" s="3"/>
      <c r="CD250" s="3"/>
      <c r="CE250" s="3"/>
      <c r="CF250" s="3"/>
      <c r="CG250" s="3"/>
      <c r="CH250" s="3"/>
      <c r="CI250" s="3"/>
      <c r="CJ250" s="3"/>
      <c r="CK250" s="3"/>
      <c r="CL250" s="3"/>
      <c r="CM250" s="3"/>
      <c r="CN250" s="5"/>
      <c r="CO250" s="3"/>
      <c r="CP250" s="3"/>
      <c r="CQ250" s="3"/>
      <c r="CR250" s="3"/>
      <c r="CS250" s="3"/>
      <c r="CT250" s="3"/>
      <c r="CU250" s="3"/>
      <c r="CV250" s="3"/>
      <c r="CW250" s="3"/>
      <c r="CX250" s="3"/>
      <c r="CY250" s="3"/>
      <c r="CZ250" s="3"/>
      <c r="DA250" s="3"/>
      <c r="DB250" s="3"/>
      <c r="DC250" s="3"/>
      <c r="DD250" s="1"/>
      <c r="DE250" s="3"/>
      <c r="DF250" s="3"/>
      <c r="DG250" s="3"/>
      <c r="DH250" s="3"/>
      <c r="DI250" s="3"/>
      <c r="DJ250" s="3"/>
      <c r="DK250" s="3"/>
      <c r="DL250" s="3"/>
      <c r="DM250" s="3"/>
      <c r="DN250" s="3"/>
      <c r="DO250" s="3"/>
      <c r="DP250" s="3"/>
      <c r="DQ250" s="3"/>
      <c r="DR250" s="3"/>
      <c r="DS250" s="3"/>
      <c r="DT250" s="3"/>
      <c r="DU250" s="3"/>
      <c r="DV250" s="3"/>
      <c r="DW250" s="3"/>
      <c r="DX250" s="3"/>
      <c r="DY250" s="3"/>
      <c r="DZ250" s="3"/>
      <c r="EA250" s="3"/>
      <c r="EB250" s="3"/>
      <c r="EC250" s="3"/>
      <c r="ED250" s="3"/>
      <c r="EE250" s="3"/>
      <c r="EF250" s="55"/>
    </row>
    <row r="251" spans="1:136">
      <c r="D251" s="4"/>
      <c r="E251" s="3"/>
      <c r="F251" s="23" t="s">
        <v>431</v>
      </c>
      <c r="G251" s="4"/>
      <c r="H251" s="3"/>
      <c r="I251" s="3"/>
      <c r="J251" s="3"/>
      <c r="K251" s="3"/>
      <c r="L251" s="3"/>
      <c r="M251" s="3"/>
      <c r="N251" s="3"/>
      <c r="O251" s="3"/>
      <c r="P251" s="3"/>
      <c r="Q251" s="3"/>
      <c r="R251" s="3"/>
      <c r="S251" s="3"/>
      <c r="T251" s="3"/>
      <c r="U251" s="3"/>
      <c r="V251" s="3"/>
      <c r="W251" s="3"/>
      <c r="X251" s="3"/>
      <c r="Y251" s="3"/>
      <c r="Z251" s="3"/>
      <c r="AA251" s="3"/>
      <c r="AB251" s="3"/>
      <c r="AC251" s="3"/>
      <c r="AD251" s="3"/>
      <c r="AE251" s="3"/>
      <c r="AF251" s="3"/>
      <c r="AG251" s="3"/>
      <c r="AH251" s="3"/>
      <c r="AI251" s="3"/>
      <c r="AJ251" s="3"/>
      <c r="AK251" s="3"/>
      <c r="AL251" s="3"/>
      <c r="AM251" s="3"/>
      <c r="AN251" s="3"/>
      <c r="AO251" s="3"/>
      <c r="AP251" s="3"/>
      <c r="AQ251" s="3"/>
      <c r="AR251" s="3"/>
      <c r="AS251" s="3"/>
      <c r="AT251" s="3"/>
      <c r="AU251" s="3"/>
      <c r="AV251" s="3"/>
      <c r="AW251" s="3"/>
      <c r="AX251" s="3"/>
      <c r="AY251" s="3"/>
      <c r="AZ251" s="3"/>
      <c r="BA251" s="3"/>
      <c r="BB251" s="3"/>
      <c r="BC251" s="3"/>
      <c r="BD251" s="3"/>
      <c r="BE251" s="3"/>
      <c r="BF251" s="3"/>
      <c r="BG251" s="3"/>
      <c r="BH251" s="3"/>
      <c r="BI251" s="3"/>
      <c r="BJ251" s="3"/>
      <c r="BK251" s="3"/>
      <c r="BL251" s="3"/>
      <c r="BM251" s="3"/>
      <c r="BN251" s="3"/>
      <c r="BO251" s="3"/>
      <c r="BP251" s="3"/>
      <c r="BQ251" s="3"/>
      <c r="BR251" s="3"/>
      <c r="BS251" s="3"/>
      <c r="BT251" s="3"/>
      <c r="BU251" s="3"/>
      <c r="BV251" s="3"/>
      <c r="BW251" s="3"/>
      <c r="BX251" s="3"/>
      <c r="BY251" s="3"/>
      <c r="BZ251" s="3"/>
      <c r="CA251" s="3"/>
      <c r="CB251" s="3"/>
      <c r="CC251" s="3"/>
      <c r="CD251" s="3"/>
      <c r="CE251" s="3"/>
      <c r="CF251" s="3"/>
      <c r="CG251" s="3"/>
      <c r="CH251" s="3"/>
      <c r="CI251" s="3"/>
      <c r="CJ251" s="3"/>
      <c r="CK251" s="3"/>
      <c r="CL251" s="3"/>
      <c r="CM251" s="3"/>
      <c r="CN251" s="5"/>
      <c r="CO251" s="3"/>
      <c r="CP251" s="3"/>
      <c r="CQ251" s="3"/>
      <c r="CR251" s="3"/>
      <c r="CS251" s="3"/>
      <c r="CT251" s="3"/>
      <c r="CU251" s="3"/>
      <c r="CV251" s="3"/>
      <c r="CW251" s="3"/>
      <c r="CX251" s="3"/>
      <c r="CY251" s="3"/>
      <c r="CZ251" s="3"/>
      <c r="DA251" s="3"/>
      <c r="DB251" s="3"/>
      <c r="DC251" s="3"/>
      <c r="DD251" s="1"/>
      <c r="DE251" s="3"/>
      <c r="DF251" s="3"/>
      <c r="DG251" s="3"/>
      <c r="DH251" s="3"/>
      <c r="DI251" s="3"/>
      <c r="DJ251" s="3"/>
      <c r="DK251" s="3"/>
      <c r="DL251" s="3"/>
      <c r="DM251" s="3"/>
      <c r="DN251" s="3"/>
      <c r="DO251" s="3"/>
      <c r="DP251" s="3"/>
      <c r="DQ251" s="3"/>
      <c r="DR251" s="3"/>
      <c r="DS251" s="3"/>
      <c r="DT251" s="3"/>
      <c r="DU251" s="3"/>
      <c r="DV251" s="3"/>
      <c r="DW251" s="3"/>
      <c r="DX251" s="3"/>
      <c r="DY251" s="3"/>
      <c r="DZ251" s="3"/>
      <c r="EA251" s="3"/>
      <c r="EB251" s="3"/>
      <c r="EC251" s="3"/>
      <c r="ED251" s="3"/>
      <c r="EE251" s="3"/>
      <c r="EF251" s="55"/>
    </row>
    <row r="252" spans="1:136">
      <c r="D252" s="4"/>
      <c r="E252" s="3"/>
      <c r="F252" s="29" t="s">
        <v>430</v>
      </c>
      <c r="G252" s="4"/>
      <c r="H252" s="3"/>
      <c r="I252" s="3"/>
      <c r="J252" s="3"/>
      <c r="K252" s="3"/>
      <c r="L252" s="3"/>
      <c r="M252" s="3"/>
      <c r="N252" s="3"/>
      <c r="O252" s="3"/>
      <c r="P252" s="3"/>
      <c r="Q252" s="3"/>
      <c r="R252" s="3"/>
      <c r="S252" s="3"/>
      <c r="T252" s="3"/>
      <c r="U252" s="3"/>
      <c r="V252" s="3"/>
      <c r="W252" s="3"/>
      <c r="X252" s="3"/>
      <c r="Y252" s="3"/>
      <c r="Z252" s="3"/>
      <c r="AA252" s="3"/>
      <c r="AB252" s="3"/>
      <c r="AC252" s="3"/>
      <c r="AD252" s="3"/>
      <c r="AE252" s="3"/>
      <c r="AF252" s="3"/>
      <c r="AG252" s="3"/>
      <c r="AH252" s="3"/>
      <c r="AI252" s="3"/>
      <c r="AJ252" s="3"/>
      <c r="AK252" s="3"/>
      <c r="AL252" s="3"/>
      <c r="AM252" s="3"/>
      <c r="AN252" s="3"/>
      <c r="AO252" s="3"/>
      <c r="AP252" s="3"/>
      <c r="AQ252" s="3"/>
      <c r="AR252" s="3"/>
      <c r="AS252" s="3"/>
      <c r="AT252" s="3"/>
      <c r="AU252" s="3"/>
      <c r="AV252" s="3"/>
      <c r="AW252" s="3"/>
      <c r="AX252" s="3"/>
      <c r="AY252" s="3"/>
      <c r="AZ252" s="3"/>
      <c r="BA252" s="3"/>
      <c r="BB252" s="3"/>
      <c r="BC252" s="3"/>
      <c r="BD252" s="3"/>
      <c r="BE252" s="3"/>
      <c r="BF252" s="3"/>
      <c r="BG252" s="3"/>
      <c r="BH252" s="3"/>
      <c r="BI252" s="3"/>
      <c r="BJ252" s="3"/>
      <c r="BK252" s="3"/>
      <c r="BL252" s="3"/>
      <c r="BM252" s="3"/>
      <c r="BN252" s="3"/>
      <c r="BO252" s="3"/>
      <c r="BP252" s="3"/>
      <c r="BQ252" s="3"/>
      <c r="BR252" s="3"/>
      <c r="BS252" s="3"/>
      <c r="BT252" s="3"/>
      <c r="BU252" s="3"/>
      <c r="BV252" s="3"/>
      <c r="BW252" s="3"/>
      <c r="BX252" s="3"/>
      <c r="BY252" s="3"/>
      <c r="BZ252" s="3"/>
      <c r="CA252" s="3"/>
      <c r="CB252" s="3"/>
      <c r="CC252" s="3"/>
      <c r="CD252" s="3"/>
      <c r="CE252" s="3"/>
      <c r="CF252" s="3"/>
      <c r="CG252" s="3"/>
      <c r="CH252" s="3"/>
      <c r="CI252" s="3"/>
      <c r="CJ252" s="3"/>
      <c r="CK252" s="3"/>
      <c r="CL252" s="3"/>
      <c r="CM252" s="3"/>
      <c r="CN252" s="5"/>
      <c r="CO252" s="3"/>
      <c r="CP252" s="3"/>
      <c r="CQ252" s="3"/>
      <c r="CR252" s="3"/>
      <c r="CS252" s="3"/>
      <c r="CT252" s="3"/>
      <c r="CU252" s="3"/>
      <c r="CV252" s="3"/>
      <c r="CW252" s="3"/>
      <c r="CX252" s="3"/>
      <c r="CY252" s="3"/>
      <c r="CZ252" s="3"/>
      <c r="DA252" s="3"/>
      <c r="DB252" s="3"/>
      <c r="DC252" s="3"/>
      <c r="DD252" s="1"/>
      <c r="DE252" s="3"/>
      <c r="DF252" s="3"/>
      <c r="DG252" s="3"/>
      <c r="DH252" s="3"/>
      <c r="DI252" s="3"/>
      <c r="DJ252" s="3"/>
      <c r="DK252" s="3"/>
      <c r="DL252" s="3"/>
      <c r="DM252" s="3"/>
      <c r="DN252" s="3"/>
      <c r="DO252" s="3"/>
      <c r="DP252" s="3"/>
      <c r="DQ252" s="3"/>
      <c r="DR252" s="3"/>
      <c r="DS252" s="3"/>
      <c r="DT252" s="3"/>
      <c r="DU252" s="3"/>
      <c r="DV252" s="3"/>
      <c r="DW252" s="3"/>
      <c r="DX252" s="3"/>
      <c r="DY252" s="3"/>
      <c r="DZ252" s="3"/>
      <c r="EA252" s="3"/>
      <c r="EB252" s="3"/>
      <c r="EC252" s="3"/>
      <c r="ED252" s="3"/>
      <c r="EE252" s="3"/>
      <c r="EF252" s="55"/>
    </row>
    <row r="253" spans="1:136" ht="13.5" thickBot="1">
      <c r="D253" s="4"/>
      <c r="E253" s="3"/>
      <c r="F253" s="30" t="s">
        <v>435</v>
      </c>
      <c r="G253" s="4"/>
      <c r="H253" s="3"/>
      <c r="I253" s="3"/>
      <c r="J253" s="3"/>
      <c r="K253" s="3"/>
      <c r="L253" s="3"/>
      <c r="M253" s="3"/>
      <c r="N253" s="3"/>
      <c r="O253" s="3"/>
      <c r="P253" s="3"/>
      <c r="Q253" s="3"/>
      <c r="R253" s="3"/>
      <c r="S253" s="3"/>
      <c r="T253" s="3"/>
      <c r="U253" s="3"/>
      <c r="V253" s="3"/>
      <c r="W253" s="3"/>
      <c r="X253" s="3"/>
      <c r="Y253" s="3"/>
      <c r="Z253" s="3"/>
      <c r="AA253" s="3"/>
      <c r="AB253" s="3"/>
      <c r="AC253" s="3"/>
      <c r="AD253" s="3"/>
      <c r="AE253" s="3"/>
      <c r="AF253" s="3"/>
      <c r="AG253" s="3"/>
      <c r="AH253" s="3"/>
      <c r="AI253" s="3"/>
      <c r="AJ253" s="3"/>
      <c r="AK253" s="3"/>
      <c r="AL253" s="3"/>
      <c r="AM253" s="3"/>
      <c r="AN253" s="3"/>
      <c r="AO253" s="3"/>
      <c r="AP253" s="3"/>
      <c r="AQ253" s="3"/>
      <c r="AR253" s="3"/>
      <c r="AS253" s="3"/>
      <c r="AT253" s="3"/>
      <c r="AU253" s="3"/>
      <c r="AV253" s="3"/>
      <c r="AW253" s="3"/>
      <c r="AX253" s="3"/>
      <c r="AY253" s="3"/>
      <c r="AZ253" s="3"/>
      <c r="BA253" s="3"/>
      <c r="BB253" s="3"/>
      <c r="BC253" s="3"/>
      <c r="BD253" s="3"/>
      <c r="BE253" s="3"/>
      <c r="BF253" s="3"/>
      <c r="BG253" s="3"/>
      <c r="BH253" s="3"/>
      <c r="BI253" s="3"/>
      <c r="BJ253" s="3"/>
      <c r="BK253" s="3"/>
      <c r="BL253" s="3"/>
      <c r="BM253" s="3"/>
      <c r="BN253" s="3"/>
      <c r="BO253" s="3"/>
      <c r="BP253" s="3"/>
      <c r="BQ253" s="3"/>
      <c r="BR253" s="3"/>
      <c r="BS253" s="3"/>
      <c r="BT253" s="3"/>
      <c r="BU253" s="3"/>
      <c r="BV253" s="3"/>
      <c r="BW253" s="3"/>
      <c r="BX253" s="3"/>
      <c r="BY253" s="3"/>
      <c r="BZ253" s="3"/>
      <c r="CA253" s="3"/>
      <c r="CB253" s="3"/>
      <c r="CC253" s="3"/>
      <c r="CD253" s="3"/>
      <c r="CE253" s="3"/>
      <c r="CF253" s="3"/>
      <c r="CG253" s="3"/>
      <c r="CH253" s="3"/>
      <c r="CI253" s="3"/>
      <c r="CJ253" s="3"/>
      <c r="CK253" s="3"/>
      <c r="CL253" s="3"/>
      <c r="CM253" s="3"/>
      <c r="CN253" s="5"/>
      <c r="CO253" s="3"/>
      <c r="CP253" s="3"/>
      <c r="CQ253" s="3"/>
      <c r="CR253" s="3"/>
      <c r="CS253" s="3"/>
      <c r="CT253" s="3"/>
      <c r="CU253" s="3"/>
      <c r="CV253" s="3"/>
      <c r="CW253" s="3"/>
      <c r="CX253" s="3"/>
      <c r="CY253" s="3"/>
      <c r="CZ253" s="3"/>
      <c r="DA253" s="3"/>
      <c r="DB253" s="3"/>
      <c r="DC253" s="3"/>
      <c r="DD253" s="1"/>
      <c r="DE253" s="3"/>
      <c r="DF253" s="3"/>
      <c r="DG253" s="3"/>
      <c r="DH253" s="3"/>
      <c r="DI253" s="3"/>
      <c r="DJ253" s="3"/>
      <c r="DK253" s="3"/>
      <c r="DL253" s="3"/>
      <c r="DM253" s="3"/>
      <c r="DN253" s="3"/>
      <c r="DO253" s="3"/>
      <c r="DP253" s="3"/>
      <c r="DQ253" s="3"/>
      <c r="DR253" s="3"/>
      <c r="DS253" s="3"/>
      <c r="DT253" s="3"/>
      <c r="DU253" s="3"/>
      <c r="DV253" s="3"/>
      <c r="DW253" s="3"/>
      <c r="DX253" s="3"/>
      <c r="DY253" s="3"/>
      <c r="DZ253" s="3"/>
      <c r="EA253" s="3"/>
      <c r="EB253" s="3"/>
      <c r="EC253" s="3"/>
      <c r="ED253" s="3"/>
      <c r="EE253" s="3"/>
      <c r="EF253" s="55"/>
    </row>
    <row r="254" spans="1:136">
      <c r="D254" s="4"/>
      <c r="E254" s="3"/>
      <c r="F254" s="1"/>
      <c r="G254" s="4"/>
      <c r="H254" s="3"/>
      <c r="I254" s="3"/>
      <c r="J254" s="3"/>
      <c r="K254" s="3"/>
      <c r="L254" s="3"/>
      <c r="M254" s="3"/>
      <c r="N254" s="3"/>
      <c r="O254" s="3"/>
      <c r="P254" s="3"/>
      <c r="Q254" s="3"/>
      <c r="R254" s="3"/>
      <c r="S254" s="3"/>
      <c r="T254" s="3"/>
      <c r="U254" s="3"/>
      <c r="V254" s="3"/>
      <c r="W254" s="3"/>
      <c r="X254" s="3"/>
      <c r="Y254" s="3"/>
      <c r="Z254" s="3"/>
      <c r="AA254" s="3"/>
      <c r="AB254" s="3"/>
      <c r="AC254" s="3"/>
      <c r="AD254" s="3"/>
      <c r="AE254" s="3"/>
      <c r="AF254" s="3"/>
      <c r="AG254" s="3"/>
      <c r="AH254" s="3"/>
      <c r="AI254" s="3"/>
      <c r="AJ254" s="3"/>
      <c r="AK254" s="3"/>
      <c r="AL254" s="3"/>
      <c r="AM254" s="3"/>
      <c r="AN254" s="3"/>
      <c r="AO254" s="3"/>
      <c r="AP254" s="3"/>
      <c r="AQ254" s="3"/>
      <c r="AR254" s="3"/>
      <c r="AS254" s="3"/>
      <c r="AT254" s="3"/>
      <c r="AU254" s="3"/>
      <c r="AV254" s="3"/>
      <c r="AW254" s="3"/>
      <c r="AX254" s="3"/>
      <c r="AY254" s="3"/>
      <c r="AZ254" s="3"/>
      <c r="BA254" s="3"/>
      <c r="BB254" s="3"/>
      <c r="BC254" s="3"/>
      <c r="BD254" s="3"/>
      <c r="BE254" s="3"/>
      <c r="BF254" s="3"/>
      <c r="BG254" s="3"/>
      <c r="BH254" s="3"/>
      <c r="BI254" s="3"/>
      <c r="BJ254" s="3"/>
      <c r="BK254" s="3"/>
      <c r="BL254" s="3"/>
      <c r="BM254" s="3"/>
      <c r="BN254" s="3"/>
      <c r="BO254" s="3"/>
      <c r="BP254" s="3"/>
      <c r="BQ254" s="3"/>
      <c r="BR254" s="3"/>
      <c r="BS254" s="3"/>
      <c r="BT254" s="3"/>
      <c r="BU254" s="3"/>
      <c r="BV254" s="3"/>
      <c r="BW254" s="3"/>
      <c r="BX254" s="3"/>
      <c r="BY254" s="3"/>
      <c r="BZ254" s="3"/>
      <c r="CA254" s="3"/>
      <c r="CB254" s="3"/>
      <c r="CC254" s="3"/>
      <c r="CD254" s="3"/>
      <c r="CE254" s="3"/>
      <c r="CF254" s="3"/>
      <c r="CG254" s="3"/>
      <c r="CH254" s="3"/>
      <c r="CI254" s="3"/>
      <c r="CJ254" s="3"/>
      <c r="CK254" s="3"/>
      <c r="CL254" s="3"/>
      <c r="CM254" s="3"/>
      <c r="CN254" s="3"/>
      <c r="CO254" s="3"/>
      <c r="CP254" s="3"/>
      <c r="CQ254" s="3"/>
      <c r="CR254" s="3"/>
      <c r="CS254" s="3"/>
      <c r="CT254" s="3"/>
      <c r="CU254" s="3"/>
      <c r="CV254" s="3"/>
      <c r="CW254" s="3"/>
      <c r="CX254" s="3"/>
      <c r="CY254" s="3"/>
      <c r="CZ254" s="3"/>
      <c r="DA254" s="3"/>
      <c r="DB254" s="3"/>
      <c r="DC254" s="3"/>
      <c r="DD254" s="1"/>
      <c r="DE254" s="3"/>
      <c r="DF254" s="3"/>
      <c r="DG254" s="3"/>
      <c r="DH254" s="3"/>
      <c r="DI254" s="3"/>
      <c r="DJ254" s="3"/>
      <c r="DK254" s="3"/>
      <c r="DL254" s="3"/>
      <c r="DM254" s="3"/>
      <c r="DN254" s="3"/>
      <c r="DO254" s="3"/>
      <c r="DP254" s="3"/>
      <c r="DQ254" s="3"/>
      <c r="DR254" s="3"/>
      <c r="DS254" s="3"/>
      <c r="DT254" s="3"/>
      <c r="DU254" s="3"/>
      <c r="DV254" s="3"/>
      <c r="DW254" s="3"/>
      <c r="DX254" s="3"/>
      <c r="DY254" s="3"/>
      <c r="DZ254" s="3"/>
      <c r="EA254" s="3"/>
      <c r="EB254" s="3"/>
      <c r="EC254" s="3"/>
      <c r="ED254" s="3"/>
      <c r="EE254" s="3"/>
      <c r="EF254" s="55"/>
    </row>
    <row r="255" spans="1:136">
      <c r="D255" s="4"/>
      <c r="E255" s="3"/>
      <c r="F255" s="3"/>
      <c r="G255" s="4"/>
      <c r="H255" s="3"/>
      <c r="I255" s="3"/>
      <c r="J255" s="3"/>
      <c r="K255" s="3"/>
      <c r="L255" s="3"/>
      <c r="M255" s="3"/>
      <c r="N255" s="3"/>
      <c r="O255" s="3"/>
      <c r="P255" s="3"/>
      <c r="Q255" s="3"/>
      <c r="R255" s="3"/>
      <c r="S255" s="3"/>
      <c r="T255" s="3"/>
      <c r="U255" s="3"/>
      <c r="V255" s="3"/>
      <c r="W255" s="3"/>
      <c r="X255" s="3"/>
      <c r="Y255" s="3"/>
      <c r="Z255" s="3"/>
      <c r="AA255" s="3"/>
      <c r="AB255" s="3"/>
      <c r="AC255" s="3"/>
      <c r="AD255" s="3"/>
      <c r="AE255" s="3"/>
      <c r="AF255" s="3"/>
      <c r="AG255" s="3"/>
      <c r="AH255" s="3"/>
      <c r="AI255" s="3"/>
      <c r="AJ255" s="3"/>
      <c r="AK255" s="3"/>
      <c r="AL255" s="3"/>
      <c r="AM255" s="3"/>
      <c r="AN255" s="3"/>
      <c r="AO255" s="3"/>
      <c r="AP255" s="3"/>
      <c r="AQ255" s="3"/>
      <c r="AR255" s="3"/>
      <c r="AS255" s="3"/>
      <c r="AT255" s="3"/>
      <c r="AU255" s="3"/>
      <c r="AV255" s="3"/>
      <c r="AW255" s="3"/>
      <c r="AX255" s="3"/>
      <c r="AY255" s="3"/>
      <c r="AZ255" s="3"/>
      <c r="BA255" s="3"/>
      <c r="BB255" s="3"/>
      <c r="BC255" s="3"/>
      <c r="BD255" s="3"/>
      <c r="BE255" s="3"/>
      <c r="BF255" s="3"/>
      <c r="BG255" s="3"/>
      <c r="BH255" s="3"/>
      <c r="BI255" s="3"/>
      <c r="BJ255" s="3"/>
      <c r="BK255" s="3"/>
      <c r="BL255" s="3"/>
      <c r="BM255" s="3"/>
      <c r="BN255" s="3"/>
      <c r="BO255" s="3"/>
      <c r="BP255" s="3"/>
      <c r="BQ255" s="3"/>
      <c r="BR255" s="3"/>
      <c r="BS255" s="3"/>
      <c r="BT255" s="3"/>
      <c r="BU255" s="3"/>
      <c r="BV255" s="3"/>
      <c r="BW255" s="3"/>
      <c r="BX255" s="3"/>
      <c r="BY255" s="3"/>
      <c r="BZ255" s="3"/>
      <c r="CA255" s="3"/>
      <c r="CB255" s="3"/>
      <c r="CC255" s="3"/>
      <c r="CD255" s="3"/>
      <c r="CE255" s="3"/>
      <c r="CF255" s="3"/>
      <c r="CG255" s="3"/>
      <c r="CH255" s="3"/>
      <c r="CI255" s="3"/>
      <c r="CJ255" s="3"/>
      <c r="CK255" s="3"/>
      <c r="CL255" s="3"/>
      <c r="CM255" s="3"/>
      <c r="CN255" s="3"/>
      <c r="CO255" s="3"/>
      <c r="CP255" s="3"/>
      <c r="CQ255" s="3"/>
      <c r="CR255" s="3"/>
      <c r="CS255" s="3"/>
      <c r="CT255" s="3"/>
      <c r="CU255" s="3"/>
      <c r="CV255" s="3"/>
      <c r="CW255" s="3"/>
      <c r="CX255" s="3"/>
      <c r="CY255" s="3"/>
      <c r="CZ255" s="3"/>
      <c r="DA255" s="3"/>
      <c r="DB255" s="3"/>
      <c r="DC255" s="3"/>
      <c r="DD255" s="1"/>
      <c r="DE255" s="3"/>
      <c r="DF255" s="3"/>
      <c r="DG255" s="3"/>
      <c r="DH255" s="3"/>
      <c r="DI255" s="3"/>
      <c r="DJ255" s="3"/>
      <c r="DK255" s="3"/>
      <c r="DL255" s="3"/>
      <c r="DM255" s="3"/>
      <c r="DN255" s="3"/>
      <c r="DO255" s="3"/>
      <c r="DP255" s="3"/>
      <c r="DQ255" s="3"/>
      <c r="DR255" s="3"/>
      <c r="DS255" s="3"/>
      <c r="DT255" s="3"/>
      <c r="DU255" s="3"/>
      <c r="DV255" s="3"/>
      <c r="DW255" s="3"/>
      <c r="DX255" s="3"/>
      <c r="DY255" s="3"/>
      <c r="DZ255" s="3"/>
      <c r="EA255" s="3"/>
      <c r="EB255" s="3"/>
      <c r="EC255" s="3"/>
      <c r="ED255" s="3"/>
      <c r="EE255" s="3"/>
      <c r="EF255" s="55"/>
    </row>
    <row r="256" spans="1:136">
      <c r="D256" s="55"/>
      <c r="E256" s="55"/>
      <c r="F256" s="55"/>
      <c r="G256" s="55"/>
      <c r="H256" s="55"/>
      <c r="I256" s="55"/>
      <c r="J256" s="55"/>
      <c r="K256" s="55"/>
      <c r="L256" s="55"/>
      <c r="M256" s="55"/>
      <c r="N256" s="55"/>
      <c r="O256" s="55"/>
      <c r="P256" s="55"/>
      <c r="Q256" s="55"/>
      <c r="R256" s="55"/>
      <c r="S256" s="55"/>
      <c r="T256" s="55"/>
      <c r="U256" s="55"/>
      <c r="V256" s="55"/>
      <c r="W256" s="55"/>
      <c r="X256" s="55"/>
      <c r="Y256" s="55"/>
      <c r="Z256" s="55"/>
      <c r="AA256" s="55"/>
      <c r="AB256" s="55"/>
      <c r="AC256" s="55"/>
      <c r="AD256" s="55"/>
      <c r="AE256" s="55"/>
      <c r="AF256" s="55"/>
      <c r="AG256" s="55"/>
      <c r="AH256" s="55"/>
      <c r="AI256" s="55"/>
      <c r="AJ256" s="55"/>
      <c r="AK256" s="55"/>
      <c r="AL256" s="55"/>
      <c r="AM256" s="55"/>
      <c r="AN256" s="55"/>
      <c r="AO256" s="55"/>
      <c r="AP256" s="55"/>
      <c r="AQ256" s="55"/>
      <c r="AR256" s="55"/>
      <c r="AS256" s="55"/>
      <c r="AT256" s="55"/>
      <c r="AU256" s="55"/>
      <c r="AV256" s="55"/>
      <c r="AW256" s="55"/>
      <c r="AX256" s="55"/>
      <c r="AY256" s="55"/>
      <c r="AZ256" s="55"/>
      <c r="BA256" s="55"/>
      <c r="BB256" s="55"/>
      <c r="BC256" s="55"/>
      <c r="BD256" s="55"/>
      <c r="BE256" s="55"/>
      <c r="BF256" s="55"/>
      <c r="BG256" s="55"/>
      <c r="BH256" s="55"/>
      <c r="BI256" s="55"/>
      <c r="BJ256" s="55"/>
      <c r="BK256" s="55"/>
      <c r="BL256" s="55"/>
      <c r="BM256" s="55"/>
      <c r="BN256" s="55"/>
      <c r="BO256" s="55"/>
      <c r="BP256" s="55"/>
      <c r="BQ256" s="55"/>
      <c r="BR256" s="55"/>
      <c r="BS256" s="55"/>
      <c r="BT256" s="55"/>
      <c r="BU256" s="55"/>
      <c r="BV256" s="55"/>
      <c r="BW256" s="55"/>
      <c r="BX256" s="55"/>
      <c r="BY256" s="55"/>
      <c r="BZ256" s="55"/>
      <c r="CA256" s="55"/>
      <c r="CB256" s="55"/>
      <c r="CC256" s="55"/>
      <c r="CD256" s="55"/>
      <c r="CE256" s="55"/>
      <c r="CF256" s="55"/>
      <c r="CG256" s="55"/>
      <c r="CH256" s="55"/>
      <c r="CI256" s="55"/>
      <c r="CJ256" s="55"/>
      <c r="CK256" s="55"/>
      <c r="CL256" s="55"/>
      <c r="CM256" s="55"/>
      <c r="CN256" s="55"/>
      <c r="CO256" s="55"/>
      <c r="CP256" s="55"/>
      <c r="CQ256" s="55"/>
      <c r="CR256" s="55"/>
      <c r="CS256" s="55"/>
      <c r="CT256" s="55"/>
      <c r="CU256" s="55"/>
      <c r="CV256" s="55"/>
      <c r="CW256" s="55"/>
      <c r="CX256" s="55"/>
      <c r="CY256" s="55"/>
      <c r="CZ256" s="55"/>
      <c r="DA256" s="55"/>
      <c r="DB256" s="55"/>
      <c r="DC256" s="55"/>
      <c r="DD256" s="55"/>
      <c r="DE256" s="55"/>
      <c r="DF256" s="55"/>
      <c r="DG256" s="55"/>
      <c r="DH256" s="55"/>
      <c r="DI256" s="55"/>
      <c r="DJ256" s="55"/>
      <c r="DK256" s="55"/>
      <c r="DL256" s="55"/>
      <c r="DM256" s="55"/>
      <c r="DN256" s="55"/>
      <c r="DO256" s="55"/>
      <c r="DP256" s="55"/>
      <c r="DQ256" s="55"/>
      <c r="DR256" s="55"/>
      <c r="DS256" s="55"/>
      <c r="DT256" s="55"/>
      <c r="DU256" s="55"/>
      <c r="DV256" s="55"/>
      <c r="DW256" s="55"/>
      <c r="DX256" s="55"/>
      <c r="DY256" s="55"/>
      <c r="DZ256" s="55"/>
      <c r="EA256" s="55"/>
      <c r="EB256" s="55"/>
      <c r="EC256" s="55"/>
      <c r="ED256" s="55"/>
      <c r="EE256" s="55"/>
      <c r="EF256" s="55"/>
    </row>
    <row r="257" spans="4:136">
      <c r="D257" s="55"/>
      <c r="E257" s="55"/>
      <c r="F257" s="55"/>
      <c r="G257" s="55"/>
      <c r="H257" s="55"/>
      <c r="I257" s="55"/>
      <c r="J257" s="55"/>
      <c r="K257" s="55"/>
      <c r="L257" s="55"/>
      <c r="M257" s="55"/>
      <c r="N257" s="55"/>
      <c r="O257" s="55"/>
      <c r="P257" s="55"/>
      <c r="Q257" s="55"/>
      <c r="R257" s="55"/>
      <c r="S257" s="55"/>
      <c r="T257" s="55"/>
      <c r="U257" s="55"/>
      <c r="V257" s="55"/>
      <c r="W257" s="55"/>
      <c r="X257" s="55"/>
      <c r="Y257" s="55"/>
      <c r="Z257" s="55"/>
      <c r="AA257" s="55"/>
      <c r="AB257" s="55"/>
      <c r="AC257" s="55"/>
      <c r="AD257" s="55"/>
      <c r="AE257" s="55"/>
      <c r="AF257" s="55"/>
      <c r="AG257" s="55"/>
      <c r="AH257" s="55"/>
      <c r="AI257" s="55"/>
      <c r="AJ257" s="55"/>
      <c r="AK257" s="55"/>
      <c r="AL257" s="55"/>
      <c r="AM257" s="55"/>
      <c r="AN257" s="55"/>
      <c r="AO257" s="55"/>
      <c r="AP257" s="55"/>
      <c r="AQ257" s="55"/>
      <c r="AR257" s="55"/>
      <c r="AS257" s="55"/>
      <c r="AT257" s="55"/>
      <c r="AU257" s="55"/>
      <c r="AV257" s="55"/>
      <c r="AW257" s="55"/>
      <c r="AX257" s="55"/>
      <c r="AY257" s="55"/>
      <c r="AZ257" s="55"/>
      <c r="BA257" s="55"/>
      <c r="BB257" s="55"/>
      <c r="BC257" s="55"/>
      <c r="BD257" s="55"/>
      <c r="BE257" s="55"/>
      <c r="BF257" s="55"/>
      <c r="BG257" s="55"/>
      <c r="BH257" s="55"/>
      <c r="BI257" s="55"/>
      <c r="BJ257" s="55"/>
      <c r="BK257" s="55"/>
      <c r="BL257" s="55"/>
      <c r="BM257" s="55"/>
      <c r="BN257" s="55"/>
      <c r="BO257" s="55"/>
      <c r="BP257" s="55"/>
      <c r="BQ257" s="55"/>
      <c r="BR257" s="55"/>
      <c r="BS257" s="55"/>
      <c r="BT257" s="55"/>
      <c r="BU257" s="55"/>
      <c r="BV257" s="55"/>
      <c r="BW257" s="55"/>
      <c r="BX257" s="55"/>
      <c r="BY257" s="55"/>
      <c r="BZ257" s="55"/>
      <c r="CA257" s="55"/>
      <c r="CB257" s="55"/>
      <c r="CC257" s="55"/>
      <c r="CD257" s="55"/>
      <c r="CE257" s="55"/>
      <c r="CF257" s="55"/>
      <c r="CG257" s="55"/>
      <c r="CH257" s="55"/>
      <c r="CI257" s="55"/>
      <c r="CJ257" s="55"/>
      <c r="CK257" s="55"/>
      <c r="CL257" s="55"/>
      <c r="CM257" s="55"/>
      <c r="CN257" s="55"/>
      <c r="CO257" s="55"/>
      <c r="CP257" s="55"/>
      <c r="CQ257" s="55"/>
      <c r="CR257" s="55"/>
      <c r="CS257" s="55"/>
      <c r="CT257" s="55"/>
      <c r="CU257" s="55"/>
      <c r="CV257" s="55"/>
      <c r="CW257" s="55"/>
      <c r="CX257" s="55"/>
      <c r="CY257" s="55"/>
      <c r="CZ257" s="55"/>
      <c r="DA257" s="55"/>
      <c r="DB257" s="55"/>
      <c r="DC257" s="55"/>
      <c r="DD257" s="55"/>
      <c r="DE257" s="55"/>
      <c r="DF257" s="55"/>
      <c r="DG257" s="55"/>
      <c r="DH257" s="55"/>
      <c r="DI257" s="55"/>
      <c r="DJ257" s="55"/>
      <c r="DK257" s="55"/>
      <c r="DL257" s="55"/>
      <c r="DM257" s="55"/>
      <c r="DN257" s="55"/>
      <c r="DO257" s="55"/>
      <c r="DP257" s="55"/>
      <c r="DQ257" s="55"/>
      <c r="DR257" s="55"/>
      <c r="DS257" s="55"/>
      <c r="DT257" s="55"/>
      <c r="DU257" s="55"/>
      <c r="DV257" s="55"/>
      <c r="DW257" s="55"/>
      <c r="DX257" s="55"/>
      <c r="DY257" s="55"/>
      <c r="DZ257" s="55"/>
      <c r="EA257" s="55"/>
      <c r="EB257" s="55"/>
      <c r="EC257" s="55"/>
      <c r="ED257" s="55"/>
      <c r="EE257" s="55"/>
      <c r="EF257" s="55"/>
    </row>
    <row r="258" spans="4:136">
      <c r="D258" s="55"/>
      <c r="E258" s="55"/>
      <c r="F258" s="55"/>
      <c r="G258" s="55"/>
      <c r="H258" s="55"/>
      <c r="I258" s="55"/>
      <c r="J258" s="55"/>
      <c r="K258" s="55"/>
      <c r="L258" s="55"/>
      <c r="M258" s="55"/>
      <c r="N258" s="55"/>
      <c r="O258" s="55"/>
      <c r="P258" s="55"/>
      <c r="Q258" s="55"/>
      <c r="R258" s="55"/>
      <c r="S258" s="55"/>
      <c r="T258" s="55"/>
      <c r="U258" s="55"/>
      <c r="V258" s="55"/>
      <c r="W258" s="55"/>
      <c r="X258" s="55"/>
      <c r="Y258" s="55"/>
      <c r="Z258" s="55"/>
      <c r="AA258" s="55"/>
      <c r="AB258" s="55"/>
      <c r="AC258" s="55"/>
      <c r="AD258" s="55"/>
      <c r="AE258" s="55"/>
      <c r="AF258" s="55"/>
      <c r="AG258" s="55"/>
      <c r="AH258" s="55"/>
      <c r="AI258" s="55"/>
      <c r="AJ258" s="55"/>
      <c r="AK258" s="55"/>
      <c r="AL258" s="55"/>
      <c r="AM258" s="55"/>
      <c r="AN258" s="55"/>
      <c r="AO258" s="55"/>
      <c r="AP258" s="55"/>
      <c r="AQ258" s="55"/>
      <c r="AR258" s="55"/>
      <c r="AS258" s="55"/>
      <c r="AT258" s="55"/>
      <c r="AU258" s="55"/>
      <c r="AV258" s="55"/>
      <c r="AW258" s="55"/>
      <c r="AX258" s="55"/>
      <c r="AY258" s="55"/>
      <c r="AZ258" s="55"/>
      <c r="BA258" s="55"/>
      <c r="BB258" s="55"/>
      <c r="BC258" s="55"/>
      <c r="BD258" s="55"/>
      <c r="BE258" s="55"/>
      <c r="BF258" s="55"/>
      <c r="BG258" s="55"/>
      <c r="BH258" s="55"/>
      <c r="BI258" s="55"/>
      <c r="BJ258" s="55"/>
      <c r="BK258" s="55"/>
      <c r="BL258" s="55"/>
      <c r="BM258" s="55"/>
      <c r="BN258" s="55"/>
      <c r="BO258" s="55"/>
      <c r="BP258" s="55"/>
      <c r="BQ258" s="55"/>
      <c r="BR258" s="55"/>
      <c r="BS258" s="55"/>
      <c r="BT258" s="55"/>
      <c r="BU258" s="55"/>
      <c r="BV258" s="55"/>
      <c r="BW258" s="55"/>
      <c r="BX258" s="55"/>
      <c r="BY258" s="55"/>
      <c r="BZ258" s="55"/>
      <c r="CA258" s="55"/>
      <c r="CB258" s="55"/>
      <c r="CC258" s="55"/>
      <c r="CD258" s="55"/>
      <c r="CE258" s="55"/>
      <c r="CF258" s="55"/>
      <c r="CG258" s="55"/>
      <c r="CH258" s="55"/>
      <c r="CI258" s="55"/>
      <c r="CJ258" s="55"/>
      <c r="CK258" s="55"/>
      <c r="CL258" s="55"/>
      <c r="CM258" s="55"/>
      <c r="CN258" s="55"/>
      <c r="CO258" s="55"/>
      <c r="CP258" s="55"/>
      <c r="CQ258" s="55"/>
      <c r="CR258" s="55"/>
      <c r="CS258" s="55"/>
      <c r="CT258" s="55"/>
      <c r="CU258" s="55"/>
      <c r="CV258" s="55"/>
      <c r="CW258" s="55"/>
      <c r="CX258" s="55"/>
      <c r="CY258" s="55"/>
      <c r="CZ258" s="55"/>
      <c r="DA258" s="55"/>
      <c r="DB258" s="55"/>
      <c r="DC258" s="55"/>
      <c r="DD258" s="55"/>
      <c r="DE258" s="55"/>
      <c r="DF258" s="55"/>
      <c r="DG258" s="55"/>
      <c r="DH258" s="55"/>
      <c r="DI258" s="55"/>
      <c r="DJ258" s="55"/>
      <c r="DK258" s="55"/>
      <c r="DL258" s="55"/>
      <c r="DM258" s="55"/>
      <c r="DN258" s="55"/>
      <c r="DO258" s="55"/>
      <c r="DP258" s="55"/>
      <c r="DQ258" s="55"/>
      <c r="DR258" s="55"/>
      <c r="DS258" s="55"/>
      <c r="DT258" s="55"/>
      <c r="DU258" s="55"/>
      <c r="DV258" s="55"/>
      <c r="DW258" s="55"/>
      <c r="DX258" s="55"/>
      <c r="DY258" s="55"/>
      <c r="DZ258" s="55"/>
      <c r="EA258" s="55"/>
      <c r="EB258" s="55"/>
      <c r="EC258" s="55"/>
      <c r="ED258" s="55"/>
      <c r="EE258" s="55"/>
      <c r="EF258" s="55"/>
    </row>
    <row r="259" spans="4:136">
      <c r="D259" s="55"/>
      <c r="E259" s="55"/>
      <c r="F259" s="55"/>
      <c r="G259" s="55"/>
      <c r="H259" s="55"/>
      <c r="I259" s="55"/>
      <c r="J259" s="55"/>
      <c r="K259" s="55"/>
      <c r="L259" s="55"/>
      <c r="M259" s="55"/>
      <c r="N259" s="55"/>
      <c r="O259" s="55"/>
      <c r="P259" s="55"/>
      <c r="Q259" s="55"/>
      <c r="R259" s="55"/>
      <c r="S259" s="55"/>
      <c r="T259" s="55"/>
      <c r="U259" s="55"/>
      <c r="V259" s="55"/>
      <c r="W259" s="55"/>
      <c r="X259" s="55"/>
      <c r="Y259" s="55"/>
      <c r="Z259" s="55"/>
      <c r="AA259" s="55"/>
      <c r="AB259" s="55"/>
      <c r="AC259" s="55"/>
      <c r="AD259" s="55"/>
      <c r="AE259" s="55"/>
      <c r="AF259" s="55"/>
      <c r="AG259" s="55"/>
      <c r="AH259" s="55"/>
      <c r="AI259" s="55"/>
      <c r="AJ259" s="55"/>
      <c r="AK259" s="55"/>
      <c r="AL259" s="55"/>
      <c r="AM259" s="55"/>
      <c r="AN259" s="55"/>
      <c r="AO259" s="55"/>
      <c r="AP259" s="55"/>
      <c r="AQ259" s="55"/>
      <c r="AR259" s="55"/>
      <c r="AS259" s="55"/>
      <c r="AT259" s="55"/>
      <c r="AU259" s="55"/>
      <c r="AV259" s="55"/>
      <c r="AW259" s="55"/>
      <c r="AX259" s="55"/>
      <c r="AY259" s="55"/>
      <c r="AZ259" s="55"/>
      <c r="BA259" s="55"/>
      <c r="BB259" s="55"/>
      <c r="BC259" s="55"/>
      <c r="BD259" s="55"/>
      <c r="BE259" s="55"/>
      <c r="BF259" s="55"/>
      <c r="BG259" s="55"/>
      <c r="BH259" s="55"/>
      <c r="BI259" s="55"/>
      <c r="BJ259" s="55"/>
      <c r="BK259" s="55"/>
      <c r="BL259" s="55"/>
      <c r="BM259" s="55"/>
      <c r="BN259" s="55"/>
      <c r="BO259" s="55"/>
      <c r="BP259" s="55"/>
      <c r="BQ259" s="55"/>
      <c r="BR259" s="55"/>
      <c r="BS259" s="55"/>
      <c r="BT259" s="55"/>
      <c r="BU259" s="55"/>
      <c r="BV259" s="55"/>
      <c r="BW259" s="55"/>
      <c r="BX259" s="55"/>
      <c r="BY259" s="55"/>
      <c r="BZ259" s="55"/>
      <c r="CA259" s="55"/>
      <c r="CB259" s="55"/>
      <c r="CC259" s="55"/>
      <c r="CD259" s="55"/>
      <c r="CE259" s="55"/>
      <c r="CF259" s="55"/>
      <c r="CG259" s="55"/>
      <c r="CH259" s="55"/>
      <c r="CI259" s="55"/>
      <c r="CJ259" s="55"/>
      <c r="CK259" s="55"/>
      <c r="CL259" s="55"/>
      <c r="CM259" s="55"/>
      <c r="CN259" s="55"/>
      <c r="CO259" s="55"/>
      <c r="CP259" s="55"/>
      <c r="CQ259" s="55"/>
      <c r="CR259" s="55"/>
      <c r="CS259" s="55"/>
      <c r="CT259" s="55"/>
      <c r="CU259" s="55"/>
      <c r="CV259" s="55"/>
      <c r="CW259" s="55"/>
      <c r="CX259" s="55"/>
      <c r="CY259" s="55"/>
      <c r="CZ259" s="55"/>
      <c r="DA259" s="55"/>
      <c r="DB259" s="55"/>
      <c r="DC259" s="55"/>
      <c r="DD259" s="55"/>
      <c r="DE259" s="55"/>
      <c r="DF259" s="55"/>
      <c r="DG259" s="55"/>
      <c r="DH259" s="55"/>
      <c r="DI259" s="55"/>
      <c r="DJ259" s="55"/>
      <c r="DK259" s="55"/>
      <c r="DL259" s="55"/>
      <c r="DM259" s="55"/>
      <c r="DN259" s="55"/>
      <c r="DO259" s="55"/>
      <c r="DP259" s="55"/>
      <c r="DQ259" s="55"/>
      <c r="DR259" s="55"/>
      <c r="DS259" s="55"/>
      <c r="DT259" s="55"/>
      <c r="DU259" s="55"/>
      <c r="DV259" s="55"/>
      <c r="DW259" s="55"/>
      <c r="DX259" s="55"/>
      <c r="DY259" s="55"/>
      <c r="DZ259" s="55"/>
      <c r="EA259" s="55"/>
      <c r="EB259" s="55"/>
      <c r="EC259" s="55"/>
      <c r="ED259" s="55"/>
      <c r="EE259" s="55"/>
      <c r="EF259" s="55"/>
    </row>
  </sheetData>
  <autoFilter ref="A1:EC228">
    <filterColumn colId="1"/>
  </autoFilter>
  <pageMargins left="0.7" right="0.7" top="0.75" bottom="0.75" header="0.3" footer="0.3"/>
  <pageSetup paperSize="9" orientation="portrait" r:id="rId1"/>
  <headerFooter>
    <oddFooter>&amp;LUnrestricted</oddFooter>
  </headerFooter>
</worksheet>
</file>

<file path=xl/worksheets/sheet3.xml><?xml version="1.0" encoding="utf-8"?>
<worksheet xmlns="http://schemas.openxmlformats.org/spreadsheetml/2006/main" xmlns:r="http://schemas.openxmlformats.org/officeDocument/2006/relationships">
  <sheetPr codeName="Sheet4">
    <tabColor theme="9" tint="-0.499984740745262"/>
  </sheetPr>
  <dimension ref="A1:AT74"/>
  <sheetViews>
    <sheetView zoomScale="130" zoomScaleNormal="130" workbookViewId="0">
      <selection activeCell="F17" sqref="F17"/>
    </sheetView>
  </sheetViews>
  <sheetFormatPr defaultRowHeight="11.25" customHeight="1"/>
  <cols>
    <col min="1" max="1" width="5.42578125" style="32" bestFit="1" customWidth="1" collapsed="1"/>
    <col min="2" max="2" width="20.7109375" style="32" bestFit="1" customWidth="1" collapsed="1"/>
    <col min="3" max="3" width="5" style="32" bestFit="1" customWidth="1" collapsed="1"/>
    <col min="4" max="4" width="3.5703125" style="32" bestFit="1" customWidth="1" collapsed="1"/>
    <col min="5" max="5" width="2.42578125" style="100" bestFit="1" customWidth="1" collapsed="1"/>
    <col min="6" max="6" width="18.28515625" style="32" customWidth="1" collapsed="1"/>
    <col min="7" max="7" width="11.7109375" style="32" customWidth="1" collapsed="1"/>
    <col min="8" max="8" width="20.140625" style="32" customWidth="1" collapsed="1"/>
    <col min="9" max="9" width="12.7109375" style="33" customWidth="1" collapsed="1"/>
    <col min="10" max="11" width="12.7109375" style="32" customWidth="1" collapsed="1"/>
    <col min="12" max="12" width="13.7109375" style="32" customWidth="1" collapsed="1"/>
    <col min="13" max="13" width="13.140625" style="32" customWidth="1" collapsed="1"/>
    <col min="14" max="14" width="14.140625" style="32" customWidth="1" collapsed="1"/>
    <col min="15" max="15" width="14" style="32" customWidth="1" collapsed="1"/>
    <col min="16" max="16" width="13.42578125" style="32" customWidth="1" collapsed="1"/>
    <col min="17" max="21" width="12.7109375" style="32" customWidth="1" collapsed="1"/>
    <col min="22" max="22" width="14.140625" style="32" customWidth="1" collapsed="1"/>
    <col min="23" max="23" width="13.5703125" style="32" customWidth="1" collapsed="1"/>
    <col min="24" max="57" width="12.7109375" style="32" customWidth="1" collapsed="1"/>
    <col min="58" max="256" width="9.140625" style="32" collapsed="1"/>
    <col min="257" max="257" width="5.28515625" style="32" bestFit="1" customWidth="1" collapsed="1"/>
    <col min="258" max="258" width="14.28515625" style="32" bestFit="1" customWidth="1" collapsed="1"/>
    <col min="259" max="259" width="17" style="32" customWidth="1" collapsed="1"/>
    <col min="260" max="260" width="11.7109375" style="32" bestFit="1" customWidth="1" collapsed="1"/>
    <col min="261" max="261" width="12" style="32" bestFit="1" customWidth="1" collapsed="1"/>
    <col min="262" max="512" width="9.140625" style="32" collapsed="1"/>
    <col min="513" max="513" width="5.28515625" style="32" bestFit="1" customWidth="1" collapsed="1"/>
    <col min="514" max="514" width="14.28515625" style="32" bestFit="1" customWidth="1" collapsed="1"/>
    <col min="515" max="515" width="17" style="32" customWidth="1" collapsed="1"/>
    <col min="516" max="516" width="11.7109375" style="32" bestFit="1" customWidth="1" collapsed="1"/>
    <col min="517" max="517" width="12" style="32" bestFit="1" customWidth="1" collapsed="1"/>
    <col min="518" max="768" width="9.140625" style="32" collapsed="1"/>
    <col min="769" max="769" width="5.28515625" style="32" bestFit="1" customWidth="1" collapsed="1"/>
    <col min="770" max="770" width="14.28515625" style="32" bestFit="1" customWidth="1" collapsed="1"/>
    <col min="771" max="771" width="17" style="32" customWidth="1" collapsed="1"/>
    <col min="772" max="772" width="11.7109375" style="32" bestFit="1" customWidth="1" collapsed="1"/>
    <col min="773" max="773" width="12" style="32" bestFit="1" customWidth="1" collapsed="1"/>
    <col min="774" max="1024" width="9.140625" style="32" collapsed="1"/>
    <col min="1025" max="1025" width="5.28515625" style="32" bestFit="1" customWidth="1" collapsed="1"/>
    <col min="1026" max="1026" width="14.28515625" style="32" bestFit="1" customWidth="1" collapsed="1"/>
    <col min="1027" max="1027" width="17" style="32" customWidth="1" collapsed="1"/>
    <col min="1028" max="1028" width="11.7109375" style="32" bestFit="1" customWidth="1" collapsed="1"/>
    <col min="1029" max="1029" width="12" style="32" bestFit="1" customWidth="1" collapsed="1"/>
    <col min="1030" max="1280" width="9.140625" style="32" collapsed="1"/>
    <col min="1281" max="1281" width="5.28515625" style="32" bestFit="1" customWidth="1" collapsed="1"/>
    <col min="1282" max="1282" width="14.28515625" style="32" bestFit="1" customWidth="1" collapsed="1"/>
    <col min="1283" max="1283" width="17" style="32" customWidth="1" collapsed="1"/>
    <col min="1284" max="1284" width="11.7109375" style="32" bestFit="1" customWidth="1" collapsed="1"/>
    <col min="1285" max="1285" width="12" style="32" bestFit="1" customWidth="1" collapsed="1"/>
    <col min="1286" max="1536" width="9.140625" style="32" collapsed="1"/>
    <col min="1537" max="1537" width="5.28515625" style="32" bestFit="1" customWidth="1" collapsed="1"/>
    <col min="1538" max="1538" width="14.28515625" style="32" bestFit="1" customWidth="1" collapsed="1"/>
    <col min="1539" max="1539" width="17" style="32" customWidth="1" collapsed="1"/>
    <col min="1540" max="1540" width="11.7109375" style="32" bestFit="1" customWidth="1" collapsed="1"/>
    <col min="1541" max="1541" width="12" style="32" bestFit="1" customWidth="1" collapsed="1"/>
    <col min="1542" max="1792" width="9.140625" style="32" collapsed="1"/>
    <col min="1793" max="1793" width="5.28515625" style="32" bestFit="1" customWidth="1" collapsed="1"/>
    <col min="1794" max="1794" width="14.28515625" style="32" bestFit="1" customWidth="1" collapsed="1"/>
    <col min="1795" max="1795" width="17" style="32" customWidth="1" collapsed="1"/>
    <col min="1796" max="1796" width="11.7109375" style="32" bestFit="1" customWidth="1" collapsed="1"/>
    <col min="1797" max="1797" width="12" style="32" bestFit="1" customWidth="1" collapsed="1"/>
    <col min="1798" max="2048" width="9.140625" style="32" collapsed="1"/>
    <col min="2049" max="2049" width="5.28515625" style="32" bestFit="1" customWidth="1" collapsed="1"/>
    <col min="2050" max="2050" width="14.28515625" style="32" bestFit="1" customWidth="1" collapsed="1"/>
    <col min="2051" max="2051" width="17" style="32" customWidth="1" collapsed="1"/>
    <col min="2052" max="2052" width="11.7109375" style="32" bestFit="1" customWidth="1" collapsed="1"/>
    <col min="2053" max="2053" width="12" style="32" bestFit="1" customWidth="1" collapsed="1"/>
    <col min="2054" max="2304" width="9.140625" style="32" collapsed="1"/>
    <col min="2305" max="2305" width="5.28515625" style="32" bestFit="1" customWidth="1" collapsed="1"/>
    <col min="2306" max="2306" width="14.28515625" style="32" bestFit="1" customWidth="1" collapsed="1"/>
    <col min="2307" max="2307" width="17" style="32" customWidth="1" collapsed="1"/>
    <col min="2308" max="2308" width="11.7109375" style="32" bestFit="1" customWidth="1" collapsed="1"/>
    <col min="2309" max="2309" width="12" style="32" bestFit="1" customWidth="1" collapsed="1"/>
    <col min="2310" max="2560" width="9.140625" style="32" collapsed="1"/>
    <col min="2561" max="2561" width="5.28515625" style="32" bestFit="1" customWidth="1" collapsed="1"/>
    <col min="2562" max="2562" width="14.28515625" style="32" bestFit="1" customWidth="1" collapsed="1"/>
    <col min="2563" max="2563" width="17" style="32" customWidth="1" collapsed="1"/>
    <col min="2564" max="2564" width="11.7109375" style="32" bestFit="1" customWidth="1" collapsed="1"/>
    <col min="2565" max="2565" width="12" style="32" bestFit="1" customWidth="1" collapsed="1"/>
    <col min="2566" max="2816" width="9.140625" style="32" collapsed="1"/>
    <col min="2817" max="2817" width="5.28515625" style="32" bestFit="1" customWidth="1" collapsed="1"/>
    <col min="2818" max="2818" width="14.28515625" style="32" bestFit="1" customWidth="1" collapsed="1"/>
    <col min="2819" max="2819" width="17" style="32" customWidth="1" collapsed="1"/>
    <col min="2820" max="2820" width="11.7109375" style="32" bestFit="1" customWidth="1" collapsed="1"/>
    <col min="2821" max="2821" width="12" style="32" bestFit="1" customWidth="1" collapsed="1"/>
    <col min="2822" max="3072" width="9.140625" style="32" collapsed="1"/>
    <col min="3073" max="3073" width="5.28515625" style="32" bestFit="1" customWidth="1" collapsed="1"/>
    <col min="3074" max="3074" width="14.28515625" style="32" bestFit="1" customWidth="1" collapsed="1"/>
    <col min="3075" max="3075" width="17" style="32" customWidth="1" collapsed="1"/>
    <col min="3076" max="3076" width="11.7109375" style="32" bestFit="1" customWidth="1" collapsed="1"/>
    <col min="3077" max="3077" width="12" style="32" bestFit="1" customWidth="1" collapsed="1"/>
    <col min="3078" max="3328" width="9.140625" style="32" collapsed="1"/>
    <col min="3329" max="3329" width="5.28515625" style="32" bestFit="1" customWidth="1" collapsed="1"/>
    <col min="3330" max="3330" width="14.28515625" style="32" bestFit="1" customWidth="1" collapsed="1"/>
    <col min="3331" max="3331" width="17" style="32" customWidth="1" collapsed="1"/>
    <col min="3332" max="3332" width="11.7109375" style="32" bestFit="1" customWidth="1" collapsed="1"/>
    <col min="3333" max="3333" width="12" style="32" bestFit="1" customWidth="1" collapsed="1"/>
    <col min="3334" max="3584" width="9.140625" style="32" collapsed="1"/>
    <col min="3585" max="3585" width="5.28515625" style="32" bestFit="1" customWidth="1" collapsed="1"/>
    <col min="3586" max="3586" width="14.28515625" style="32" bestFit="1" customWidth="1" collapsed="1"/>
    <col min="3587" max="3587" width="17" style="32" customWidth="1" collapsed="1"/>
    <col min="3588" max="3588" width="11.7109375" style="32" bestFit="1" customWidth="1" collapsed="1"/>
    <col min="3589" max="3589" width="12" style="32" bestFit="1" customWidth="1" collapsed="1"/>
    <col min="3590" max="3840" width="9.140625" style="32" collapsed="1"/>
    <col min="3841" max="3841" width="5.28515625" style="32" bestFit="1" customWidth="1" collapsed="1"/>
    <col min="3842" max="3842" width="14.28515625" style="32" bestFit="1" customWidth="1" collapsed="1"/>
    <col min="3843" max="3843" width="17" style="32" customWidth="1" collapsed="1"/>
    <col min="3844" max="3844" width="11.7109375" style="32" bestFit="1" customWidth="1" collapsed="1"/>
    <col min="3845" max="3845" width="12" style="32" bestFit="1" customWidth="1" collapsed="1"/>
    <col min="3846" max="4096" width="9.140625" style="32" collapsed="1"/>
    <col min="4097" max="4097" width="5.28515625" style="32" bestFit="1" customWidth="1" collapsed="1"/>
    <col min="4098" max="4098" width="14.28515625" style="32" bestFit="1" customWidth="1" collapsed="1"/>
    <col min="4099" max="4099" width="17" style="32" customWidth="1" collapsed="1"/>
    <col min="4100" max="4100" width="11.7109375" style="32" bestFit="1" customWidth="1" collapsed="1"/>
    <col min="4101" max="4101" width="12" style="32" bestFit="1" customWidth="1" collapsed="1"/>
    <col min="4102" max="4352" width="9.140625" style="32" collapsed="1"/>
    <col min="4353" max="4353" width="5.28515625" style="32" bestFit="1" customWidth="1" collapsed="1"/>
    <col min="4354" max="4354" width="14.28515625" style="32" bestFit="1" customWidth="1" collapsed="1"/>
    <col min="4355" max="4355" width="17" style="32" customWidth="1" collapsed="1"/>
    <col min="4356" max="4356" width="11.7109375" style="32" bestFit="1" customWidth="1" collapsed="1"/>
    <col min="4357" max="4357" width="12" style="32" bestFit="1" customWidth="1" collapsed="1"/>
    <col min="4358" max="4608" width="9.140625" style="32" collapsed="1"/>
    <col min="4609" max="4609" width="5.28515625" style="32" bestFit="1" customWidth="1" collapsed="1"/>
    <col min="4610" max="4610" width="14.28515625" style="32" bestFit="1" customWidth="1" collapsed="1"/>
    <col min="4611" max="4611" width="17" style="32" customWidth="1" collapsed="1"/>
    <col min="4612" max="4612" width="11.7109375" style="32" bestFit="1" customWidth="1" collapsed="1"/>
    <col min="4613" max="4613" width="12" style="32" bestFit="1" customWidth="1" collapsed="1"/>
    <col min="4614" max="4864" width="9.140625" style="32" collapsed="1"/>
    <col min="4865" max="4865" width="5.28515625" style="32" bestFit="1" customWidth="1" collapsed="1"/>
    <col min="4866" max="4866" width="14.28515625" style="32" bestFit="1" customWidth="1" collapsed="1"/>
    <col min="4867" max="4867" width="17" style="32" customWidth="1" collapsed="1"/>
    <col min="4868" max="4868" width="11.7109375" style="32" bestFit="1" customWidth="1" collapsed="1"/>
    <col min="4869" max="4869" width="12" style="32" bestFit="1" customWidth="1" collapsed="1"/>
    <col min="4870" max="5120" width="9.140625" style="32" collapsed="1"/>
    <col min="5121" max="5121" width="5.28515625" style="32" bestFit="1" customWidth="1" collapsed="1"/>
    <col min="5122" max="5122" width="14.28515625" style="32" bestFit="1" customWidth="1" collapsed="1"/>
    <col min="5123" max="5123" width="17" style="32" customWidth="1" collapsed="1"/>
    <col min="5124" max="5124" width="11.7109375" style="32" bestFit="1" customWidth="1" collapsed="1"/>
    <col min="5125" max="5125" width="12" style="32" bestFit="1" customWidth="1" collapsed="1"/>
    <col min="5126" max="5376" width="9.140625" style="32" collapsed="1"/>
    <col min="5377" max="5377" width="5.28515625" style="32" bestFit="1" customWidth="1" collapsed="1"/>
    <col min="5378" max="5378" width="14.28515625" style="32" bestFit="1" customWidth="1" collapsed="1"/>
    <col min="5379" max="5379" width="17" style="32" customWidth="1" collapsed="1"/>
    <col min="5380" max="5380" width="11.7109375" style="32" bestFit="1" customWidth="1" collapsed="1"/>
    <col min="5381" max="5381" width="12" style="32" bestFit="1" customWidth="1" collapsed="1"/>
    <col min="5382" max="5632" width="9.140625" style="32" collapsed="1"/>
    <col min="5633" max="5633" width="5.28515625" style="32" bestFit="1" customWidth="1" collapsed="1"/>
    <col min="5634" max="5634" width="14.28515625" style="32" bestFit="1" customWidth="1" collapsed="1"/>
    <col min="5635" max="5635" width="17" style="32" customWidth="1" collapsed="1"/>
    <col min="5636" max="5636" width="11.7109375" style="32" bestFit="1" customWidth="1" collapsed="1"/>
    <col min="5637" max="5637" width="12" style="32" bestFit="1" customWidth="1" collapsed="1"/>
    <col min="5638" max="5888" width="9.140625" style="32" collapsed="1"/>
    <col min="5889" max="5889" width="5.28515625" style="32" bestFit="1" customWidth="1" collapsed="1"/>
    <col min="5890" max="5890" width="14.28515625" style="32" bestFit="1" customWidth="1" collapsed="1"/>
    <col min="5891" max="5891" width="17" style="32" customWidth="1" collapsed="1"/>
    <col min="5892" max="5892" width="11.7109375" style="32" bestFit="1" customWidth="1" collapsed="1"/>
    <col min="5893" max="5893" width="12" style="32" bestFit="1" customWidth="1" collapsed="1"/>
    <col min="5894" max="6144" width="9.140625" style="32" collapsed="1"/>
    <col min="6145" max="6145" width="5.28515625" style="32" bestFit="1" customWidth="1" collapsed="1"/>
    <col min="6146" max="6146" width="14.28515625" style="32" bestFit="1" customWidth="1" collapsed="1"/>
    <col min="6147" max="6147" width="17" style="32" customWidth="1" collapsed="1"/>
    <col min="6148" max="6148" width="11.7109375" style="32" bestFit="1" customWidth="1" collapsed="1"/>
    <col min="6149" max="6149" width="12" style="32" bestFit="1" customWidth="1" collapsed="1"/>
    <col min="6150" max="6400" width="9.140625" style="32" collapsed="1"/>
    <col min="6401" max="6401" width="5.28515625" style="32" bestFit="1" customWidth="1" collapsed="1"/>
    <col min="6402" max="6402" width="14.28515625" style="32" bestFit="1" customWidth="1" collapsed="1"/>
    <col min="6403" max="6403" width="17" style="32" customWidth="1" collapsed="1"/>
    <col min="6404" max="6404" width="11.7109375" style="32" bestFit="1" customWidth="1" collapsed="1"/>
    <col min="6405" max="6405" width="12" style="32" bestFit="1" customWidth="1" collapsed="1"/>
    <col min="6406" max="6656" width="9.140625" style="32" collapsed="1"/>
    <col min="6657" max="6657" width="5.28515625" style="32" bestFit="1" customWidth="1" collapsed="1"/>
    <col min="6658" max="6658" width="14.28515625" style="32" bestFit="1" customWidth="1" collapsed="1"/>
    <col min="6659" max="6659" width="17" style="32" customWidth="1" collapsed="1"/>
    <col min="6660" max="6660" width="11.7109375" style="32" bestFit="1" customWidth="1" collapsed="1"/>
    <col min="6661" max="6661" width="12" style="32" bestFit="1" customWidth="1" collapsed="1"/>
    <col min="6662" max="6912" width="9.140625" style="32" collapsed="1"/>
    <col min="6913" max="6913" width="5.28515625" style="32" bestFit="1" customWidth="1" collapsed="1"/>
    <col min="6914" max="6914" width="14.28515625" style="32" bestFit="1" customWidth="1" collapsed="1"/>
    <col min="6915" max="6915" width="17" style="32" customWidth="1" collapsed="1"/>
    <col min="6916" max="6916" width="11.7109375" style="32" bestFit="1" customWidth="1" collapsed="1"/>
    <col min="6917" max="6917" width="12" style="32" bestFit="1" customWidth="1" collapsed="1"/>
    <col min="6918" max="7168" width="9.140625" style="32" collapsed="1"/>
    <col min="7169" max="7169" width="5.28515625" style="32" bestFit="1" customWidth="1" collapsed="1"/>
    <col min="7170" max="7170" width="14.28515625" style="32" bestFit="1" customWidth="1" collapsed="1"/>
    <col min="7171" max="7171" width="17" style="32" customWidth="1" collapsed="1"/>
    <col min="7172" max="7172" width="11.7109375" style="32" bestFit="1" customWidth="1" collapsed="1"/>
    <col min="7173" max="7173" width="12" style="32" bestFit="1" customWidth="1" collapsed="1"/>
    <col min="7174" max="7424" width="9.140625" style="32" collapsed="1"/>
    <col min="7425" max="7425" width="5.28515625" style="32" bestFit="1" customWidth="1" collapsed="1"/>
    <col min="7426" max="7426" width="14.28515625" style="32" bestFit="1" customWidth="1" collapsed="1"/>
    <col min="7427" max="7427" width="17" style="32" customWidth="1" collapsed="1"/>
    <col min="7428" max="7428" width="11.7109375" style="32" bestFit="1" customWidth="1" collapsed="1"/>
    <col min="7429" max="7429" width="12" style="32" bestFit="1" customWidth="1" collapsed="1"/>
    <col min="7430" max="7680" width="9.140625" style="32" collapsed="1"/>
    <col min="7681" max="7681" width="5.28515625" style="32" bestFit="1" customWidth="1" collapsed="1"/>
    <col min="7682" max="7682" width="14.28515625" style="32" bestFit="1" customWidth="1" collapsed="1"/>
    <col min="7683" max="7683" width="17" style="32" customWidth="1" collapsed="1"/>
    <col min="7684" max="7684" width="11.7109375" style="32" bestFit="1" customWidth="1" collapsed="1"/>
    <col min="7685" max="7685" width="12" style="32" bestFit="1" customWidth="1" collapsed="1"/>
    <col min="7686" max="7936" width="9.140625" style="32" collapsed="1"/>
    <col min="7937" max="7937" width="5.28515625" style="32" bestFit="1" customWidth="1" collapsed="1"/>
    <col min="7938" max="7938" width="14.28515625" style="32" bestFit="1" customWidth="1" collapsed="1"/>
    <col min="7939" max="7939" width="17" style="32" customWidth="1" collapsed="1"/>
    <col min="7940" max="7940" width="11.7109375" style="32" bestFit="1" customWidth="1" collapsed="1"/>
    <col min="7941" max="7941" width="12" style="32" bestFit="1" customWidth="1" collapsed="1"/>
    <col min="7942" max="8192" width="9.140625" style="32" collapsed="1"/>
    <col min="8193" max="8193" width="5.28515625" style="32" bestFit="1" customWidth="1" collapsed="1"/>
    <col min="8194" max="8194" width="14.28515625" style="32" bestFit="1" customWidth="1" collapsed="1"/>
    <col min="8195" max="8195" width="17" style="32" customWidth="1" collapsed="1"/>
    <col min="8196" max="8196" width="11.7109375" style="32" bestFit="1" customWidth="1" collapsed="1"/>
    <col min="8197" max="8197" width="12" style="32" bestFit="1" customWidth="1" collapsed="1"/>
    <col min="8198" max="8448" width="9.140625" style="32" collapsed="1"/>
    <col min="8449" max="8449" width="5.28515625" style="32" bestFit="1" customWidth="1" collapsed="1"/>
    <col min="8450" max="8450" width="14.28515625" style="32" bestFit="1" customWidth="1" collapsed="1"/>
    <col min="8451" max="8451" width="17" style="32" customWidth="1" collapsed="1"/>
    <col min="8452" max="8452" width="11.7109375" style="32" bestFit="1" customWidth="1" collapsed="1"/>
    <col min="8453" max="8453" width="12" style="32" bestFit="1" customWidth="1" collapsed="1"/>
    <col min="8454" max="8704" width="9.140625" style="32" collapsed="1"/>
    <col min="8705" max="8705" width="5.28515625" style="32" bestFit="1" customWidth="1" collapsed="1"/>
    <col min="8706" max="8706" width="14.28515625" style="32" bestFit="1" customWidth="1" collapsed="1"/>
    <col min="8707" max="8707" width="17" style="32" customWidth="1" collapsed="1"/>
    <col min="8708" max="8708" width="11.7109375" style="32" bestFit="1" customWidth="1" collapsed="1"/>
    <col min="8709" max="8709" width="12" style="32" bestFit="1" customWidth="1" collapsed="1"/>
    <col min="8710" max="8960" width="9.140625" style="32" collapsed="1"/>
    <col min="8961" max="8961" width="5.28515625" style="32" bestFit="1" customWidth="1" collapsed="1"/>
    <col min="8962" max="8962" width="14.28515625" style="32" bestFit="1" customWidth="1" collapsed="1"/>
    <col min="8963" max="8963" width="17" style="32" customWidth="1" collapsed="1"/>
    <col min="8964" max="8964" width="11.7109375" style="32" bestFit="1" customWidth="1" collapsed="1"/>
    <col min="8965" max="8965" width="12" style="32" bestFit="1" customWidth="1" collapsed="1"/>
    <col min="8966" max="9216" width="9.140625" style="32" collapsed="1"/>
    <col min="9217" max="9217" width="5.28515625" style="32" bestFit="1" customWidth="1" collapsed="1"/>
    <col min="9218" max="9218" width="14.28515625" style="32" bestFit="1" customWidth="1" collapsed="1"/>
    <col min="9219" max="9219" width="17" style="32" customWidth="1" collapsed="1"/>
    <col min="9220" max="9220" width="11.7109375" style="32" bestFit="1" customWidth="1" collapsed="1"/>
    <col min="9221" max="9221" width="12" style="32" bestFit="1" customWidth="1" collapsed="1"/>
    <col min="9222" max="9472" width="9.140625" style="32" collapsed="1"/>
    <col min="9473" max="9473" width="5.28515625" style="32" bestFit="1" customWidth="1" collapsed="1"/>
    <col min="9474" max="9474" width="14.28515625" style="32" bestFit="1" customWidth="1" collapsed="1"/>
    <col min="9475" max="9475" width="17" style="32" customWidth="1" collapsed="1"/>
    <col min="9476" max="9476" width="11.7109375" style="32" bestFit="1" customWidth="1" collapsed="1"/>
    <col min="9477" max="9477" width="12" style="32" bestFit="1" customWidth="1" collapsed="1"/>
    <col min="9478" max="9728" width="9.140625" style="32" collapsed="1"/>
    <col min="9729" max="9729" width="5.28515625" style="32" bestFit="1" customWidth="1" collapsed="1"/>
    <col min="9730" max="9730" width="14.28515625" style="32" bestFit="1" customWidth="1" collapsed="1"/>
    <col min="9731" max="9731" width="17" style="32" customWidth="1" collapsed="1"/>
    <col min="9732" max="9732" width="11.7109375" style="32" bestFit="1" customWidth="1" collapsed="1"/>
    <col min="9733" max="9733" width="12" style="32" bestFit="1" customWidth="1" collapsed="1"/>
    <col min="9734" max="9984" width="9.140625" style="32" collapsed="1"/>
    <col min="9985" max="9985" width="5.28515625" style="32" bestFit="1" customWidth="1" collapsed="1"/>
    <col min="9986" max="9986" width="14.28515625" style="32" bestFit="1" customWidth="1" collapsed="1"/>
    <col min="9987" max="9987" width="17" style="32" customWidth="1" collapsed="1"/>
    <col min="9988" max="9988" width="11.7109375" style="32" bestFit="1" customWidth="1" collapsed="1"/>
    <col min="9989" max="9989" width="12" style="32" bestFit="1" customWidth="1" collapsed="1"/>
    <col min="9990" max="10240" width="9.140625" style="32" collapsed="1"/>
    <col min="10241" max="10241" width="5.28515625" style="32" bestFit="1" customWidth="1" collapsed="1"/>
    <col min="10242" max="10242" width="14.28515625" style="32" bestFit="1" customWidth="1" collapsed="1"/>
    <col min="10243" max="10243" width="17" style="32" customWidth="1" collapsed="1"/>
    <col min="10244" max="10244" width="11.7109375" style="32" bestFit="1" customWidth="1" collapsed="1"/>
    <col min="10245" max="10245" width="12" style="32" bestFit="1" customWidth="1" collapsed="1"/>
    <col min="10246" max="10496" width="9.140625" style="32" collapsed="1"/>
    <col min="10497" max="10497" width="5.28515625" style="32" bestFit="1" customWidth="1" collapsed="1"/>
    <col min="10498" max="10498" width="14.28515625" style="32" bestFit="1" customWidth="1" collapsed="1"/>
    <col min="10499" max="10499" width="17" style="32" customWidth="1" collapsed="1"/>
    <col min="10500" max="10500" width="11.7109375" style="32" bestFit="1" customWidth="1" collapsed="1"/>
    <col min="10501" max="10501" width="12" style="32" bestFit="1" customWidth="1" collapsed="1"/>
    <col min="10502" max="10752" width="9.140625" style="32" collapsed="1"/>
    <col min="10753" max="10753" width="5.28515625" style="32" bestFit="1" customWidth="1" collapsed="1"/>
    <col min="10754" max="10754" width="14.28515625" style="32" bestFit="1" customWidth="1" collapsed="1"/>
    <col min="10755" max="10755" width="17" style="32" customWidth="1" collapsed="1"/>
    <col min="10756" max="10756" width="11.7109375" style="32" bestFit="1" customWidth="1" collapsed="1"/>
    <col min="10757" max="10757" width="12" style="32" bestFit="1" customWidth="1" collapsed="1"/>
    <col min="10758" max="11008" width="9.140625" style="32" collapsed="1"/>
    <col min="11009" max="11009" width="5.28515625" style="32" bestFit="1" customWidth="1" collapsed="1"/>
    <col min="11010" max="11010" width="14.28515625" style="32" bestFit="1" customWidth="1" collapsed="1"/>
    <col min="11011" max="11011" width="17" style="32" customWidth="1" collapsed="1"/>
    <col min="11012" max="11012" width="11.7109375" style="32" bestFit="1" customWidth="1" collapsed="1"/>
    <col min="11013" max="11013" width="12" style="32" bestFit="1" customWidth="1" collapsed="1"/>
    <col min="11014" max="11264" width="9.140625" style="32" collapsed="1"/>
    <col min="11265" max="11265" width="5.28515625" style="32" bestFit="1" customWidth="1" collapsed="1"/>
    <col min="11266" max="11266" width="14.28515625" style="32" bestFit="1" customWidth="1" collapsed="1"/>
    <col min="11267" max="11267" width="17" style="32" customWidth="1" collapsed="1"/>
    <col min="11268" max="11268" width="11.7109375" style="32" bestFit="1" customWidth="1" collapsed="1"/>
    <col min="11269" max="11269" width="12" style="32" bestFit="1" customWidth="1" collapsed="1"/>
    <col min="11270" max="11520" width="9.140625" style="32" collapsed="1"/>
    <col min="11521" max="11521" width="5.28515625" style="32" bestFit="1" customWidth="1" collapsed="1"/>
    <col min="11522" max="11522" width="14.28515625" style="32" bestFit="1" customWidth="1" collapsed="1"/>
    <col min="11523" max="11523" width="17" style="32" customWidth="1" collapsed="1"/>
    <col min="11524" max="11524" width="11.7109375" style="32" bestFit="1" customWidth="1" collapsed="1"/>
    <col min="11525" max="11525" width="12" style="32" bestFit="1" customWidth="1" collapsed="1"/>
    <col min="11526" max="11776" width="9.140625" style="32" collapsed="1"/>
    <col min="11777" max="11777" width="5.28515625" style="32" bestFit="1" customWidth="1" collapsed="1"/>
    <col min="11778" max="11778" width="14.28515625" style="32" bestFit="1" customWidth="1" collapsed="1"/>
    <col min="11779" max="11779" width="17" style="32" customWidth="1" collapsed="1"/>
    <col min="11780" max="11780" width="11.7109375" style="32" bestFit="1" customWidth="1" collapsed="1"/>
    <col min="11781" max="11781" width="12" style="32" bestFit="1" customWidth="1" collapsed="1"/>
    <col min="11782" max="12032" width="9.140625" style="32" collapsed="1"/>
    <col min="12033" max="12033" width="5.28515625" style="32" bestFit="1" customWidth="1" collapsed="1"/>
    <col min="12034" max="12034" width="14.28515625" style="32" bestFit="1" customWidth="1" collapsed="1"/>
    <col min="12035" max="12035" width="17" style="32" customWidth="1" collapsed="1"/>
    <col min="12036" max="12036" width="11.7109375" style="32" bestFit="1" customWidth="1" collapsed="1"/>
    <col min="12037" max="12037" width="12" style="32" bestFit="1" customWidth="1" collapsed="1"/>
    <col min="12038" max="12288" width="9.140625" style="32" collapsed="1"/>
    <col min="12289" max="12289" width="5.28515625" style="32" bestFit="1" customWidth="1" collapsed="1"/>
    <col min="12290" max="12290" width="14.28515625" style="32" bestFit="1" customWidth="1" collapsed="1"/>
    <col min="12291" max="12291" width="17" style="32" customWidth="1" collapsed="1"/>
    <col min="12292" max="12292" width="11.7109375" style="32" bestFit="1" customWidth="1" collapsed="1"/>
    <col min="12293" max="12293" width="12" style="32" bestFit="1" customWidth="1" collapsed="1"/>
    <col min="12294" max="12544" width="9.140625" style="32" collapsed="1"/>
    <col min="12545" max="12545" width="5.28515625" style="32" bestFit="1" customWidth="1" collapsed="1"/>
    <col min="12546" max="12546" width="14.28515625" style="32" bestFit="1" customWidth="1" collapsed="1"/>
    <col min="12547" max="12547" width="17" style="32" customWidth="1" collapsed="1"/>
    <col min="12548" max="12548" width="11.7109375" style="32" bestFit="1" customWidth="1" collapsed="1"/>
    <col min="12549" max="12549" width="12" style="32" bestFit="1" customWidth="1" collapsed="1"/>
    <col min="12550" max="12800" width="9.140625" style="32" collapsed="1"/>
    <col min="12801" max="12801" width="5.28515625" style="32" bestFit="1" customWidth="1" collapsed="1"/>
    <col min="12802" max="12802" width="14.28515625" style="32" bestFit="1" customWidth="1" collapsed="1"/>
    <col min="12803" max="12803" width="17" style="32" customWidth="1" collapsed="1"/>
    <col min="12804" max="12804" width="11.7109375" style="32" bestFit="1" customWidth="1" collapsed="1"/>
    <col min="12805" max="12805" width="12" style="32" bestFit="1" customWidth="1" collapsed="1"/>
    <col min="12806" max="13056" width="9.140625" style="32" collapsed="1"/>
    <col min="13057" max="13057" width="5.28515625" style="32" bestFit="1" customWidth="1" collapsed="1"/>
    <col min="13058" max="13058" width="14.28515625" style="32" bestFit="1" customWidth="1" collapsed="1"/>
    <col min="13059" max="13059" width="17" style="32" customWidth="1" collapsed="1"/>
    <col min="13060" max="13060" width="11.7109375" style="32" bestFit="1" customWidth="1" collapsed="1"/>
    <col min="13061" max="13061" width="12" style="32" bestFit="1" customWidth="1" collapsed="1"/>
    <col min="13062" max="13312" width="9.140625" style="32" collapsed="1"/>
    <col min="13313" max="13313" width="5.28515625" style="32" bestFit="1" customWidth="1" collapsed="1"/>
    <col min="13314" max="13314" width="14.28515625" style="32" bestFit="1" customWidth="1" collapsed="1"/>
    <col min="13315" max="13315" width="17" style="32" customWidth="1" collapsed="1"/>
    <col min="13316" max="13316" width="11.7109375" style="32" bestFit="1" customWidth="1" collapsed="1"/>
    <col min="13317" max="13317" width="12" style="32" bestFit="1" customWidth="1" collapsed="1"/>
    <col min="13318" max="13568" width="9.140625" style="32" collapsed="1"/>
    <col min="13569" max="13569" width="5.28515625" style="32" bestFit="1" customWidth="1" collapsed="1"/>
    <col min="13570" max="13570" width="14.28515625" style="32" bestFit="1" customWidth="1" collapsed="1"/>
    <col min="13571" max="13571" width="17" style="32" customWidth="1" collapsed="1"/>
    <col min="13572" max="13572" width="11.7109375" style="32" bestFit="1" customWidth="1" collapsed="1"/>
    <col min="13573" max="13573" width="12" style="32" bestFit="1" customWidth="1" collapsed="1"/>
    <col min="13574" max="13824" width="9.140625" style="32" collapsed="1"/>
    <col min="13825" max="13825" width="5.28515625" style="32" bestFit="1" customWidth="1" collapsed="1"/>
    <col min="13826" max="13826" width="14.28515625" style="32" bestFit="1" customWidth="1" collapsed="1"/>
    <col min="13827" max="13827" width="17" style="32" customWidth="1" collapsed="1"/>
    <col min="13828" max="13828" width="11.7109375" style="32" bestFit="1" customWidth="1" collapsed="1"/>
    <col min="13829" max="13829" width="12" style="32" bestFit="1" customWidth="1" collapsed="1"/>
    <col min="13830" max="14080" width="9.140625" style="32" collapsed="1"/>
    <col min="14081" max="14081" width="5.28515625" style="32" bestFit="1" customWidth="1" collapsed="1"/>
    <col min="14082" max="14082" width="14.28515625" style="32" bestFit="1" customWidth="1" collapsed="1"/>
    <col min="14083" max="14083" width="17" style="32" customWidth="1" collapsed="1"/>
    <col min="14084" max="14084" width="11.7109375" style="32" bestFit="1" customWidth="1" collapsed="1"/>
    <col min="14085" max="14085" width="12" style="32" bestFit="1" customWidth="1" collapsed="1"/>
    <col min="14086" max="14336" width="9.140625" style="32" collapsed="1"/>
    <col min="14337" max="14337" width="5.28515625" style="32" bestFit="1" customWidth="1" collapsed="1"/>
    <col min="14338" max="14338" width="14.28515625" style="32" bestFit="1" customWidth="1" collapsed="1"/>
    <col min="14339" max="14339" width="17" style="32" customWidth="1" collapsed="1"/>
    <col min="14340" max="14340" width="11.7109375" style="32" bestFit="1" customWidth="1" collapsed="1"/>
    <col min="14341" max="14341" width="12" style="32" bestFit="1" customWidth="1" collapsed="1"/>
    <col min="14342" max="14592" width="9.140625" style="32" collapsed="1"/>
    <col min="14593" max="14593" width="5.28515625" style="32" bestFit="1" customWidth="1" collapsed="1"/>
    <col min="14594" max="14594" width="14.28515625" style="32" bestFit="1" customWidth="1" collapsed="1"/>
    <col min="14595" max="14595" width="17" style="32" customWidth="1" collapsed="1"/>
    <col min="14596" max="14596" width="11.7109375" style="32" bestFit="1" customWidth="1" collapsed="1"/>
    <col min="14597" max="14597" width="12" style="32" bestFit="1" customWidth="1" collapsed="1"/>
    <col min="14598" max="14848" width="9.140625" style="32" collapsed="1"/>
    <col min="14849" max="14849" width="5.28515625" style="32" bestFit="1" customWidth="1" collapsed="1"/>
    <col min="14850" max="14850" width="14.28515625" style="32" bestFit="1" customWidth="1" collapsed="1"/>
    <col min="14851" max="14851" width="17" style="32" customWidth="1" collapsed="1"/>
    <col min="14852" max="14852" width="11.7109375" style="32" bestFit="1" customWidth="1" collapsed="1"/>
    <col min="14853" max="14853" width="12" style="32" bestFit="1" customWidth="1" collapsed="1"/>
    <col min="14854" max="15104" width="9.140625" style="32" collapsed="1"/>
    <col min="15105" max="15105" width="5.28515625" style="32" bestFit="1" customWidth="1" collapsed="1"/>
    <col min="15106" max="15106" width="14.28515625" style="32" bestFit="1" customWidth="1" collapsed="1"/>
    <col min="15107" max="15107" width="17" style="32" customWidth="1" collapsed="1"/>
    <col min="15108" max="15108" width="11.7109375" style="32" bestFit="1" customWidth="1" collapsed="1"/>
    <col min="15109" max="15109" width="12" style="32" bestFit="1" customWidth="1" collapsed="1"/>
    <col min="15110" max="15360" width="9.140625" style="32" collapsed="1"/>
    <col min="15361" max="15361" width="5.28515625" style="32" bestFit="1" customWidth="1" collapsed="1"/>
    <col min="15362" max="15362" width="14.28515625" style="32" bestFit="1" customWidth="1" collapsed="1"/>
    <col min="15363" max="15363" width="17" style="32" customWidth="1" collapsed="1"/>
    <col min="15364" max="15364" width="11.7109375" style="32" bestFit="1" customWidth="1" collapsed="1"/>
    <col min="15365" max="15365" width="12" style="32" bestFit="1" customWidth="1" collapsed="1"/>
    <col min="15366" max="15616" width="9.140625" style="32" collapsed="1"/>
    <col min="15617" max="15617" width="5.28515625" style="32" bestFit="1" customWidth="1" collapsed="1"/>
    <col min="15618" max="15618" width="14.28515625" style="32" bestFit="1" customWidth="1" collapsed="1"/>
    <col min="15619" max="15619" width="17" style="32" customWidth="1" collapsed="1"/>
    <col min="15620" max="15620" width="11.7109375" style="32" bestFit="1" customWidth="1" collapsed="1"/>
    <col min="15621" max="15621" width="12" style="32" bestFit="1" customWidth="1" collapsed="1"/>
    <col min="15622" max="15872" width="9.140625" style="32" collapsed="1"/>
    <col min="15873" max="15873" width="5.28515625" style="32" bestFit="1" customWidth="1" collapsed="1"/>
    <col min="15874" max="15874" width="14.28515625" style="32" bestFit="1" customWidth="1" collapsed="1"/>
    <col min="15875" max="15875" width="17" style="32" customWidth="1" collapsed="1"/>
    <col min="15876" max="15876" width="11.7109375" style="32" bestFit="1" customWidth="1" collapsed="1"/>
    <col min="15877" max="15877" width="12" style="32" bestFit="1" customWidth="1" collapsed="1"/>
    <col min="15878" max="16128" width="9.140625" style="32" collapsed="1"/>
    <col min="16129" max="16129" width="5.28515625" style="32" bestFit="1" customWidth="1" collapsed="1"/>
    <col min="16130" max="16130" width="14.28515625" style="32" bestFit="1" customWidth="1" collapsed="1"/>
    <col min="16131" max="16131" width="17" style="32" customWidth="1" collapsed="1"/>
    <col min="16132" max="16132" width="11.7109375" style="32" bestFit="1" customWidth="1" collapsed="1"/>
    <col min="16133" max="16133" width="12" style="32" bestFit="1" customWidth="1" collapsed="1"/>
    <col min="16134" max="16384" width="9.140625" style="32" collapsed="1"/>
  </cols>
  <sheetData>
    <row r="1" spans="1:28" s="150" customFormat="1" ht="6.75">
      <c r="A1" s="150" t="s">
        <v>494</v>
      </c>
      <c r="B1" s="150" t="s">
        <v>95</v>
      </c>
      <c r="C1" s="150" t="s">
        <v>65</v>
      </c>
      <c r="D1" s="150" t="s">
        <v>49</v>
      </c>
      <c r="G1" s="151"/>
      <c r="I1" s="152"/>
    </row>
    <row r="2" spans="1:28" s="150" customFormat="1" ht="6.75">
      <c r="A2" s="150" t="s">
        <v>68</v>
      </c>
      <c r="B2" s="150" t="s">
        <v>455</v>
      </c>
      <c r="C2" s="150" t="s">
        <v>443</v>
      </c>
      <c r="D2" s="150" t="s">
        <v>444</v>
      </c>
      <c r="E2" s="150" t="s">
        <v>493</v>
      </c>
      <c r="F2" s="150" t="s">
        <v>445</v>
      </c>
      <c r="G2" s="150" t="s">
        <v>115</v>
      </c>
      <c r="H2" s="150" t="s">
        <v>436</v>
      </c>
      <c r="I2" s="150" t="s">
        <v>446</v>
      </c>
    </row>
    <row r="3" spans="1:28" s="44" customFormat="1">
      <c r="A3" s="65" t="s">
        <v>71</v>
      </c>
      <c r="B3" s="65" t="s">
        <v>72</v>
      </c>
      <c r="C3" s="65"/>
      <c r="D3" s="66">
        <v>1</v>
      </c>
      <c r="E3" s="94" t="s">
        <v>73</v>
      </c>
      <c r="F3" s="49">
        <f>'Run Parameters'!B5</f>
        <v>111011</v>
      </c>
      <c r="G3" s="68" t="str">
        <f>'Run Parameters'!B6</f>
        <v>111Siemens</v>
      </c>
      <c r="H3" s="57" t="str">
        <f>'Run Parameters'!B7</f>
        <v>https://siemens-og-bykrw4bu7an2nvbgh7xdzce7-sdg1-dev.mbaas1.sdg.feedhenry.com/#/login</v>
      </c>
      <c r="I3" s="45" t="s">
        <v>73</v>
      </c>
      <c r="J3" s="46"/>
      <c r="K3" s="46"/>
      <c r="L3" s="46"/>
      <c r="M3" s="46"/>
      <c r="N3" s="46"/>
      <c r="O3" s="46"/>
      <c r="P3" s="46"/>
      <c r="Q3" s="46"/>
      <c r="R3" s="47"/>
      <c r="S3" s="46"/>
      <c r="T3" s="46"/>
      <c r="U3" s="46"/>
    </row>
    <row r="4" spans="1:28" s="150" customFormat="1" ht="6.75">
      <c r="A4" s="150" t="s">
        <v>68</v>
      </c>
      <c r="B4" s="150" t="s">
        <v>455</v>
      </c>
      <c r="C4" s="150" t="s">
        <v>443</v>
      </c>
      <c r="D4" s="150" t="s">
        <v>444</v>
      </c>
      <c r="E4" s="150" t="s">
        <v>493</v>
      </c>
      <c r="F4" s="150" t="s">
        <v>454</v>
      </c>
      <c r="G4" s="150" t="s">
        <v>43</v>
      </c>
      <c r="H4" s="150" t="s">
        <v>453</v>
      </c>
      <c r="I4" s="150" t="s">
        <v>447</v>
      </c>
      <c r="J4" s="150" t="s">
        <v>448</v>
      </c>
      <c r="K4" s="150" t="s">
        <v>450</v>
      </c>
      <c r="L4" s="150" t="s">
        <v>451</v>
      </c>
      <c r="M4" s="150" t="s">
        <v>452</v>
      </c>
      <c r="N4" s="150" t="s">
        <v>442</v>
      </c>
      <c r="O4" s="150" t="s">
        <v>37</v>
      </c>
      <c r="P4" s="150" t="s">
        <v>441</v>
      </c>
      <c r="Q4" s="153" t="s">
        <v>491</v>
      </c>
    </row>
    <row r="5" spans="1:28" s="44" customFormat="1" ht="11.25" customHeight="1">
      <c r="A5" s="65" t="s">
        <v>71</v>
      </c>
      <c r="B5" s="65" t="s">
        <v>495</v>
      </c>
      <c r="C5" s="65"/>
      <c r="D5" s="66">
        <v>1</v>
      </c>
      <c r="E5" s="94" t="s">
        <v>73</v>
      </c>
      <c r="F5" s="49">
        <f ca="1">(INDIRECT("'Data'!C"&amp;($C$1)))</f>
        <v>111011</v>
      </c>
      <c r="G5" s="49" t="s">
        <v>396</v>
      </c>
      <c r="H5" s="50" t="s">
        <v>98</v>
      </c>
      <c r="I5" s="49" t="str">
        <f ca="1">(INDIRECT("'Data'!F"&amp;($C$1)))</f>
        <v>EXCHANGE GAS METER TO SECURE SMART CREDIT</v>
      </c>
      <c r="J5" s="48" t="str">
        <f ca="1">(INDIRECT("'Data'!E"&amp;($C$1)))</f>
        <v>S</v>
      </c>
      <c r="K5" s="48">
        <f ca="1">(INDIRECT("'Data'!AS"&amp;($C$1)))</f>
        <v>0</v>
      </c>
      <c r="L5" s="48" t="str">
        <f ca="1">(INDIRECT("'Data'!AT"&amp;($C$1)))</f>
        <v>TPJR00530</v>
      </c>
      <c r="M5" s="48">
        <f ca="1">(INDIRECT("'Data'!AU"&amp;($C$1)))</f>
        <v>0</v>
      </c>
      <c r="N5" s="48">
        <f ca="1">(INDIRECT("'Data'!AV"&amp;($C$1)))</f>
        <v>643</v>
      </c>
      <c r="O5" s="48" t="str">
        <f ca="1">(INDIRECT("'Data'!AW"&amp;($C$1)))</f>
        <v>EXCH1 ROAD</v>
      </c>
      <c r="P5" s="49" t="str">
        <f ca="1">CONCATENATE(RIGHT((INDIRECT("'Data'!X"&amp;($C$1))),5),"-",RIGHT(R7&amp;(INDIRECT("'Data'!Y"&amp;($C$1))),5))</f>
        <v>FRST-d-643</v>
      </c>
      <c r="Q5" s="86"/>
      <c r="R5" s="46"/>
      <c r="S5" s="46"/>
      <c r="T5" s="46"/>
    </row>
    <row r="6" spans="1:28" s="150" customFormat="1" ht="6.75">
      <c r="A6" s="150" t="s">
        <v>68</v>
      </c>
      <c r="B6" s="150" t="s">
        <v>455</v>
      </c>
      <c r="C6" s="150" t="s">
        <v>443</v>
      </c>
      <c r="D6" s="150" t="s">
        <v>444</v>
      </c>
      <c r="E6" s="150" t="s">
        <v>493</v>
      </c>
      <c r="F6" s="150" t="s">
        <v>447</v>
      </c>
      <c r="G6" s="150" t="s">
        <v>450</v>
      </c>
      <c r="H6" s="150" t="s">
        <v>451</v>
      </c>
      <c r="I6" s="150" t="s">
        <v>452</v>
      </c>
      <c r="J6" s="150" t="s">
        <v>442</v>
      </c>
      <c r="K6" s="150" t="s">
        <v>37</v>
      </c>
      <c r="L6" s="150" t="s">
        <v>448</v>
      </c>
      <c r="M6" s="150" t="s">
        <v>449</v>
      </c>
      <c r="N6" s="150" t="s">
        <v>439</v>
      </c>
      <c r="O6" s="150" t="s">
        <v>78</v>
      </c>
      <c r="P6" s="150" t="s">
        <v>79</v>
      </c>
      <c r="Q6" s="150" t="s">
        <v>87</v>
      </c>
      <c r="R6" s="150" t="s">
        <v>80</v>
      </c>
      <c r="S6" s="150" t="s">
        <v>110</v>
      </c>
      <c r="T6" s="150" t="s">
        <v>114</v>
      </c>
      <c r="U6" s="150" t="s">
        <v>90</v>
      </c>
      <c r="V6" s="150" t="s">
        <v>81</v>
      </c>
      <c r="W6" s="150" t="s">
        <v>88</v>
      </c>
      <c r="X6" s="150" t="s">
        <v>276</v>
      </c>
      <c r="Y6" s="150" t="s">
        <v>457</v>
      </c>
      <c r="Z6" s="153" t="s">
        <v>491</v>
      </c>
    </row>
    <row r="7" spans="1:28" s="44" customFormat="1" ht="11.25" customHeight="1">
      <c r="A7" s="65" t="s">
        <v>71</v>
      </c>
      <c r="B7" s="65" t="s">
        <v>496</v>
      </c>
      <c r="C7" s="65"/>
      <c r="D7" s="67">
        <v>1</v>
      </c>
      <c r="E7" s="94" t="s">
        <v>73</v>
      </c>
      <c r="F7" s="49" t="str">
        <f ca="1">(INDIRECT("'Data'!F"&amp;($C$1)))</f>
        <v>EXCHANGE GAS METER TO SECURE SMART CREDIT</v>
      </c>
      <c r="G7" s="48">
        <f ca="1">(INDIRECT("'Data'!AS"&amp;($C$1)))</f>
        <v>0</v>
      </c>
      <c r="H7" s="48" t="str">
        <f ca="1">(INDIRECT("'Data'!AT"&amp;($C$1)))</f>
        <v>TPJR00530</v>
      </c>
      <c r="I7" s="48">
        <f ca="1">(INDIRECT("'Data'!AU"&amp;($C$1)))</f>
        <v>0</v>
      </c>
      <c r="J7" s="48">
        <f ca="1">(INDIRECT("'Data'!AV"&amp;($C$1)))</f>
        <v>643</v>
      </c>
      <c r="K7" s="48" t="str">
        <f ca="1">(INDIRECT("'Data'!AW"&amp;($C$1)))</f>
        <v>EXCH1 ROAD</v>
      </c>
      <c r="L7" s="48" t="str">
        <f ca="1">(INDIRECT("'Data'!E"&amp;($C$1)))</f>
        <v>S</v>
      </c>
      <c r="M7" s="48" t="str">
        <f ca="1">(INDIRECT("'Data'!AI"&amp;($C$1)))</f>
        <v>2018-08-13 08:00</v>
      </c>
      <c r="N7" s="49">
        <f ca="1">(INDIRECT("'Data'!BG"&amp;($C$1)))</f>
        <v>0</v>
      </c>
      <c r="O7" s="49" t="str">
        <f ca="1">(INDIRECT("'Data'!AH"&amp;($C$1)))</f>
        <v>Site_Contact_643</v>
      </c>
      <c r="P7" s="50" t="str">
        <f ca="1">(INDIRECT("'Data'!AE"&amp;($C$1)))</f>
        <v>LAST_METER-643</v>
      </c>
      <c r="Q7" s="50" t="str">
        <f ca="1">(INDIRECT("'Data'!DK"&amp;($C$1)))</f>
        <v>G</v>
      </c>
      <c r="R7" s="50">
        <f ca="1">(INDIRECT("'Data'!D"&amp;($C$1)))</f>
        <v>643</v>
      </c>
      <c r="S7" s="50" t="str">
        <f ca="1">INDIRECT("'Data'!M"&amp;($C$1))</f>
        <v>Q</v>
      </c>
      <c r="T7" s="50" t="str">
        <f ca="1">INDIRECT("'Data'!AM"&amp;($C$1))</f>
        <v>0115643</v>
      </c>
      <c r="U7" s="50" t="str">
        <f ca="1">(INDIRECT("'Data'!N"&amp;($C$1)))</f>
        <v>UK_1_F</v>
      </c>
      <c r="V7" s="50">
        <f ca="1">(INDIRECT("'Data'!O"&amp;($C$1)))</f>
        <v>0</v>
      </c>
      <c r="W7" s="50" t="str">
        <f ca="1">(INDIRECT("'Data'!P"&amp;($C$1)))</f>
        <v>SN-643</v>
      </c>
      <c r="X7" s="50">
        <f ca="1">(INDIRECT("'Data'!C"&amp;($C$1)))</f>
        <v>111011</v>
      </c>
      <c r="Y7" s="50" t="str">
        <f ca="1">(INDIRECT("'Data'!Q"&amp;($C$1)))</f>
        <v>SI-643</v>
      </c>
      <c r="AB7" s="56" t="s">
        <v>492</v>
      </c>
    </row>
    <row r="8" spans="1:28" s="150" customFormat="1" ht="6.75">
      <c r="A8" s="150" t="s">
        <v>68</v>
      </c>
      <c r="B8" s="150" t="s">
        <v>455</v>
      </c>
      <c r="C8" s="150" t="s">
        <v>443</v>
      </c>
      <c r="D8" s="150" t="s">
        <v>444</v>
      </c>
      <c r="E8" s="150" t="s">
        <v>493</v>
      </c>
      <c r="F8" s="150" t="s">
        <v>447</v>
      </c>
      <c r="G8" s="150" t="s">
        <v>37</v>
      </c>
      <c r="H8" s="150" t="s">
        <v>458</v>
      </c>
      <c r="I8" s="150" t="s">
        <v>459</v>
      </c>
      <c r="J8" s="150" t="s">
        <v>261</v>
      </c>
      <c r="K8" s="150" t="s">
        <v>460</v>
      </c>
      <c r="L8" s="153" t="s">
        <v>491</v>
      </c>
    </row>
    <row r="9" spans="1:28" s="44" customFormat="1" ht="11.25" customHeight="1">
      <c r="A9" s="65" t="s">
        <v>71</v>
      </c>
      <c r="B9" s="65" t="s">
        <v>497</v>
      </c>
      <c r="C9" s="65"/>
      <c r="D9" s="67">
        <v>1</v>
      </c>
      <c r="E9" s="94" t="s">
        <v>73</v>
      </c>
      <c r="F9" s="49" t="str">
        <f ca="1">(INDIRECT("'Data'!F"&amp;($C$1)))</f>
        <v>EXCHANGE GAS METER TO SECURE SMART CREDIT</v>
      </c>
      <c r="G9" s="48" t="str">
        <f ca="1">(INDIRECT("'Data'!AW"&amp;($C$1)))</f>
        <v>EXCH1 ROAD</v>
      </c>
      <c r="H9" s="49">
        <f ca="1">(INDIRECT("'Data'!BL"&amp;($C$1)))</f>
        <v>0</v>
      </c>
      <c r="I9" s="49">
        <f ca="1">(INDIRECT("'Data'!BJ"&amp;($C$1)))</f>
        <v>0</v>
      </c>
      <c r="J9" s="49">
        <f ca="1">(INDIRECT("'Data'!BX"&amp;($C$1)))</f>
        <v>0</v>
      </c>
      <c r="K9" s="49">
        <f ca="1">(INDIRECT("'Data'!BO"&amp;($C$1)))</f>
        <v>0</v>
      </c>
      <c r="L9" s="86"/>
    </row>
    <row r="10" spans="1:28" s="150" customFormat="1" ht="6.75">
      <c r="A10" s="150" t="s">
        <v>68</v>
      </c>
      <c r="B10" s="150" t="s">
        <v>455</v>
      </c>
      <c r="C10" s="150" t="s">
        <v>443</v>
      </c>
      <c r="D10" s="150" t="s">
        <v>444</v>
      </c>
      <c r="E10" s="150" t="s">
        <v>493</v>
      </c>
      <c r="F10" s="150" t="s">
        <v>262</v>
      </c>
      <c r="G10" s="150" t="s">
        <v>447</v>
      </c>
      <c r="H10" s="150" t="s">
        <v>37</v>
      </c>
      <c r="I10" s="150" t="s">
        <v>43</v>
      </c>
      <c r="J10" s="150" t="s">
        <v>462</v>
      </c>
      <c r="K10" s="150" t="s">
        <v>465</v>
      </c>
      <c r="L10" s="150" t="s">
        <v>460</v>
      </c>
      <c r="M10" s="153" t="s">
        <v>491</v>
      </c>
    </row>
    <row r="11" spans="1:28" s="44" customFormat="1" ht="11.25" customHeight="1">
      <c r="A11" s="65" t="s">
        <v>71</v>
      </c>
      <c r="B11" s="65" t="s">
        <v>498</v>
      </c>
      <c r="C11" s="65"/>
      <c r="D11" s="66">
        <v>1</v>
      </c>
      <c r="E11" s="95" t="s">
        <v>73</v>
      </c>
      <c r="F11" s="49">
        <f ca="1">(INDIRECT("'Data'!BG"&amp;($C$1)))</f>
        <v>0</v>
      </c>
      <c r="G11" s="49" t="str">
        <f ca="1">(INDIRECT("'Data'!F"&amp;($C$1)))</f>
        <v>EXCHANGE GAS METER TO SECURE SMART CREDIT</v>
      </c>
      <c r="H11" s="48" t="str">
        <f ca="1">(INDIRECT("'Data'!AW"&amp;($C$1)))</f>
        <v>EXCH1 ROAD</v>
      </c>
      <c r="I11" s="49" t="str">
        <f ca="1">(INDIRECT("'Data'!AH"&amp;($C$1)))</f>
        <v>Site_Contact_643</v>
      </c>
      <c r="J11" s="49" t="str">
        <f ca="1">(INDIRECT("'Data'!BA"&amp;($C$1)))</f>
        <v>C</v>
      </c>
      <c r="K11" s="49">
        <f ca="1">(INDIRECT("'Data'!BD"&amp;($C$1)))</f>
        <v>0</v>
      </c>
      <c r="L11" s="49">
        <f ca="1">(INDIRECT("'Data'!BO"&amp;($C$1)))</f>
        <v>0</v>
      </c>
      <c r="M11" s="86"/>
    </row>
    <row r="12" spans="1:28" s="150" customFormat="1" ht="6.75">
      <c r="A12" s="150" t="s">
        <v>68</v>
      </c>
      <c r="B12" s="150" t="s">
        <v>455</v>
      </c>
      <c r="C12" s="150" t="s">
        <v>443</v>
      </c>
      <c r="D12" s="150" t="s">
        <v>444</v>
      </c>
      <c r="E12" s="150" t="s">
        <v>493</v>
      </c>
      <c r="F12" s="150" t="s">
        <v>475</v>
      </c>
      <c r="G12" s="150" t="s">
        <v>439</v>
      </c>
      <c r="H12" s="150" t="s">
        <v>43</v>
      </c>
      <c r="I12" s="150" t="s">
        <v>447</v>
      </c>
      <c r="J12" s="150" t="s">
        <v>450</v>
      </c>
      <c r="K12" s="150" t="s">
        <v>451</v>
      </c>
      <c r="L12" s="150" t="s">
        <v>452</v>
      </c>
      <c r="M12" s="150" t="s">
        <v>442</v>
      </c>
      <c r="N12" s="150" t="s">
        <v>37</v>
      </c>
      <c r="O12" s="150" t="s">
        <v>468</v>
      </c>
      <c r="P12" s="154" t="s">
        <v>469</v>
      </c>
      <c r="Q12" s="154" t="s">
        <v>471</v>
      </c>
      <c r="R12" s="150" t="s">
        <v>473</v>
      </c>
      <c r="S12" s="154" t="s">
        <v>470</v>
      </c>
      <c r="T12" s="150" t="s">
        <v>472</v>
      </c>
      <c r="U12" s="153" t="s">
        <v>491</v>
      </c>
    </row>
    <row r="13" spans="1:28" s="58" customFormat="1" ht="11.25" customHeight="1">
      <c r="A13" s="65" t="s">
        <v>71</v>
      </c>
      <c r="B13" s="65" t="s">
        <v>467</v>
      </c>
      <c r="C13" s="65"/>
      <c r="D13" s="67">
        <v>1</v>
      </c>
      <c r="E13" s="95" t="s">
        <v>73</v>
      </c>
      <c r="F13" s="48">
        <f ca="1">(INDIRECT("'Data'!CD"&amp;($C$1)))</f>
        <v>0</v>
      </c>
      <c r="G13" s="49">
        <f ca="1">(INDIRECT("'Data'!BG"&amp;($C$1)))</f>
        <v>0</v>
      </c>
      <c r="H13" s="49" t="str">
        <f ca="1">(INDIRECT("'Data'!AH"&amp;($C$1)))</f>
        <v>Site_Contact_643</v>
      </c>
      <c r="I13" s="49" t="str">
        <f ca="1">(INDIRECT("'Data'!F"&amp;($C$1)))</f>
        <v>EXCHANGE GAS METER TO SECURE SMART CREDIT</v>
      </c>
      <c r="J13" s="48">
        <f ca="1">(INDIRECT("'Data'!AS"&amp;($C$1)))</f>
        <v>0</v>
      </c>
      <c r="K13" s="48" t="str">
        <f ca="1">(INDIRECT("'Data'!AT"&amp;($C$1)))</f>
        <v>TPJR00530</v>
      </c>
      <c r="L13" s="48">
        <f ca="1">(INDIRECT("'Data'!AU"&amp;($C$1)))</f>
        <v>0</v>
      </c>
      <c r="M13" s="48">
        <f ca="1">(INDIRECT("'Data'!AV"&amp;($C$1)))</f>
        <v>643</v>
      </c>
      <c r="N13" s="48" t="str">
        <f ca="1">(INDIRECT("'Data'!AW"&amp;($C$1)))</f>
        <v>EXCH1 ROAD</v>
      </c>
      <c r="O13" s="58" t="s">
        <v>73</v>
      </c>
      <c r="P13" s="59" t="s">
        <v>73</v>
      </c>
      <c r="Q13" s="59" t="s">
        <v>265</v>
      </c>
      <c r="R13" s="60" t="s">
        <v>73</v>
      </c>
      <c r="S13" s="59" t="s">
        <v>75</v>
      </c>
      <c r="T13" s="61" t="s">
        <v>100</v>
      </c>
      <c r="U13" s="86"/>
    </row>
    <row r="14" spans="1:28" s="150" customFormat="1" ht="6.75">
      <c r="A14" s="150" t="s">
        <v>68</v>
      </c>
      <c r="B14" s="150" t="s">
        <v>455</v>
      </c>
      <c r="C14" s="150" t="s">
        <v>443</v>
      </c>
      <c r="D14" s="150" t="s">
        <v>444</v>
      </c>
      <c r="E14" s="150" t="s">
        <v>493</v>
      </c>
      <c r="F14" s="150" t="s">
        <v>475</v>
      </c>
      <c r="G14" s="150" t="s">
        <v>439</v>
      </c>
      <c r="H14" s="150" t="s">
        <v>447</v>
      </c>
      <c r="I14" s="150" t="s">
        <v>37</v>
      </c>
      <c r="J14" s="150" t="s">
        <v>94</v>
      </c>
      <c r="K14" s="153" t="s">
        <v>491</v>
      </c>
      <c r="L14" s="154" t="s">
        <v>77</v>
      </c>
      <c r="M14" s="154" t="s">
        <v>77</v>
      </c>
      <c r="N14" s="155" t="s">
        <v>77</v>
      </c>
      <c r="O14" s="154"/>
      <c r="P14" s="154"/>
      <c r="R14" s="154"/>
    </row>
    <row r="15" spans="1:28" s="44" customFormat="1" ht="11.25" customHeight="1">
      <c r="A15" s="65" t="s">
        <v>71</v>
      </c>
      <c r="B15" s="65" t="s">
        <v>474</v>
      </c>
      <c r="C15" s="65"/>
      <c r="D15" s="67">
        <v>1</v>
      </c>
      <c r="E15" s="94" t="s">
        <v>73</v>
      </c>
      <c r="F15" s="48">
        <f ca="1">(INDIRECT("'Data'!CD"&amp;($C$1)))</f>
        <v>0</v>
      </c>
      <c r="G15" s="49">
        <f ca="1">(INDIRECT("'Data'!BG"&amp;($C$1)))</f>
        <v>0</v>
      </c>
      <c r="H15" s="49" t="str">
        <f ca="1">(INDIRECT("'Data'!F"&amp;($C$1)))</f>
        <v>EXCHANGE GAS METER TO SECURE SMART CREDIT</v>
      </c>
      <c r="I15" s="48" t="str">
        <f ca="1">(INDIRECT("'Data'!AW"&amp;($C$1)))</f>
        <v>EXCH1 ROAD</v>
      </c>
      <c r="J15" s="44" t="s">
        <v>73</v>
      </c>
      <c r="K15" s="86"/>
      <c r="L15" s="62"/>
      <c r="M15" s="62"/>
      <c r="N15" s="63"/>
      <c r="O15" s="62"/>
      <c r="P15" s="62"/>
      <c r="Q15" s="47"/>
      <c r="R15" s="62"/>
    </row>
    <row r="16" spans="1:28" s="150" customFormat="1" ht="6.75">
      <c r="A16" s="150" t="s">
        <v>68</v>
      </c>
      <c r="B16" s="150" t="s">
        <v>455</v>
      </c>
      <c r="C16" s="150" t="s">
        <v>443</v>
      </c>
      <c r="D16" s="150" t="s">
        <v>444</v>
      </c>
      <c r="E16" s="150" t="s">
        <v>493</v>
      </c>
      <c r="F16" s="150" t="s">
        <v>477</v>
      </c>
      <c r="G16" s="150" t="s">
        <v>478</v>
      </c>
      <c r="H16" s="154" t="s">
        <v>480</v>
      </c>
      <c r="I16" s="150" t="s">
        <v>96</v>
      </c>
      <c r="J16" s="154" t="s">
        <v>481</v>
      </c>
      <c r="K16" s="154" t="s">
        <v>482</v>
      </c>
      <c r="L16" s="150" t="s">
        <v>475</v>
      </c>
      <c r="M16" s="150" t="s">
        <v>817</v>
      </c>
      <c r="N16" s="150" t="s">
        <v>479</v>
      </c>
      <c r="O16" s="150" t="s">
        <v>483</v>
      </c>
      <c r="P16" s="153" t="s">
        <v>491</v>
      </c>
    </row>
    <row r="17" spans="1:46" s="58" customFormat="1" ht="11.25" customHeight="1">
      <c r="A17" s="65" t="s">
        <v>71</v>
      </c>
      <c r="B17" s="69" t="s">
        <v>97</v>
      </c>
      <c r="C17" s="70"/>
      <c r="D17" s="71">
        <v>1</v>
      </c>
      <c r="E17" s="95" t="s">
        <v>73</v>
      </c>
      <c r="F17" s="73" t="s">
        <v>73</v>
      </c>
      <c r="G17" s="73" t="s">
        <v>73</v>
      </c>
      <c r="H17" s="74" t="s">
        <v>77</v>
      </c>
      <c r="I17" s="73" t="s">
        <v>77</v>
      </c>
      <c r="J17" s="74" t="s">
        <v>77</v>
      </c>
      <c r="K17" s="74" t="s">
        <v>77</v>
      </c>
      <c r="L17" s="48">
        <f ca="1">(INDIRECT("'Data'!CD"&amp;($C$1)))</f>
        <v>0</v>
      </c>
      <c r="M17" s="75"/>
      <c r="N17" s="73"/>
      <c r="O17" s="75"/>
      <c r="P17" s="86"/>
    </row>
    <row r="18" spans="1:46" s="153" customFormat="1" ht="6.75">
      <c r="A18" s="153" t="s">
        <v>68</v>
      </c>
      <c r="B18" s="153" t="s">
        <v>455</v>
      </c>
      <c r="C18" s="150" t="s">
        <v>443</v>
      </c>
      <c r="D18" s="150" t="s">
        <v>444</v>
      </c>
      <c r="E18" s="153" t="s">
        <v>493</v>
      </c>
      <c r="F18" s="153" t="s">
        <v>501</v>
      </c>
      <c r="G18" s="153" t="s">
        <v>507</v>
      </c>
      <c r="H18" s="153" t="s">
        <v>506</v>
      </c>
      <c r="I18" s="153" t="s">
        <v>724</v>
      </c>
      <c r="J18" s="153" t="s">
        <v>508</v>
      </c>
      <c r="K18" s="153" t="s">
        <v>504</v>
      </c>
      <c r="L18" s="153" t="s">
        <v>722</v>
      </c>
      <c r="M18" s="153" t="s">
        <v>491</v>
      </c>
    </row>
    <row r="19" spans="1:46" s="88" customFormat="1" ht="10.5" customHeight="1">
      <c r="A19" s="84" t="s">
        <v>71</v>
      </c>
      <c r="B19" s="84" t="s">
        <v>720</v>
      </c>
      <c r="C19" s="130"/>
      <c r="D19" s="83">
        <v>1</v>
      </c>
      <c r="E19" s="96" t="s">
        <v>73</v>
      </c>
      <c r="F19" s="86" t="s">
        <v>75</v>
      </c>
      <c r="G19" s="86"/>
      <c r="H19" s="86"/>
      <c r="I19" s="86"/>
      <c r="J19" s="86"/>
      <c r="K19" s="86"/>
      <c r="L19" s="86"/>
      <c r="M19" s="86"/>
      <c r="N19" s="86"/>
      <c r="O19" s="86"/>
      <c r="P19" s="86"/>
      <c r="Q19" s="86"/>
      <c r="R19" s="86"/>
      <c r="S19" s="86"/>
      <c r="T19" s="86"/>
      <c r="U19" s="86"/>
      <c r="V19" s="131"/>
      <c r="W19" s="86"/>
      <c r="X19" s="86"/>
      <c r="AE19" s="86"/>
      <c r="AG19" s="86"/>
    </row>
    <row r="20" spans="1:46" s="153" customFormat="1" ht="6.75">
      <c r="A20" s="153" t="s">
        <v>68</v>
      </c>
      <c r="B20" s="153" t="s">
        <v>455</v>
      </c>
      <c r="C20" s="150" t="s">
        <v>443</v>
      </c>
      <c r="D20" s="150" t="s">
        <v>444</v>
      </c>
      <c r="E20" s="153" t="s">
        <v>493</v>
      </c>
      <c r="F20" s="153" t="s">
        <v>725</v>
      </c>
      <c r="G20" s="153" t="s">
        <v>520</v>
      </c>
      <c r="H20" s="153" t="s">
        <v>726</v>
      </c>
      <c r="I20" s="153" t="s">
        <v>728</v>
      </c>
      <c r="J20" s="153" t="s">
        <v>553</v>
      </c>
      <c r="K20" s="153" t="s">
        <v>729</v>
      </c>
      <c r="L20" s="153" t="s">
        <v>516</v>
      </c>
      <c r="M20" s="153" t="s">
        <v>730</v>
      </c>
      <c r="N20" s="153" t="s">
        <v>524</v>
      </c>
      <c r="O20" s="153" t="s">
        <v>491</v>
      </c>
    </row>
    <row r="21" spans="1:46" s="88" customFormat="1" ht="10.5" customHeight="1">
      <c r="A21" s="84" t="s">
        <v>71</v>
      </c>
      <c r="B21" s="84" t="s">
        <v>723</v>
      </c>
      <c r="C21" s="85"/>
      <c r="D21" s="71">
        <v>1</v>
      </c>
      <c r="E21" s="96" t="s">
        <v>73</v>
      </c>
      <c r="F21" s="86"/>
      <c r="G21" s="86" t="s">
        <v>73</v>
      </c>
      <c r="H21" s="86" t="s">
        <v>727</v>
      </c>
      <c r="I21" s="86"/>
      <c r="J21" s="86"/>
      <c r="K21" s="86"/>
      <c r="L21" s="86"/>
      <c r="M21" s="86"/>
      <c r="N21" s="86"/>
    </row>
    <row r="22" spans="1:46" s="153" customFormat="1" ht="6.75">
      <c r="A22" s="153" t="s">
        <v>68</v>
      </c>
      <c r="B22" s="153" t="s">
        <v>455</v>
      </c>
      <c r="C22" s="150" t="s">
        <v>443</v>
      </c>
      <c r="D22" s="150" t="s">
        <v>444</v>
      </c>
      <c r="E22" s="153" t="s">
        <v>493</v>
      </c>
      <c r="F22" s="153" t="s">
        <v>491</v>
      </c>
    </row>
    <row r="23" spans="1:46" s="88" customFormat="1" ht="10.5" customHeight="1">
      <c r="A23" s="84" t="s">
        <v>71</v>
      </c>
      <c r="B23" s="84" t="s">
        <v>721</v>
      </c>
      <c r="C23" s="130"/>
      <c r="D23" s="83">
        <v>1</v>
      </c>
      <c r="E23" s="96" t="s">
        <v>73</v>
      </c>
      <c r="F23" s="86"/>
      <c r="G23" s="86"/>
      <c r="H23" s="86"/>
      <c r="I23" s="86"/>
      <c r="J23" s="86"/>
      <c r="K23" s="86"/>
      <c r="L23" s="86"/>
      <c r="M23" s="86"/>
      <c r="N23" s="86"/>
      <c r="O23" s="86"/>
      <c r="P23" s="86"/>
      <c r="Q23" s="86"/>
      <c r="R23" s="86"/>
      <c r="S23" s="86"/>
      <c r="T23" s="86"/>
      <c r="U23" s="86"/>
      <c r="V23" s="86"/>
      <c r="W23" s="86"/>
      <c r="X23" s="131"/>
      <c r="Y23" s="86"/>
      <c r="Z23" s="86"/>
      <c r="AG23" s="86"/>
      <c r="AI23" s="86"/>
    </row>
    <row r="24" spans="1:46" s="150" customFormat="1" ht="6.75">
      <c r="A24" s="150" t="s">
        <v>68</v>
      </c>
      <c r="B24" s="150" t="s">
        <v>455</v>
      </c>
      <c r="C24" s="150" t="s">
        <v>443</v>
      </c>
      <c r="D24" s="150" t="s">
        <v>444</v>
      </c>
      <c r="E24" s="150" t="s">
        <v>493</v>
      </c>
      <c r="F24" s="150" t="s">
        <v>733</v>
      </c>
      <c r="G24" s="150" t="s">
        <v>566</v>
      </c>
      <c r="H24" s="150" t="s">
        <v>538</v>
      </c>
      <c r="I24" s="150" t="s">
        <v>539</v>
      </c>
      <c r="J24" s="150" t="s">
        <v>540</v>
      </c>
      <c r="K24" s="150" t="s">
        <v>734</v>
      </c>
      <c r="L24" s="150" t="s">
        <v>491</v>
      </c>
    </row>
    <row r="25" spans="1:46" s="58" customFormat="1">
      <c r="A25" s="69" t="s">
        <v>71</v>
      </c>
      <c r="B25" s="69" t="s">
        <v>731</v>
      </c>
      <c r="C25" s="70"/>
      <c r="D25" s="71">
        <v>1</v>
      </c>
      <c r="E25" s="95" t="s">
        <v>73</v>
      </c>
      <c r="F25" s="95" t="s">
        <v>73</v>
      </c>
      <c r="G25" s="95" t="s">
        <v>109</v>
      </c>
      <c r="H25" s="95" t="s">
        <v>108</v>
      </c>
      <c r="I25" s="95" t="s">
        <v>75</v>
      </c>
      <c r="J25" s="95"/>
    </row>
    <row r="26" spans="1:46" s="150" customFormat="1" ht="6.75">
      <c r="A26" s="150" t="s">
        <v>68</v>
      </c>
      <c r="B26" s="150" t="s">
        <v>455</v>
      </c>
      <c r="C26" s="150" t="s">
        <v>443</v>
      </c>
      <c r="D26" s="150" t="s">
        <v>444</v>
      </c>
      <c r="E26" s="150" t="s">
        <v>493</v>
      </c>
      <c r="F26" s="150" t="s">
        <v>547</v>
      </c>
      <c r="G26" s="150" t="s">
        <v>549</v>
      </c>
      <c r="H26" s="150" t="s">
        <v>546</v>
      </c>
      <c r="I26" s="150" t="s">
        <v>735</v>
      </c>
      <c r="J26" s="150" t="s">
        <v>567</v>
      </c>
      <c r="K26" s="150" t="s">
        <v>736</v>
      </c>
      <c r="L26" s="150" t="s">
        <v>737</v>
      </c>
      <c r="M26" s="150" t="s">
        <v>553</v>
      </c>
      <c r="N26" s="150" t="s">
        <v>729</v>
      </c>
      <c r="O26" s="150" t="s">
        <v>516</v>
      </c>
      <c r="P26" s="150" t="s">
        <v>491</v>
      </c>
    </row>
    <row r="27" spans="1:46" s="58" customFormat="1">
      <c r="A27" s="69" t="s">
        <v>71</v>
      </c>
      <c r="B27" s="69" t="s">
        <v>732</v>
      </c>
      <c r="C27" s="70"/>
      <c r="D27" s="71">
        <v>1</v>
      </c>
      <c r="E27" s="95" t="s">
        <v>73</v>
      </c>
      <c r="F27" s="58" t="s">
        <v>73</v>
      </c>
      <c r="H27" s="58" t="s">
        <v>73</v>
      </c>
    </row>
    <row r="28" spans="1:46" s="156" customFormat="1" ht="6.75">
      <c r="A28" s="156" t="s">
        <v>68</v>
      </c>
      <c r="B28" s="150" t="s">
        <v>455</v>
      </c>
      <c r="C28" s="150" t="s">
        <v>443</v>
      </c>
      <c r="D28" s="150" t="s">
        <v>444</v>
      </c>
      <c r="E28" s="156" t="s">
        <v>493</v>
      </c>
      <c r="F28" s="156" t="s">
        <v>750</v>
      </c>
      <c r="G28" s="156" t="s">
        <v>116</v>
      </c>
      <c r="H28" s="156" t="s">
        <v>117</v>
      </c>
      <c r="I28" s="156" t="s">
        <v>118</v>
      </c>
      <c r="J28" s="156" t="s">
        <v>123</v>
      </c>
      <c r="K28" s="156" t="s">
        <v>119</v>
      </c>
      <c r="L28" s="156" t="s">
        <v>221</v>
      </c>
      <c r="M28" s="156" t="s">
        <v>171</v>
      </c>
      <c r="N28" s="156" t="s">
        <v>172</v>
      </c>
      <c r="O28" s="156" t="s">
        <v>177</v>
      </c>
      <c r="P28" s="156" t="s">
        <v>169</v>
      </c>
      <c r="Q28" s="156" t="s">
        <v>170</v>
      </c>
      <c r="R28" s="156" t="s">
        <v>268</v>
      </c>
      <c r="S28" s="156" t="s">
        <v>173</v>
      </c>
      <c r="T28" s="156" t="s">
        <v>174</v>
      </c>
      <c r="U28" s="156" t="s">
        <v>175</v>
      </c>
      <c r="V28" s="156" t="s">
        <v>176</v>
      </c>
      <c r="W28" s="156" t="s">
        <v>178</v>
      </c>
      <c r="X28" s="156" t="s">
        <v>179</v>
      </c>
      <c r="Y28" s="156" t="s">
        <v>180</v>
      </c>
      <c r="Z28" s="156" t="s">
        <v>181</v>
      </c>
      <c r="AA28" s="156" t="s">
        <v>182</v>
      </c>
      <c r="AB28" s="156" t="s">
        <v>282</v>
      </c>
      <c r="AC28" s="156" t="s">
        <v>281</v>
      </c>
      <c r="AD28" s="156" t="s">
        <v>281</v>
      </c>
      <c r="AE28" s="156" t="s">
        <v>186</v>
      </c>
      <c r="AF28" s="156" t="s">
        <v>187</v>
      </c>
      <c r="AG28" s="156" t="s">
        <v>192</v>
      </c>
      <c r="AH28" s="156" t="s">
        <v>188</v>
      </c>
      <c r="AI28" s="156" t="s">
        <v>198</v>
      </c>
      <c r="AJ28" s="156" t="s">
        <v>199</v>
      </c>
      <c r="AK28" s="156" t="s">
        <v>200</v>
      </c>
      <c r="AL28" s="156" t="s">
        <v>189</v>
      </c>
      <c r="AM28" s="156" t="s">
        <v>190</v>
      </c>
      <c r="AN28" s="156" t="s">
        <v>191</v>
      </c>
      <c r="AO28" s="156" t="s">
        <v>193</v>
      </c>
      <c r="AP28" s="156" t="s">
        <v>194</v>
      </c>
      <c r="AQ28" s="156" t="s">
        <v>195</v>
      </c>
      <c r="AR28" s="156" t="s">
        <v>196</v>
      </c>
      <c r="AS28" s="156" t="s">
        <v>197</v>
      </c>
      <c r="AT28" s="153" t="s">
        <v>491</v>
      </c>
    </row>
    <row r="29" spans="1:46" s="58" customFormat="1">
      <c r="A29" s="69" t="s">
        <v>71</v>
      </c>
      <c r="B29" s="69" t="s">
        <v>568</v>
      </c>
      <c r="C29" s="70"/>
      <c r="D29" s="71">
        <v>1</v>
      </c>
      <c r="E29" s="97" t="s">
        <v>73</v>
      </c>
      <c r="F29" s="58" t="s">
        <v>73</v>
      </c>
      <c r="G29" s="61"/>
      <c r="H29" s="61" t="s">
        <v>77</v>
      </c>
      <c r="I29" s="61" t="s">
        <v>77</v>
      </c>
      <c r="J29" s="61"/>
      <c r="K29" s="61"/>
      <c r="L29" s="61"/>
      <c r="M29" s="143">
        <f ca="1">(INDIRECT("'Data'!BL"&amp;($C$1)))</f>
        <v>0</v>
      </c>
      <c r="N29" s="143">
        <f ca="1">(INDIRECT("'Data'!BX"&amp;($C$1)))</f>
        <v>0</v>
      </c>
      <c r="O29" s="143">
        <f ca="1">(INDIRECT("'Data'!BQ"&amp;($C$1)))</f>
        <v>0</v>
      </c>
      <c r="P29" s="143">
        <f ca="1">(INDIRECT("'Data'!BX"&amp;($C$1)))</f>
        <v>0</v>
      </c>
      <c r="Q29" s="143">
        <f ca="1">(INDIRECT("'Data'!BO"&amp;($C$1)))</f>
        <v>0</v>
      </c>
      <c r="R29" s="143">
        <f ca="1">(INDIRECT("'Data'!BY"&amp;($C$1)))</f>
        <v>0</v>
      </c>
      <c r="S29" s="143">
        <f ca="1">(INDIRECT("'Data'!BZ"&amp;($C$1)))</f>
        <v>0</v>
      </c>
      <c r="T29" s="61"/>
      <c r="U29" s="61"/>
      <c r="V29" s="61"/>
      <c r="W29" s="61"/>
      <c r="X29" s="61"/>
      <c r="Y29" s="61"/>
      <c r="Z29" s="60"/>
      <c r="AA29" s="61"/>
      <c r="AB29" s="61"/>
      <c r="AC29" s="61"/>
      <c r="AD29" s="61"/>
      <c r="AT29" s="86"/>
    </row>
    <row r="30" spans="1:46" s="150" customFormat="1" ht="6.75">
      <c r="A30" s="150" t="s">
        <v>68</v>
      </c>
      <c r="B30" s="150" t="s">
        <v>455</v>
      </c>
      <c r="C30" s="150" t="s">
        <v>443</v>
      </c>
      <c r="D30" s="150" t="s">
        <v>444</v>
      </c>
      <c r="E30" s="150" t="s">
        <v>493</v>
      </c>
      <c r="F30" s="150" t="s">
        <v>203</v>
      </c>
      <c r="G30" s="150" t="s">
        <v>204</v>
      </c>
      <c r="H30" s="150" t="s">
        <v>205</v>
      </c>
      <c r="I30" s="150" t="s">
        <v>284</v>
      </c>
      <c r="J30" s="150" t="s">
        <v>206</v>
      </c>
      <c r="K30" s="150" t="s">
        <v>207</v>
      </c>
      <c r="L30" s="150" t="s">
        <v>208</v>
      </c>
      <c r="M30" s="150" t="s">
        <v>209</v>
      </c>
      <c r="N30" s="150" t="s">
        <v>210</v>
      </c>
      <c r="O30" s="150" t="s">
        <v>211</v>
      </c>
      <c r="P30" s="150" t="s">
        <v>212</v>
      </c>
      <c r="Q30" s="150" t="s">
        <v>213</v>
      </c>
      <c r="R30" s="150" t="s">
        <v>214</v>
      </c>
      <c r="S30" s="150" t="s">
        <v>215</v>
      </c>
      <c r="T30" s="150" t="s">
        <v>216</v>
      </c>
      <c r="U30" s="150" t="s">
        <v>217</v>
      </c>
      <c r="V30" s="153" t="s">
        <v>491</v>
      </c>
    </row>
    <row r="31" spans="1:46" s="58" customFormat="1">
      <c r="A31" s="69" t="s">
        <v>71</v>
      </c>
      <c r="B31" s="69" t="s">
        <v>570</v>
      </c>
      <c r="C31" s="70"/>
      <c r="D31" s="71">
        <v>1</v>
      </c>
      <c r="E31" s="95" t="s">
        <v>73</v>
      </c>
      <c r="F31" s="49">
        <f ca="1">(INDIRECT("'Data'!BL"&amp;($C$1)))</f>
        <v>0</v>
      </c>
      <c r="G31" s="49">
        <f ca="1">(INDIRECT("'Data'!BX"&amp;($C$1)))</f>
        <v>0</v>
      </c>
      <c r="H31" s="58" t="s">
        <v>280</v>
      </c>
      <c r="I31" s="61">
        <v>1</v>
      </c>
      <c r="N31" s="58" t="s">
        <v>218</v>
      </c>
      <c r="O31" s="58" t="s">
        <v>285</v>
      </c>
      <c r="P31" s="58" t="s">
        <v>286</v>
      </c>
      <c r="Q31" s="58" t="s">
        <v>287</v>
      </c>
      <c r="R31" s="58" t="s">
        <v>75</v>
      </c>
      <c r="S31" s="58" t="s">
        <v>219</v>
      </c>
      <c r="T31" s="58" t="s">
        <v>120</v>
      </c>
      <c r="U31" s="58" t="s">
        <v>73</v>
      </c>
      <c r="V31" s="86"/>
    </row>
    <row r="32" spans="1:46" s="150" customFormat="1" ht="6.75">
      <c r="A32" s="150" t="s">
        <v>68</v>
      </c>
      <c r="B32" s="150" t="s">
        <v>455</v>
      </c>
      <c r="C32" s="150" t="s">
        <v>443</v>
      </c>
      <c r="D32" s="150" t="s">
        <v>444</v>
      </c>
      <c r="E32" s="150" t="s">
        <v>493</v>
      </c>
      <c r="F32" s="150" t="s">
        <v>574</v>
      </c>
      <c r="G32" s="150" t="s">
        <v>575</v>
      </c>
      <c r="H32" s="153" t="s">
        <v>491</v>
      </c>
    </row>
    <row r="33" spans="1:20" s="58" customFormat="1">
      <c r="A33" s="69" t="s">
        <v>71</v>
      </c>
      <c r="B33" s="69" t="s">
        <v>578</v>
      </c>
      <c r="C33" s="70"/>
      <c r="D33" s="71">
        <v>1</v>
      </c>
      <c r="E33" s="95" t="s">
        <v>73</v>
      </c>
      <c r="F33" s="58" t="s">
        <v>120</v>
      </c>
      <c r="G33" s="60" t="s">
        <v>73</v>
      </c>
      <c r="H33" s="86"/>
    </row>
    <row r="34" spans="1:20" s="150" customFormat="1" ht="6.75">
      <c r="A34" s="150" t="s">
        <v>68</v>
      </c>
      <c r="B34" s="150" t="s">
        <v>455</v>
      </c>
      <c r="C34" s="150" t="s">
        <v>443</v>
      </c>
      <c r="D34" s="150" t="s">
        <v>444</v>
      </c>
      <c r="E34" s="150" t="s">
        <v>493</v>
      </c>
      <c r="F34" s="150" t="s">
        <v>579</v>
      </c>
      <c r="G34" s="150" t="s">
        <v>577</v>
      </c>
      <c r="H34" s="150" t="s">
        <v>83</v>
      </c>
      <c r="I34" s="150" t="s">
        <v>584</v>
      </c>
      <c r="J34" s="150" t="s">
        <v>576</v>
      </c>
      <c r="K34" s="150" t="s">
        <v>220</v>
      </c>
      <c r="L34" s="153" t="s">
        <v>491</v>
      </c>
    </row>
    <row r="35" spans="1:20" s="58" customFormat="1">
      <c r="A35" s="69" t="s">
        <v>71</v>
      </c>
      <c r="B35" s="69" t="s">
        <v>580</v>
      </c>
      <c r="C35" s="70" t="s">
        <v>77</v>
      </c>
      <c r="D35" s="71">
        <v>1</v>
      </c>
      <c r="E35" s="95" t="s">
        <v>73</v>
      </c>
      <c r="F35" s="74" t="s">
        <v>582</v>
      </c>
      <c r="G35" s="74" t="s">
        <v>581</v>
      </c>
      <c r="H35" s="74" t="s">
        <v>583</v>
      </c>
      <c r="I35" s="89" t="s">
        <v>269</v>
      </c>
      <c r="J35" s="74" t="s">
        <v>124</v>
      </c>
      <c r="K35" s="75" t="s">
        <v>585</v>
      </c>
      <c r="L35" s="86"/>
    </row>
    <row r="36" spans="1:20" s="150" customFormat="1" ht="6.75">
      <c r="A36" s="150" t="s">
        <v>68</v>
      </c>
      <c r="B36" s="150" t="s">
        <v>455</v>
      </c>
      <c r="C36" s="150" t="s">
        <v>443</v>
      </c>
      <c r="D36" s="150" t="s">
        <v>444</v>
      </c>
      <c r="E36" s="150" t="s">
        <v>493</v>
      </c>
      <c r="F36" s="150" t="s">
        <v>318</v>
      </c>
      <c r="G36" s="150" t="s">
        <v>587</v>
      </c>
      <c r="H36" s="150" t="s">
        <v>319</v>
      </c>
      <c r="I36" s="150" t="s">
        <v>125</v>
      </c>
      <c r="J36" s="150" t="s">
        <v>588</v>
      </c>
      <c r="K36" s="150" t="s">
        <v>589</v>
      </c>
      <c r="L36" s="150" t="s">
        <v>320</v>
      </c>
      <c r="M36" s="150" t="s">
        <v>321</v>
      </c>
      <c r="N36" s="150" t="s">
        <v>89</v>
      </c>
      <c r="O36" s="150" t="s">
        <v>590</v>
      </c>
      <c r="P36" s="150" t="s">
        <v>419</v>
      </c>
      <c r="Q36" s="153" t="s">
        <v>491</v>
      </c>
    </row>
    <row r="37" spans="1:20" s="78" customFormat="1" ht="11.25" customHeight="1">
      <c r="A37" s="69" t="s">
        <v>71</v>
      </c>
      <c r="B37" s="69" t="s">
        <v>586</v>
      </c>
      <c r="C37" s="69"/>
      <c r="D37" s="71">
        <v>1</v>
      </c>
      <c r="E37" s="95" t="s">
        <v>73</v>
      </c>
      <c r="F37" s="76" t="s">
        <v>73</v>
      </c>
      <c r="G37" s="76" t="s">
        <v>73</v>
      </c>
      <c r="H37" s="76" t="s">
        <v>322</v>
      </c>
      <c r="I37" s="76" t="s">
        <v>323</v>
      </c>
      <c r="J37" s="76" t="s">
        <v>73</v>
      </c>
      <c r="K37" s="76" t="s">
        <v>73</v>
      </c>
      <c r="L37" s="78" t="s">
        <v>73</v>
      </c>
      <c r="M37" s="78" t="s">
        <v>73</v>
      </c>
      <c r="N37" s="76" t="s">
        <v>73</v>
      </c>
      <c r="O37" s="78" t="s">
        <v>73</v>
      </c>
      <c r="P37" s="76" t="s">
        <v>73</v>
      </c>
      <c r="Q37" s="86"/>
    </row>
    <row r="38" spans="1:20" s="150" customFormat="1" ht="6.75">
      <c r="A38" s="150" t="s">
        <v>68</v>
      </c>
      <c r="B38" s="150" t="s">
        <v>455</v>
      </c>
      <c r="C38" s="150" t="s">
        <v>443</v>
      </c>
      <c r="D38" s="150" t="s">
        <v>444</v>
      </c>
      <c r="E38" s="150" t="s">
        <v>493</v>
      </c>
      <c r="F38" s="150" t="s">
        <v>591</v>
      </c>
      <c r="G38" s="150" t="s">
        <v>593</v>
      </c>
      <c r="H38" s="150" t="s">
        <v>592</v>
      </c>
      <c r="I38" s="150" t="s">
        <v>302</v>
      </c>
      <c r="J38" s="150" t="s">
        <v>304</v>
      </c>
      <c r="K38" s="153" t="s">
        <v>491</v>
      </c>
    </row>
    <row r="39" spans="1:20" s="79" customFormat="1">
      <c r="A39" s="69" t="s">
        <v>71</v>
      </c>
      <c r="B39" s="69" t="s">
        <v>642</v>
      </c>
      <c r="C39" s="70" t="s">
        <v>77</v>
      </c>
      <c r="D39" s="71">
        <v>1</v>
      </c>
      <c r="E39" s="95" t="s">
        <v>73</v>
      </c>
      <c r="F39" s="79" t="s">
        <v>218</v>
      </c>
      <c r="I39" s="56"/>
      <c r="J39" s="79" t="s">
        <v>77</v>
      </c>
      <c r="K39" s="88"/>
    </row>
    <row r="40" spans="1:20" s="150" customFormat="1" ht="6.75">
      <c r="A40" s="150" t="s">
        <v>68</v>
      </c>
      <c r="B40" s="150" t="s">
        <v>455</v>
      </c>
      <c r="C40" s="150" t="s">
        <v>443</v>
      </c>
      <c r="D40" s="150" t="s">
        <v>444</v>
      </c>
      <c r="E40" s="150" t="s">
        <v>493</v>
      </c>
      <c r="F40" s="150" t="s">
        <v>475</v>
      </c>
      <c r="G40" s="150" t="s">
        <v>789</v>
      </c>
      <c r="H40" s="150" t="s">
        <v>790</v>
      </c>
      <c r="I40" s="150" t="s">
        <v>791</v>
      </c>
      <c r="J40" s="150" t="s">
        <v>793</v>
      </c>
      <c r="K40" s="150" t="s">
        <v>794</v>
      </c>
      <c r="L40" s="150" t="s">
        <v>795</v>
      </c>
      <c r="M40" s="150" t="s">
        <v>796</v>
      </c>
      <c r="N40" s="150" t="s">
        <v>650</v>
      </c>
      <c r="O40" s="150" t="s">
        <v>651</v>
      </c>
      <c r="P40" s="153" t="s">
        <v>491</v>
      </c>
    </row>
    <row r="41" spans="1:20" s="79" customFormat="1">
      <c r="A41" s="69" t="s">
        <v>71</v>
      </c>
      <c r="B41" s="69" t="s">
        <v>594</v>
      </c>
      <c r="C41" s="70" t="s">
        <v>77</v>
      </c>
      <c r="D41" s="71">
        <v>1</v>
      </c>
      <c r="E41" s="95" t="s">
        <v>73</v>
      </c>
      <c r="F41" s="48">
        <f ca="1">(INDIRECT("'Data'!CD"&amp;($C$1)))</f>
        <v>0</v>
      </c>
      <c r="G41" s="78" t="s">
        <v>73</v>
      </c>
      <c r="H41" s="78" t="s">
        <v>308</v>
      </c>
      <c r="I41" s="78" t="s">
        <v>792</v>
      </c>
      <c r="J41" s="76">
        <v>0</v>
      </c>
      <c r="K41" s="78" t="s">
        <v>231</v>
      </c>
      <c r="L41" s="78" t="s">
        <v>757</v>
      </c>
      <c r="M41" s="78" t="s">
        <v>313</v>
      </c>
      <c r="N41" s="79" t="s">
        <v>315</v>
      </c>
      <c r="O41" s="79" t="s">
        <v>65</v>
      </c>
      <c r="P41" s="86"/>
    </row>
    <row r="42" spans="1:20" s="150" customFormat="1" ht="6.75">
      <c r="A42" s="150" t="s">
        <v>68</v>
      </c>
      <c r="B42" s="150" t="s">
        <v>455</v>
      </c>
      <c r="C42" s="150" t="s">
        <v>443</v>
      </c>
      <c r="D42" s="150" t="s">
        <v>444</v>
      </c>
      <c r="E42" s="150" t="s">
        <v>493</v>
      </c>
      <c r="F42" s="150" t="s">
        <v>235</v>
      </c>
      <c r="G42" s="150" t="s">
        <v>238</v>
      </c>
      <c r="H42" s="150" t="s">
        <v>595</v>
      </c>
      <c r="I42" s="150" t="s">
        <v>596</v>
      </c>
      <c r="J42" s="150" t="s">
        <v>599</v>
      </c>
      <c r="K42" s="150" t="s">
        <v>237</v>
      </c>
      <c r="L42" s="150" t="s">
        <v>597</v>
      </c>
      <c r="M42" s="150" t="s">
        <v>236</v>
      </c>
      <c r="N42" s="153" t="s">
        <v>491</v>
      </c>
    </row>
    <row r="43" spans="1:20" s="79" customFormat="1">
      <c r="A43" s="69" t="s">
        <v>71</v>
      </c>
      <c r="B43" s="69" t="s">
        <v>598</v>
      </c>
      <c r="C43" s="70"/>
      <c r="D43" s="71">
        <v>1</v>
      </c>
      <c r="E43" s="95" t="s">
        <v>73</v>
      </c>
      <c r="F43" s="56" t="s">
        <v>73</v>
      </c>
      <c r="G43" s="56" t="s">
        <v>238</v>
      </c>
      <c r="H43" s="56" t="s">
        <v>109</v>
      </c>
      <c r="I43" s="56" t="s">
        <v>168</v>
      </c>
      <c r="J43" s="56" t="s">
        <v>73</v>
      </c>
      <c r="K43" s="56" t="s">
        <v>237</v>
      </c>
      <c r="L43" s="56" t="s">
        <v>109</v>
      </c>
      <c r="M43" s="56" t="s">
        <v>236</v>
      </c>
      <c r="N43" s="86"/>
    </row>
    <row r="44" spans="1:20" s="150" customFormat="1" ht="6.75">
      <c r="A44" s="150" t="s">
        <v>68</v>
      </c>
      <c r="B44" s="150" t="s">
        <v>455</v>
      </c>
      <c r="C44" s="150" t="s">
        <v>443</v>
      </c>
      <c r="D44" s="150" t="s">
        <v>444</v>
      </c>
      <c r="E44" s="150" t="s">
        <v>493</v>
      </c>
      <c r="F44" s="153" t="s">
        <v>491</v>
      </c>
    </row>
    <row r="45" spans="1:20" s="79" customFormat="1">
      <c r="A45" s="69" t="s">
        <v>71</v>
      </c>
      <c r="B45" s="69" t="s">
        <v>600</v>
      </c>
      <c r="C45" s="70"/>
      <c r="D45" s="71">
        <v>1</v>
      </c>
      <c r="E45" s="95" t="s">
        <v>73</v>
      </c>
      <c r="F45" s="86"/>
    </row>
    <row r="46" spans="1:20" s="150" customFormat="1" ht="6.75">
      <c r="A46" s="150" t="s">
        <v>68</v>
      </c>
      <c r="B46" s="150" t="s">
        <v>455</v>
      </c>
      <c r="C46" s="150" t="s">
        <v>70</v>
      </c>
      <c r="D46" s="150" t="s">
        <v>444</v>
      </c>
      <c r="E46" s="150" t="s">
        <v>493</v>
      </c>
      <c r="F46" s="150" t="s">
        <v>697</v>
      </c>
      <c r="G46" s="150" t="s">
        <v>698</v>
      </c>
      <c r="H46" s="150" t="s">
        <v>699</v>
      </c>
      <c r="I46" s="150" t="s">
        <v>700</v>
      </c>
      <c r="J46" s="150" t="s">
        <v>701</v>
      </c>
      <c r="K46" s="216" t="s">
        <v>838</v>
      </c>
      <c r="L46" s="150" t="s">
        <v>839</v>
      </c>
      <c r="M46" s="150" t="s">
        <v>471</v>
      </c>
      <c r="N46" s="150" t="s">
        <v>475</v>
      </c>
      <c r="O46" s="153" t="s">
        <v>491</v>
      </c>
    </row>
    <row r="47" spans="1:20" s="58" customFormat="1" ht="11.25" customHeight="1">
      <c r="A47" s="119" t="s">
        <v>71</v>
      </c>
      <c r="B47" s="119" t="s">
        <v>144</v>
      </c>
      <c r="C47" s="119"/>
      <c r="D47" s="83">
        <v>1</v>
      </c>
      <c r="E47" s="95" t="s">
        <v>73</v>
      </c>
      <c r="F47" s="61" t="s">
        <v>703</v>
      </c>
      <c r="G47" s="61" t="s">
        <v>165</v>
      </c>
      <c r="H47" s="61" t="s">
        <v>73</v>
      </c>
      <c r="I47" s="61" t="s">
        <v>73</v>
      </c>
      <c r="J47" s="61" t="s">
        <v>73</v>
      </c>
      <c r="K47" s="217"/>
      <c r="L47" s="61" t="s">
        <v>73</v>
      </c>
      <c r="M47" s="61" t="s">
        <v>702</v>
      </c>
      <c r="N47" s="48">
        <f ca="1">(INDIRECT("'Data'!CD"&amp;($C$1)))</f>
        <v>0</v>
      </c>
      <c r="O47" s="86"/>
      <c r="P47" s="61"/>
      <c r="Q47" s="61"/>
      <c r="R47" s="61"/>
      <c r="S47" s="61"/>
      <c r="T47" s="61"/>
    </row>
    <row r="48" spans="1:20" s="150" customFormat="1" ht="6" customHeight="1">
      <c r="A48" s="150" t="s">
        <v>68</v>
      </c>
      <c r="B48" s="150" t="s">
        <v>455</v>
      </c>
      <c r="C48" s="150" t="s">
        <v>70</v>
      </c>
      <c r="D48" s="150" t="s">
        <v>444</v>
      </c>
      <c r="E48" s="150" t="s">
        <v>493</v>
      </c>
      <c r="F48" s="150" t="s">
        <v>475</v>
      </c>
      <c r="G48" s="150" t="s">
        <v>84</v>
      </c>
      <c r="H48" s="150" t="s">
        <v>82</v>
      </c>
      <c r="I48" s="150" t="s">
        <v>145</v>
      </c>
      <c r="J48" s="150" t="s">
        <v>146</v>
      </c>
      <c r="K48" s="150" t="s">
        <v>147</v>
      </c>
      <c r="L48" s="150" t="s">
        <v>148</v>
      </c>
      <c r="M48" s="150" t="s">
        <v>326</v>
      </c>
      <c r="N48" s="150" t="s">
        <v>149</v>
      </c>
      <c r="O48" s="150" t="s">
        <v>840</v>
      </c>
      <c r="P48" s="150" t="s">
        <v>841</v>
      </c>
      <c r="Q48" s="153" t="s">
        <v>491</v>
      </c>
    </row>
    <row r="49" spans="1:29" s="58" customFormat="1" ht="11.25" customHeight="1">
      <c r="A49" s="119" t="s">
        <v>71</v>
      </c>
      <c r="B49" s="119" t="s">
        <v>156</v>
      </c>
      <c r="C49" s="119"/>
      <c r="D49" s="83">
        <v>1</v>
      </c>
      <c r="E49" s="95" t="s">
        <v>73</v>
      </c>
      <c r="F49" s="48">
        <f ca="1">(INDIRECT("'Data'!CD"&amp;($C$1)))</f>
        <v>0</v>
      </c>
      <c r="G49" s="132" t="str">
        <f ca="1">(INDIRECT("'Data'!F"&amp;($C$1)))</f>
        <v>EXCHANGE GAS METER TO SECURE SMART CREDIT</v>
      </c>
      <c r="H49" s="132" t="str">
        <f ca="1">(INDIRECT("'Data'!AW"&amp;($C$1)))</f>
        <v>EXCH1 ROAD</v>
      </c>
      <c r="I49" s="49" t="str">
        <f ca="1">(INDIRECT("'Data'!X"&amp;($C$1)))</f>
        <v>FRST</v>
      </c>
      <c r="J49" s="49">
        <f ca="1">(INDIRECT("'Data'!BG"&amp;($C$1)))</f>
        <v>0</v>
      </c>
      <c r="K49" s="49">
        <f ca="1">(INDIRECT("'Data'!BL"&amp;($C$1)))</f>
        <v>0</v>
      </c>
      <c r="L49" s="60" t="str">
        <f>N31</f>
        <v>12345</v>
      </c>
      <c r="M49" s="59" t="str">
        <f>F35</f>
        <v>Z89K12345</v>
      </c>
      <c r="N49" s="61" t="str">
        <f>M43</f>
        <v>Test Witness name</v>
      </c>
      <c r="O49" s="61" t="s">
        <v>73</v>
      </c>
      <c r="P49" s="60" t="s">
        <v>73</v>
      </c>
      <c r="Q49" s="86"/>
    </row>
    <row r="50" spans="1:29" s="150" customFormat="1" ht="6.75">
      <c r="A50" s="150" t="s">
        <v>68</v>
      </c>
      <c r="B50" s="150" t="s">
        <v>455</v>
      </c>
      <c r="C50" s="150" t="s">
        <v>70</v>
      </c>
      <c r="D50" s="150" t="s">
        <v>444</v>
      </c>
      <c r="E50" s="150" t="s">
        <v>493</v>
      </c>
      <c r="F50" s="150" t="s">
        <v>707</v>
      </c>
      <c r="G50" s="150" t="s">
        <v>708</v>
      </c>
      <c r="H50" s="150" t="s">
        <v>709</v>
      </c>
      <c r="I50" s="150" t="s">
        <v>710</v>
      </c>
      <c r="J50" s="150" t="s">
        <v>711</v>
      </c>
      <c r="K50" s="150" t="s">
        <v>712</v>
      </c>
      <c r="L50" s="153" t="s">
        <v>491</v>
      </c>
    </row>
    <row r="51" spans="1:29" s="58" customFormat="1" ht="11.25" customHeight="1">
      <c r="A51" s="119" t="s">
        <v>71</v>
      </c>
      <c r="B51" s="119" t="s">
        <v>706</v>
      </c>
      <c r="C51" s="119"/>
      <c r="D51" s="118">
        <v>1</v>
      </c>
      <c r="E51" s="95" t="s">
        <v>73</v>
      </c>
      <c r="F51" s="61" t="s">
        <v>73</v>
      </c>
      <c r="G51" s="61" t="s">
        <v>75</v>
      </c>
      <c r="H51" s="61" t="s">
        <v>714</v>
      </c>
      <c r="I51" s="61" t="s">
        <v>155</v>
      </c>
      <c r="J51" s="61" t="s">
        <v>75</v>
      </c>
      <c r="K51" s="61" t="s">
        <v>643</v>
      </c>
      <c r="L51" s="86"/>
      <c r="M51" s="61"/>
      <c r="N51" s="61"/>
      <c r="O51" s="61"/>
      <c r="P51" s="61"/>
      <c r="Q51" s="61"/>
    </row>
    <row r="52" spans="1:29" s="150" customFormat="1" ht="6.75">
      <c r="A52" s="150" t="s">
        <v>68</v>
      </c>
      <c r="B52" s="150" t="s">
        <v>455</v>
      </c>
      <c r="C52" s="150" t="s">
        <v>70</v>
      </c>
      <c r="D52" s="150" t="s">
        <v>444</v>
      </c>
    </row>
    <row r="53" spans="1:29" s="58" customFormat="1" ht="11.25" customHeight="1">
      <c r="A53" s="58" t="s">
        <v>71</v>
      </c>
      <c r="B53" s="58" t="s">
        <v>76</v>
      </c>
      <c r="D53" s="82">
        <v>1</v>
      </c>
      <c r="E53" s="95"/>
      <c r="F53" s="61"/>
      <c r="J53" s="133"/>
    </row>
    <row r="54" spans="1:29" s="79" customFormat="1" ht="11.25" customHeight="1">
      <c r="A54" s="69"/>
      <c r="B54" s="69"/>
      <c r="C54" s="70"/>
      <c r="D54" s="71"/>
      <c r="E54" s="95"/>
      <c r="F54" s="56"/>
      <c r="G54" s="56"/>
      <c r="H54" s="56"/>
      <c r="I54" s="56"/>
      <c r="J54" s="56"/>
      <c r="K54" s="56"/>
      <c r="L54" s="56"/>
      <c r="M54" s="56"/>
    </row>
    <row r="55" spans="1:29" s="79" customFormat="1" ht="11.25" customHeight="1">
      <c r="A55" s="69"/>
      <c r="B55" s="69"/>
      <c r="C55" s="70"/>
      <c r="D55" s="71"/>
      <c r="E55" s="95"/>
      <c r="F55" s="56"/>
      <c r="G55" s="56"/>
      <c r="H55" s="56"/>
      <c r="I55" s="56"/>
      <c r="J55" s="56"/>
      <c r="K55" s="56"/>
      <c r="L55" s="56"/>
      <c r="M55" s="56"/>
    </row>
    <row r="56" spans="1:29" s="79" customFormat="1">
      <c r="A56" s="69"/>
      <c r="B56" s="69"/>
      <c r="C56" s="70"/>
      <c r="D56" s="71"/>
      <c r="E56" s="95"/>
      <c r="F56" s="113" t="s">
        <v>491</v>
      </c>
      <c r="G56" s="56"/>
      <c r="H56" s="56"/>
      <c r="I56" s="56"/>
      <c r="J56" s="56"/>
      <c r="K56" s="56"/>
      <c r="L56" s="56"/>
      <c r="M56" s="56"/>
    </row>
    <row r="57" spans="1:29" s="79" customFormat="1" ht="11.25" customHeight="1">
      <c r="A57" s="69"/>
      <c r="B57" s="69"/>
      <c r="C57" s="70"/>
      <c r="D57" s="71"/>
      <c r="E57" s="95"/>
      <c r="F57" s="56" t="s">
        <v>492</v>
      </c>
      <c r="G57" s="56"/>
      <c r="H57" s="56"/>
      <c r="I57" s="56"/>
      <c r="J57" s="56"/>
      <c r="K57" s="56"/>
      <c r="L57" s="56"/>
      <c r="M57" s="56"/>
    </row>
    <row r="60" spans="1:29" s="31" customFormat="1" ht="11.25" customHeight="1">
      <c r="E60" s="98"/>
      <c r="AC60" s="64"/>
    </row>
    <row r="61" spans="1:29" s="31" customFormat="1" ht="11.25" customHeight="1">
      <c r="E61" s="98"/>
      <c r="AC61" s="64"/>
    </row>
    <row r="62" spans="1:29" s="31" customFormat="1" ht="11.25" customHeight="1">
      <c r="E62" s="98"/>
      <c r="AC62" s="64"/>
    </row>
    <row r="63" spans="1:29" s="64" customFormat="1" ht="11.25" customHeight="1">
      <c r="E63" s="99"/>
      <c r="I63" s="72"/>
    </row>
    <row r="64" spans="1:29" s="64" customFormat="1" ht="11.25" customHeight="1">
      <c r="E64" s="99"/>
      <c r="I64" s="72"/>
    </row>
    <row r="65" spans="8:9" ht="11.25" customHeight="1">
      <c r="H65" s="33"/>
      <c r="I65" s="32"/>
    </row>
    <row r="66" spans="8:9" ht="11.25" customHeight="1">
      <c r="H66" s="33"/>
      <c r="I66" s="32"/>
    </row>
    <row r="67" spans="8:9" ht="11.25" customHeight="1">
      <c r="H67" s="33"/>
      <c r="I67" s="32"/>
    </row>
    <row r="68" spans="8:9" ht="11.25" customHeight="1">
      <c r="H68" s="33"/>
      <c r="I68" s="32"/>
    </row>
    <row r="69" spans="8:9" ht="11.25" customHeight="1">
      <c r="H69" s="33"/>
      <c r="I69" s="32"/>
    </row>
    <row r="70" spans="8:9" ht="11.25" customHeight="1">
      <c r="H70" s="33"/>
      <c r="I70" s="32"/>
    </row>
    <row r="71" spans="8:9" ht="11.25" customHeight="1">
      <c r="H71" s="33"/>
      <c r="I71" s="32"/>
    </row>
    <row r="72" spans="8:9" ht="11.25" customHeight="1">
      <c r="H72" s="33"/>
      <c r="I72" s="32"/>
    </row>
    <row r="73" spans="8:9" ht="11.25" customHeight="1">
      <c r="H73" s="33"/>
      <c r="I73" s="32"/>
    </row>
    <row r="74" spans="8:9" ht="11.25" customHeight="1">
      <c r="H74" s="33"/>
      <c r="I74" s="32"/>
    </row>
  </sheetData>
  <dataValidations count="5">
    <dataValidation allowBlank="1" showInputMessage="1" showErrorMessage="1" promptTitle="Validation" prompt="Y or N" sqref="SZ2 ACV2 AMR2 AWN2 BGJ2 BQF2 CAB2 CJX2 CTT2 DDP2 DNL2 DXH2 EHD2 EQZ2 FAV2 FKR2 FUN2 GEJ2 GOF2 GYB2 HHX2 HRT2 IBP2 ILL2 IVH2 JFD2 JOZ2 JYV2 KIR2 KSN2 LCJ2 LMF2 LWB2 MFX2 MPT2 MZP2 NJL2 NTH2 ODD2 OMZ2 OWV2 PGR2 PQN2 QAJ2 QKF2 QUB2 RDX2 RNT2 RXP2 SHL2 SRH2 TBD2 TKZ2 TUV2 UER2 UON2 UYJ2 VIF2 VSB2 WBX2 WLT2 WVP2 JD2 I2 JB130668 SX130668 ACT130668 AMP130668 AWL130668 BGH130668 BQD130668 BZZ130668 CJV130668 CTR130668 DDN130668 DNJ130668 DXF130668 EHB130668 EQX130668 FAT130668 FKP130668 FUL130668 GEH130668 GOD130668 GXZ130668 HHV130668 HRR130668 IBN130668 ILJ130668 IVF130668 JFB130668 JOX130668 JYT130668 KIP130668 KSL130668 LCH130668 LMD130668 LVZ130668 MFV130668 MPR130668 MZN130668 NJJ130668 NTF130668 ODB130668 OMX130668 OWT130668 PGP130668 PQL130668 QAH130668 QKD130668 QTZ130668 RDV130668 RNR130668 RXN130668 SHJ130668 SRF130668 TBB130668 TKX130668 TUT130668 UEP130668 UOL130668 UYH130668 VID130668 VRZ130668 WBV130668 WLR130668 WVN130668 F196204 JB196204 SX196204 ACT196204 AMP196204 AWL196204 BGH196204 BQD196204 BZZ196204 CJV196204 CTR196204 DDN196204 DNJ196204 DXF196204 EHB196204 EQX196204 FAT196204 FKP196204 FUL196204 GEH196204 GOD196204 GXZ196204 HHV196204 HRR196204 IBN196204 ILJ196204 IVF196204 JFB196204 JOX196204 JYT196204 KIP196204 KSL196204 LCH196204 LMD196204 LVZ196204 MFV196204 MPR196204 MZN196204 NJJ196204 NTF196204 ODB196204 OMX196204 OWT196204 PGP196204 PQL196204 QAH196204 QKD196204 QTZ196204 RDV196204 RNR196204 RXN196204 SHJ196204 SRF196204 TBB196204 TKX196204 TUT196204 UEP196204 UOL196204 UYH196204 VID196204 VRZ196204 WBV196204 WLR196204 WVN196204 F261740 JB261740 SX261740 ACT261740 AMP261740 AWL261740 BGH261740 BQD261740 BZZ261740 CJV261740 CTR261740 DDN261740 DNJ261740 DXF261740 EHB261740 EQX261740 FAT261740 FKP261740 FUL261740 GEH261740 GOD261740 GXZ261740 HHV261740 HRR261740 IBN261740 ILJ261740 IVF261740 JFB261740 JOX261740 JYT261740 KIP261740 KSL261740 LCH261740 LMD261740 LVZ261740 MFV261740 MPR261740 MZN261740 NJJ261740 NTF261740 ODB261740 OMX261740 OWT261740 PGP261740 PQL261740 QAH261740 QKD261740 QTZ261740 RDV261740 RNR261740 RXN261740 SHJ261740 SRF261740 TBB261740 TKX261740 TUT261740 UEP261740 UOL261740 UYH261740 VID261740 VRZ261740 WBV261740 WLR261740 WVN261740 F327276 JB327276 SX327276 ACT327276 AMP327276 AWL327276 BGH327276 BQD327276 BZZ327276 CJV327276 CTR327276 DDN327276 DNJ327276 DXF327276 EHB327276 EQX327276 FAT327276 FKP327276 FUL327276 GEH327276 GOD327276 GXZ327276 HHV327276 HRR327276 IBN327276 ILJ327276 IVF327276 JFB327276 JOX327276 JYT327276 KIP327276 KSL327276 LCH327276 LMD327276 LVZ327276 MFV327276 MPR327276 MZN327276 NJJ327276 NTF327276 ODB327276 OMX327276 OWT327276 PGP327276 PQL327276 QAH327276 QKD327276 QTZ327276 RDV327276 RNR327276 RXN327276 SHJ327276 SRF327276 TBB327276 TKX327276 TUT327276 UEP327276 UOL327276 UYH327276 VID327276 VRZ327276 WBV327276 WLR327276 WVN327276 F392812 JB392812 SX392812 ACT392812 AMP392812 AWL392812 BGH392812 BQD392812 BZZ392812 CJV392812 CTR392812 DDN392812 DNJ392812 DXF392812 EHB392812 EQX392812 FAT392812 FKP392812 FUL392812 GEH392812 GOD392812 GXZ392812 HHV392812 HRR392812 IBN392812 ILJ392812 IVF392812 JFB392812 JOX392812 JYT392812 KIP392812 KSL392812 LCH392812 LMD392812 LVZ392812 MFV392812 MPR392812 MZN392812 NJJ392812 NTF392812 ODB392812 OMX392812 OWT392812 PGP392812 PQL392812 QAH392812 QKD392812 QTZ392812 RDV392812 RNR392812 RXN392812 SHJ392812 SRF392812 TBB392812 TKX392812 TUT392812 UEP392812 UOL392812 UYH392812 VID392812 VRZ392812 WBV392812 WLR392812 WVN392812 F458348 JB458348 SX458348 ACT458348 AMP458348 AWL458348 BGH458348 BQD458348 BZZ458348 CJV458348 CTR458348 DDN458348 DNJ458348 DXF458348 EHB458348 EQX458348 FAT458348 FKP458348 FUL458348 GEH458348 GOD458348 GXZ458348 HHV458348 HRR458348 IBN458348 ILJ458348 IVF458348 JFB458348 JOX458348 JYT458348 KIP458348 KSL458348 LCH458348 LMD458348 LVZ458348 MFV458348 MPR458348 MZN458348 NJJ458348 NTF458348 ODB458348 OMX458348 OWT458348 PGP458348 PQL458348 QAH458348 QKD458348 QTZ458348 RDV458348 RNR458348 RXN458348 SHJ458348 SRF458348 TBB458348 TKX458348 TUT458348 UEP458348 UOL458348 UYH458348 VID458348 VRZ458348 WBV458348 WLR458348 WVN458348 F523884 JB523884 SX523884 ACT523884 AMP523884 AWL523884 BGH523884 BQD523884 BZZ523884 CJV523884 CTR523884 DDN523884 DNJ523884 DXF523884 EHB523884 EQX523884 FAT523884 FKP523884 FUL523884 GEH523884 GOD523884 GXZ523884 HHV523884 HRR523884 IBN523884 ILJ523884 IVF523884 JFB523884 JOX523884 JYT523884 KIP523884 KSL523884 LCH523884 LMD523884 LVZ523884 MFV523884 MPR523884 MZN523884 NJJ523884 NTF523884 ODB523884 OMX523884 OWT523884 PGP523884 PQL523884 QAH523884 QKD523884 QTZ523884 RDV523884 RNR523884 RXN523884 SHJ523884 SRF523884 TBB523884 TKX523884 TUT523884 UEP523884 UOL523884 UYH523884 VID523884 VRZ523884 WBV523884 WLR523884 WVN523884 F589420 JB589420 SX589420 ACT589420 AMP589420 AWL589420 BGH589420 BQD589420 BZZ589420 CJV589420 CTR589420 DDN589420 DNJ589420 DXF589420 EHB589420 EQX589420 FAT589420 FKP589420 FUL589420 GEH589420 GOD589420 GXZ589420 HHV589420 HRR589420 IBN589420 ILJ589420 IVF589420 JFB589420 JOX589420 JYT589420 KIP589420 KSL589420 LCH589420 LMD589420 LVZ589420 MFV589420 MPR589420 MZN589420 NJJ589420 NTF589420 ODB589420 OMX589420 OWT589420 PGP589420 PQL589420 QAH589420 QKD589420 QTZ589420 RDV589420 RNR589420 RXN589420 SHJ589420 SRF589420 TBB589420 TKX589420 TUT589420 UEP589420 UOL589420 UYH589420 VID589420 VRZ589420 WBV589420 WLR589420 WVN589420 F654956 JB654956 SX654956 ACT654956 AMP654956 AWL654956 BGH654956 BQD654956 BZZ654956 CJV654956 CTR654956 DDN654956 DNJ654956 DXF654956 EHB654956 EQX654956 FAT654956 FKP654956 FUL654956 GEH654956 GOD654956 GXZ654956 HHV654956 HRR654956 IBN654956 ILJ654956 IVF654956 JFB654956 JOX654956 JYT654956 KIP654956 KSL654956 LCH654956 LMD654956 LVZ654956 MFV654956 MPR654956 MZN654956 NJJ654956 NTF654956 ODB654956 OMX654956 OWT654956 PGP654956 PQL654956 QAH654956 QKD654956 QTZ654956 RDV654956 RNR654956 RXN654956 SHJ654956 SRF654956 TBB654956 TKX654956 TUT654956 UEP654956 UOL654956 UYH654956 VID654956 VRZ654956 WBV654956 WLR654956 WVN654956 F720492 JB720492 SX720492 ACT720492 AMP720492 AWL720492 BGH720492 BQD720492 BZZ720492 CJV720492 CTR720492 DDN720492 DNJ720492 DXF720492 EHB720492 EQX720492 FAT720492 FKP720492 FUL720492 GEH720492 GOD720492 GXZ720492 HHV720492 HRR720492 IBN720492 ILJ720492 IVF720492 JFB720492 JOX720492 JYT720492 KIP720492 KSL720492 LCH720492 LMD720492 LVZ720492 MFV720492 MPR720492 MZN720492 NJJ720492 NTF720492 ODB720492 OMX720492 OWT720492 PGP720492 PQL720492 QAH720492 QKD720492 QTZ720492 RDV720492 RNR720492 RXN720492 SHJ720492 SRF720492 TBB720492 TKX720492 TUT720492 UEP720492 UOL720492 UYH720492 VID720492 VRZ720492 WBV720492 WLR720492 WVN720492 F786028 JB786028 SX786028 ACT786028 AMP786028 AWL786028 BGH786028 BQD786028 BZZ786028 CJV786028 CTR786028 DDN786028 DNJ786028 DXF786028 EHB786028 EQX786028 FAT786028 FKP786028 FUL786028 GEH786028 GOD786028 GXZ786028 HHV786028 HRR786028 IBN786028 ILJ786028 IVF786028 JFB786028 JOX786028 JYT786028 KIP786028 KSL786028 LCH786028 LMD786028 LVZ786028 MFV786028 MPR786028 MZN786028 NJJ786028 NTF786028 ODB786028 OMX786028 OWT786028 PGP786028 PQL786028 QAH786028 QKD786028 QTZ786028 RDV786028 RNR786028 RXN786028 SHJ786028 SRF786028 TBB786028 TKX786028 TUT786028 UEP786028 UOL786028 UYH786028 VID786028 VRZ786028 WBV786028 WLR786028 WVN786028 F851564 JB851564 SX851564 ACT851564 AMP851564 AWL851564 BGH851564 BQD851564 BZZ851564 CJV851564 CTR851564 DDN851564 DNJ851564 DXF851564 EHB851564 EQX851564 FAT851564 FKP851564 FUL851564 GEH851564 GOD851564 GXZ851564 HHV851564 HRR851564 IBN851564 ILJ851564 IVF851564 JFB851564 JOX851564 JYT851564 KIP851564 KSL851564 LCH851564 LMD851564 LVZ851564 MFV851564 MPR851564 MZN851564 NJJ851564 NTF851564 ODB851564 OMX851564 OWT851564 PGP851564 PQL851564 QAH851564 QKD851564 QTZ851564 RDV851564 RNR851564 RXN851564 SHJ851564 SRF851564 TBB851564 TKX851564 TUT851564 UEP851564 UOL851564 UYH851564 VID851564 VRZ851564 WBV851564 WLR851564 WVN851564 F917100 JB917100 SX917100 ACT917100 AMP917100 AWL917100 BGH917100 BQD917100 BZZ917100 CJV917100 CTR917100 DDN917100 DNJ917100 DXF917100 EHB917100 EQX917100 FAT917100 FKP917100 FUL917100 GEH917100 GOD917100 GXZ917100 HHV917100 HRR917100 IBN917100 ILJ917100 IVF917100 JFB917100 JOX917100 JYT917100 KIP917100 KSL917100 LCH917100 LMD917100 LVZ917100 MFV917100 MPR917100 MZN917100 NJJ917100 NTF917100 ODB917100 OMX917100 OWT917100 PGP917100 PQL917100 QAH917100 QKD917100 QTZ917100 RDV917100 RNR917100 RXN917100 SHJ917100 SRF917100 TBB917100 TKX917100 TUT917100 UEP917100 UOL917100 UYH917100 VID917100 VRZ917100 WBV917100 WLR917100 WVN917100 F982636 JB982636 SX982636 ACT982636 AMP982636 AWL982636 BGH982636 BQD982636 BZZ982636 CJV982636 CTR982636 DDN982636 DNJ982636 DXF982636 EHB982636 EQX982636 FAT982636 FKP982636 FUL982636 GEH982636 GOD982636 GXZ982636 HHV982636 HRR982636 IBN982636 ILJ982636 IVF982636 JFB982636 JOX982636 JYT982636 KIP982636 KSL982636 LCH982636 LMD982636 LVZ982636 MFV982636 MPR982636 MZN982636 NJJ982636 NTF982636 ODB982636 OMX982636 OWT982636 PGP982636 PQL982636 QAH982636 QKD982636 QTZ982636 RDV982636 RNR982636 RXN982636 SHJ982636 SRF982636 TBB982636 TKX982636 TUT982636 UEP982636 UOL982636 UYH982636 VID982636 VRZ982636 WBV982636 WLR982636 WVN982636 JB65132 SX65132 ACT65132 AMP65132 AWL65132 BGH65132 BQD65132 BZZ65132 CJV65132 CTR65132 DDN65132 DNJ65132 DXF65132 EHB65132 EQX65132 FAT65132 FKP65132 FUL65132 GEH65132 GOD65132 GXZ65132 HHV65132 HRR65132 IBN65132 ILJ65132 IVF65132 JFB65132 JOX65132 JYT65132 KIP65132 KSL65132 LCH65132 LMD65132 LVZ65132 MFV65132 MPR65132 MZN65132 NJJ65132 NTF65132 ODB65132 OMX65132 OWT65132 PGP65132 PQL65132 QAH65132 QKD65132 QTZ65132 RDV65132 RNR65132 RXN65132 SHJ65132 SRF65132 TBB65132 TKX65132 TUT65132 UEP65132 UOL65132 UYH65132 VID65132 VRZ65132 WBV65132 WLR65132 WVN65132 F130668 F6513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Y or N" sqref="E60:E62 JA60:JA62 SW60:SW62 ACS60:ACS62 AMO60:AMO62 AWK60:AWK62 BGG60:BGG62 BQC60:BQC62 BZY60:BZY62 CJU60:CJU62 CTQ60:CTQ62 DDM60:DDM62 DNI60:DNI62 DXE60:DXE62 EHA60:EHA62 EQW60:EQW62 FAS60:FAS62 FKO60:FKO62 FUK60:FUK62 GEG60:GEG62 GOC60:GOC62 GXY60:GXY62 HHU60:HHU62 HRQ60:HRQ62 IBM60:IBM62 ILI60:ILI62 IVE60:IVE62 JFA60:JFA62 JOW60:JOW62 JYS60:JYS62 KIO60:KIO62 KSK60:KSK62 LCG60:LCG62 LMC60:LMC62 LVY60:LVY62 MFU60:MFU62 MPQ60:MPQ62 MZM60:MZM62 NJI60:NJI62 NTE60:NTE62 ODA60:ODA62 OMW60:OMW62 OWS60:OWS62 PGO60:PGO62 PQK60:PQK62 QAG60:QAG62 QKC60:QKC62 QTY60:QTY62 RDU60:RDU62 RNQ60:RNQ62 RXM60:RXM62 SHI60:SHI62 SRE60:SRE62 TBA60:TBA62 TKW60:TKW62 TUS60:TUS62 UEO60:UEO62 UOK60:UOK62 UYG60:UYG62 VIC60:VIC62 VRY60:VRY62 WBU60:WBU62 WLQ60:WLQ62 WVM60:WVM62 WLD18 WBH18 VRL18 VHP18 UXT18 UNX18 UEB18 TUF18 TKJ18 TAN18 SQR18 SGV18 RWZ18 RND18 RDH18 QTL18 QJP18 PZT18 PPX18 PGB18 OWF18 OMJ18 OCN18 NSR18 NIV18 MYZ18 MPD18 MFH18 LVL18 LLP18 LBT18 KRX18 KIB18 JYF18 JOJ18 JEN18 IUR18 IKV18 IAZ18 HRD18 HHH18 GXL18 GNP18 GDT18 FTX18 FKB18 FAF18 EQJ18 EGN18 DWR18 DMV18 DCZ18 CTD18 CJH18 BZL18 BPP18 BFT18 AVX18 AMB18 ACF18 SJ18 IN18 WUZ18 F16 F18 WVB22 IP22 SL22 ACH22 AMD22 AVZ22 BFV22 BPR22 BZN22 CJJ22 CTF22 DDB22 DMX22 DWT22 EGP22 EQL22 FAH22 FKD22 FTZ22 GDV22 GNR22 GXN22 HHJ22 HRF22 IBB22 IKX22 IUT22 JEP22 JOL22 JYH22 KID22 KRZ22 LBV22 LLR22 LVN22 MFJ22 MPF22 MZB22 NIX22 NST22 OCP22 OML22 OWH22 PGD22 PPZ22 PZV22 QJR22 QTN22 RDJ22 RNF22 RXB22 SGX22 SQT22 TAP22 TKL22 TUH22 UED22 UNZ22 UXV22 VHR22 VRN22 WBJ22 F22 WLF22 WJX20 WAB20 VQF20 VGJ20 UWN20 UMR20 UCV20 TSZ20 TJD20 SZH20 SPL20 SFP20 RVT20 RLX20 RCB20 QSF20 QIJ20 PYN20 POR20 PEV20 OUZ20 OLD20 OBH20 NRL20 NHP20 MXT20 MNX20 MEB20 LUF20 LKJ20 LAN20 KQR20 KGV20 JWZ20 JND20 JDH20 ITL20 IJP20 HZT20 HPX20 HGB20 GWF20 GMJ20 GCN20 FSR20 FIV20 EYZ20 EPD20 EFH20 DVL20 DLP20 DBT20 CRX20 CIB20 BYF20 BOJ20 BEN20 AUR20 AKV20 AAZ20 RD20 HH20 WTT20"/>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s>
  <pageMargins left="0.7" right="0.7" top="0.75" bottom="0.75" header="0.3" footer="0.3"/>
  <pageSetup paperSize="9" orientation="portrait" r:id="rId1"/>
  <headerFooter>
    <oddFooter>&amp;LUnrestricted</oddFooter>
  </headerFooter>
  <legacyDrawing r:id="rId2"/>
</worksheet>
</file>

<file path=xl/worksheets/sheet4.xml><?xml version="1.0" encoding="utf-8"?>
<worksheet xmlns="http://schemas.openxmlformats.org/spreadsheetml/2006/main" xmlns:r="http://schemas.openxmlformats.org/officeDocument/2006/relationships">
  <sheetPr codeName="Sheet5">
    <tabColor theme="9" tint="-0.499984740745262"/>
  </sheetPr>
  <dimension ref="A1:AQ37"/>
  <sheetViews>
    <sheetView zoomScale="130" zoomScaleNormal="130" workbookViewId="0">
      <selection activeCell="F5" sqref="F5"/>
    </sheetView>
  </sheetViews>
  <sheetFormatPr defaultRowHeight="12.75"/>
  <cols>
    <col min="1" max="1" width="5.42578125" bestFit="1" customWidth="1"/>
    <col min="2" max="2" width="17.28515625" bestFit="1" customWidth="1"/>
    <col min="3" max="3" width="5" bestFit="1" customWidth="1"/>
    <col min="4" max="4" width="3.5703125" bestFit="1" customWidth="1"/>
    <col min="5" max="5" width="2.42578125" bestFit="1" customWidth="1"/>
    <col min="6" max="6" width="13" customWidth="1"/>
    <col min="8" max="8" width="10.5703125" customWidth="1"/>
  </cols>
  <sheetData>
    <row r="1" spans="1:26" s="150" customFormat="1" ht="6.75">
      <c r="A1" s="150" t="s">
        <v>494</v>
      </c>
      <c r="B1" s="150" t="s">
        <v>95</v>
      </c>
      <c r="C1" s="150" t="s">
        <v>53</v>
      </c>
      <c r="D1" s="150" t="s">
        <v>49</v>
      </c>
      <c r="G1" s="151"/>
      <c r="I1" s="152"/>
    </row>
    <row r="2" spans="1:26" s="150" customFormat="1" ht="6.75">
      <c r="A2" s="150" t="s">
        <v>68</v>
      </c>
      <c r="B2" s="150" t="s">
        <v>455</v>
      </c>
      <c r="C2" s="150" t="s">
        <v>443</v>
      </c>
      <c r="D2" s="150" t="s">
        <v>444</v>
      </c>
      <c r="E2" s="150" t="s">
        <v>493</v>
      </c>
      <c r="F2" s="150" t="s">
        <v>445</v>
      </c>
      <c r="G2" s="150" t="s">
        <v>115</v>
      </c>
      <c r="H2" s="150" t="s">
        <v>436</v>
      </c>
      <c r="I2" s="150" t="s">
        <v>446</v>
      </c>
    </row>
    <row r="3" spans="1:26" s="44" customFormat="1" ht="11.25">
      <c r="A3" s="65" t="s">
        <v>71</v>
      </c>
      <c r="B3" s="65" t="s">
        <v>72</v>
      </c>
      <c r="C3" s="65"/>
      <c r="D3" s="66">
        <v>1</v>
      </c>
      <c r="E3" s="94" t="s">
        <v>73</v>
      </c>
      <c r="F3" s="49">
        <f>'Run Parameters'!B5</f>
        <v>111011</v>
      </c>
      <c r="G3" s="49" t="str">
        <f>'Run Parameters'!B6</f>
        <v>111Siemens</v>
      </c>
      <c r="H3" s="49" t="str">
        <f>'Run Parameters'!B7</f>
        <v>https://siemens-og-bykrw4bu7an2nvbgh7xdzce7-sdg1-dev.mbaas1.sdg.feedhenry.com/#/login</v>
      </c>
      <c r="I3" s="45" t="s">
        <v>73</v>
      </c>
      <c r="J3" s="46"/>
      <c r="K3" s="46"/>
      <c r="L3" s="46"/>
      <c r="M3" s="46"/>
      <c r="N3" s="46"/>
      <c r="O3" s="46"/>
      <c r="P3" s="46"/>
      <c r="Q3" s="46"/>
      <c r="R3" s="47"/>
      <c r="S3" s="46"/>
      <c r="T3" s="46"/>
      <c r="U3" s="46"/>
    </row>
    <row r="4" spans="1:26" s="150" customFormat="1" ht="6.75">
      <c r="A4" s="150" t="s">
        <v>68</v>
      </c>
      <c r="B4" s="150" t="s">
        <v>455</v>
      </c>
      <c r="C4" s="150" t="s">
        <v>443</v>
      </c>
      <c r="D4" s="150" t="s">
        <v>444</v>
      </c>
      <c r="E4" s="150" t="s">
        <v>493</v>
      </c>
      <c r="F4" s="150" t="s">
        <v>454</v>
      </c>
      <c r="G4" s="150" t="s">
        <v>43</v>
      </c>
      <c r="H4" s="150" t="s">
        <v>453</v>
      </c>
      <c r="I4" s="150" t="s">
        <v>447</v>
      </c>
      <c r="J4" s="150" t="s">
        <v>448</v>
      </c>
      <c r="K4" s="150" t="s">
        <v>450</v>
      </c>
      <c r="L4" s="150" t="s">
        <v>451</v>
      </c>
      <c r="M4" s="150" t="s">
        <v>452</v>
      </c>
      <c r="N4" s="150" t="s">
        <v>442</v>
      </c>
      <c r="O4" s="150" t="s">
        <v>37</v>
      </c>
      <c r="P4" s="150" t="s">
        <v>441</v>
      </c>
      <c r="Q4" s="153" t="s">
        <v>491</v>
      </c>
    </row>
    <row r="5" spans="1:26" s="44" customFormat="1" ht="11.25" customHeight="1">
      <c r="A5" s="65" t="s">
        <v>71</v>
      </c>
      <c r="B5" s="65" t="s">
        <v>495</v>
      </c>
      <c r="C5" s="65"/>
      <c r="D5" s="66">
        <v>1</v>
      </c>
      <c r="E5" s="94" t="s">
        <v>73</v>
      </c>
      <c r="F5" s="49">
        <f ca="1">(INDIRECT("'Data'!C"&amp;($C$1)))</f>
        <v>111011</v>
      </c>
      <c r="G5" s="49" t="s">
        <v>396</v>
      </c>
      <c r="H5" s="50" t="s">
        <v>98</v>
      </c>
      <c r="I5" s="49" t="str">
        <f ca="1">(INDIRECT("'Data'!F"&amp;($C$1)))</f>
        <v>EXCHANGE GAS METER TO SECURE SMART CREDIT</v>
      </c>
      <c r="J5" s="48" t="str">
        <f ca="1">(INDIRECT("'Data'!E"&amp;($C$1)))</f>
        <v>S</v>
      </c>
      <c r="K5" s="48">
        <f ca="1">(INDIRECT("'Data'!AS"&amp;($C$1)))</f>
        <v>0</v>
      </c>
      <c r="L5" s="48" t="str">
        <f ca="1">(INDIRECT("'Data'!AT"&amp;($C$1)))</f>
        <v>TPJR00530</v>
      </c>
      <c r="M5" s="48">
        <f ca="1">(INDIRECT("'Data'!AU"&amp;($C$1)))</f>
        <v>0</v>
      </c>
      <c r="N5" s="48">
        <f ca="1">(INDIRECT("'Data'!AV"&amp;($C$1)))</f>
        <v>644</v>
      </c>
      <c r="O5" s="48" t="str">
        <f ca="1">(INDIRECT("'Data'!AW"&amp;($C$1)))</f>
        <v>EXCH1 ROAD</v>
      </c>
      <c r="P5" s="49" t="str">
        <f ca="1">CONCATENATE(RIGHT((INDIRECT("'Data'!X"&amp;($C$1))),5),"-",RIGHT(R7&amp;(INDIRECT("'Data'!Y"&amp;($C$1))),5))</f>
        <v>SPRK-d-644</v>
      </c>
      <c r="Q5" s="86"/>
      <c r="R5" s="46"/>
      <c r="S5" s="46"/>
      <c r="T5" s="46"/>
    </row>
    <row r="6" spans="1:26" s="150" customFormat="1" ht="6.75">
      <c r="A6" s="150" t="s">
        <v>68</v>
      </c>
      <c r="B6" s="150" t="s">
        <v>455</v>
      </c>
      <c r="C6" s="150" t="s">
        <v>443</v>
      </c>
      <c r="D6" s="150" t="s">
        <v>444</v>
      </c>
      <c r="E6" s="150" t="s">
        <v>493</v>
      </c>
      <c r="F6" s="150" t="s">
        <v>447</v>
      </c>
      <c r="G6" s="150" t="s">
        <v>450</v>
      </c>
      <c r="H6" s="150" t="s">
        <v>451</v>
      </c>
      <c r="I6" s="150" t="s">
        <v>452</v>
      </c>
      <c r="J6" s="150" t="s">
        <v>442</v>
      </c>
      <c r="K6" s="150" t="s">
        <v>37</v>
      </c>
      <c r="L6" s="150" t="s">
        <v>448</v>
      </c>
      <c r="M6" s="150" t="s">
        <v>449</v>
      </c>
      <c r="N6" s="150" t="s">
        <v>439</v>
      </c>
      <c r="O6" s="150" t="s">
        <v>78</v>
      </c>
      <c r="P6" s="150" t="s">
        <v>79</v>
      </c>
      <c r="Q6" s="150" t="s">
        <v>87</v>
      </c>
      <c r="R6" s="150" t="s">
        <v>80</v>
      </c>
      <c r="S6" s="150" t="s">
        <v>110</v>
      </c>
      <c r="T6" s="150" t="s">
        <v>114</v>
      </c>
      <c r="U6" s="150" t="s">
        <v>90</v>
      </c>
      <c r="V6" s="150" t="s">
        <v>81</v>
      </c>
      <c r="W6" s="150" t="s">
        <v>88</v>
      </c>
      <c r="X6" s="150" t="s">
        <v>276</v>
      </c>
      <c r="Y6" s="150" t="s">
        <v>457</v>
      </c>
      <c r="Z6" s="153" t="s">
        <v>491</v>
      </c>
    </row>
    <row r="7" spans="1:26" s="44" customFormat="1" ht="11.25" customHeight="1">
      <c r="A7" s="65" t="s">
        <v>71</v>
      </c>
      <c r="B7" s="65" t="s">
        <v>496</v>
      </c>
      <c r="C7" s="65"/>
      <c r="D7" s="67">
        <v>1</v>
      </c>
      <c r="E7" s="94" t="s">
        <v>73</v>
      </c>
      <c r="F7" s="49" t="str">
        <f ca="1">(INDIRECT("'Data'!F"&amp;($C$1)))</f>
        <v>EXCHANGE GAS METER TO SECURE SMART CREDIT</v>
      </c>
      <c r="G7" s="48">
        <f ca="1">(INDIRECT("'Data'!AS"&amp;($C$1)))</f>
        <v>0</v>
      </c>
      <c r="H7" s="48" t="str">
        <f ca="1">(INDIRECT("'Data'!AT"&amp;($C$1)))</f>
        <v>TPJR00530</v>
      </c>
      <c r="I7" s="48">
        <f ca="1">(INDIRECT("'Data'!AU"&amp;($C$1)))</f>
        <v>0</v>
      </c>
      <c r="J7" s="48">
        <f ca="1">(INDIRECT("'Data'!AV"&amp;($C$1)))</f>
        <v>644</v>
      </c>
      <c r="K7" s="48" t="str">
        <f ca="1">(INDIRECT("'Data'!AW"&amp;($C$1)))</f>
        <v>EXCH1 ROAD</v>
      </c>
      <c r="L7" s="48" t="str">
        <f ca="1">(INDIRECT("'Data'!E"&amp;($C$1)))</f>
        <v>S</v>
      </c>
      <c r="M7" s="48" t="str">
        <f ca="1">(INDIRECT("'Data'!AI"&amp;($C$1)))</f>
        <v>2018-08-13 08:00</v>
      </c>
      <c r="N7" s="49">
        <f ca="1">(INDIRECT("'Data'!BG"&amp;($C$1)))</f>
        <v>0</v>
      </c>
      <c r="O7" s="49" t="str">
        <f ca="1">(INDIRECT("'Data'!AH"&amp;($C$1)))</f>
        <v>Site_Contact_644</v>
      </c>
      <c r="P7" s="50" t="str">
        <f ca="1">(INDIRECT("'Data'!AE"&amp;($C$1)))</f>
        <v>LAST_METER-644</v>
      </c>
      <c r="Q7" s="50" t="str">
        <f ca="1">(INDIRECT("'Data'!DK"&amp;($C$1)))</f>
        <v>G</v>
      </c>
      <c r="R7" s="50">
        <f ca="1">(INDIRECT("'Data'!D"&amp;($C$1)))</f>
        <v>644</v>
      </c>
      <c r="S7" s="50" t="str">
        <f ca="1">INDIRECT("'Data'!M"&amp;($C$1))</f>
        <v>Q</v>
      </c>
      <c r="T7" s="50" t="str">
        <f ca="1">INDIRECT("'Data'!AM"&amp;($C$1))</f>
        <v>0115644</v>
      </c>
      <c r="U7" s="50" t="str">
        <f ca="1">(INDIRECT("'Data'!N"&amp;($C$1)))</f>
        <v>UK_1_F</v>
      </c>
      <c r="V7" s="50">
        <f ca="1">(INDIRECT("'Data'!O"&amp;($C$1)))</f>
        <v>0</v>
      </c>
      <c r="W7" s="50" t="str">
        <f ca="1">(INDIRECT("'Data'!P"&amp;($C$1)))</f>
        <v>SN-644</v>
      </c>
      <c r="X7" s="50">
        <f ca="1">(INDIRECT("'Data'!C"&amp;($C$1)))</f>
        <v>111011</v>
      </c>
      <c r="Y7" s="50" t="str">
        <f ca="1">(INDIRECT("'Data'!Q"&amp;($C$1)))</f>
        <v>SI-644</v>
      </c>
      <c r="Z7" s="86"/>
    </row>
    <row r="8" spans="1:26" s="150" customFormat="1" ht="6.75">
      <c r="A8" s="150" t="s">
        <v>68</v>
      </c>
      <c r="B8" s="150" t="s">
        <v>455</v>
      </c>
      <c r="C8" s="150" t="s">
        <v>443</v>
      </c>
      <c r="D8" s="150" t="s">
        <v>444</v>
      </c>
      <c r="E8" s="150" t="s">
        <v>493</v>
      </c>
      <c r="F8" s="150" t="s">
        <v>447</v>
      </c>
      <c r="G8" s="150" t="s">
        <v>37</v>
      </c>
      <c r="H8" s="150" t="s">
        <v>458</v>
      </c>
      <c r="I8" s="150" t="s">
        <v>459</v>
      </c>
      <c r="J8" s="150" t="s">
        <v>261</v>
      </c>
      <c r="K8" s="150" t="s">
        <v>460</v>
      </c>
      <c r="L8" s="153" t="s">
        <v>491</v>
      </c>
    </row>
    <row r="9" spans="1:26" s="44" customFormat="1" ht="11.25" customHeight="1">
      <c r="A9" s="65" t="s">
        <v>71</v>
      </c>
      <c r="B9" s="65" t="s">
        <v>497</v>
      </c>
      <c r="C9" s="65"/>
      <c r="D9" s="67">
        <v>1</v>
      </c>
      <c r="E9" s="94" t="s">
        <v>73</v>
      </c>
      <c r="F9" s="49" t="str">
        <f ca="1">(INDIRECT("'Data'!F"&amp;($C$1)))</f>
        <v>EXCHANGE GAS METER TO SECURE SMART CREDIT</v>
      </c>
      <c r="G9" s="48" t="str">
        <f ca="1">(INDIRECT("'Data'!AW"&amp;($C$1)))</f>
        <v>EXCH1 ROAD</v>
      </c>
      <c r="H9" s="49">
        <f ca="1">(INDIRECT("'Data'!BL"&amp;($C$1)))</f>
        <v>0</v>
      </c>
      <c r="I9" s="49">
        <f ca="1">(INDIRECT("'Data'!BJ"&amp;($C$1)))</f>
        <v>0</v>
      </c>
      <c r="J9" s="49">
        <f ca="1">(INDIRECT("'Data'!BX"&amp;($C$1)))</f>
        <v>0</v>
      </c>
      <c r="K9" s="49">
        <f ca="1">(INDIRECT("'Data'!BO"&amp;($C$1)))</f>
        <v>0</v>
      </c>
      <c r="L9" s="86"/>
    </row>
    <row r="10" spans="1:26" s="150" customFormat="1" ht="6.75">
      <c r="A10" s="150" t="s">
        <v>68</v>
      </c>
      <c r="B10" s="150" t="s">
        <v>455</v>
      </c>
      <c r="C10" s="150" t="s">
        <v>443</v>
      </c>
      <c r="D10" s="150" t="s">
        <v>444</v>
      </c>
      <c r="E10" s="150" t="s">
        <v>493</v>
      </c>
      <c r="F10" s="150" t="s">
        <v>262</v>
      </c>
      <c r="G10" s="150" t="s">
        <v>447</v>
      </c>
      <c r="H10" s="150" t="s">
        <v>37</v>
      </c>
      <c r="I10" s="150" t="s">
        <v>43</v>
      </c>
      <c r="J10" s="150" t="s">
        <v>462</v>
      </c>
      <c r="K10" s="150" t="s">
        <v>465</v>
      </c>
      <c r="L10" s="150" t="s">
        <v>460</v>
      </c>
      <c r="M10" s="153" t="s">
        <v>491</v>
      </c>
    </row>
    <row r="11" spans="1:26" s="44" customFormat="1" ht="11.25" customHeight="1">
      <c r="A11" s="65" t="s">
        <v>71</v>
      </c>
      <c r="B11" s="65" t="s">
        <v>498</v>
      </c>
      <c r="C11" s="65"/>
      <c r="D11" s="66">
        <v>1</v>
      </c>
      <c r="E11" s="95" t="s">
        <v>73</v>
      </c>
      <c r="F11" s="49">
        <f ca="1">(INDIRECT("'Data'!BG"&amp;($C$1)))</f>
        <v>0</v>
      </c>
      <c r="G11" s="49" t="str">
        <f ca="1">(INDIRECT("'Data'!F"&amp;($C$1)))</f>
        <v>EXCHANGE GAS METER TO SECURE SMART CREDIT</v>
      </c>
      <c r="H11" s="48" t="str">
        <f ca="1">(INDIRECT("'Data'!AW"&amp;($C$1)))</f>
        <v>EXCH1 ROAD</v>
      </c>
      <c r="I11" s="49" t="str">
        <f ca="1">(INDIRECT("'Data'!AH"&amp;($C$1)))</f>
        <v>Site_Contact_644</v>
      </c>
      <c r="J11" s="49" t="str">
        <f ca="1">(INDIRECT("'Data'!BA"&amp;($C$1)))</f>
        <v>C</v>
      </c>
      <c r="K11" s="49">
        <f ca="1">(INDIRECT("'Data'!BD"&amp;($C$1)))</f>
        <v>0</v>
      </c>
      <c r="L11" s="49">
        <f ca="1">(INDIRECT("'Data'!BO"&amp;($C$1)))</f>
        <v>0</v>
      </c>
      <c r="M11" s="86"/>
    </row>
    <row r="12" spans="1:26" s="150" customFormat="1" ht="6.75">
      <c r="A12" s="150" t="s">
        <v>68</v>
      </c>
      <c r="B12" s="150" t="s">
        <v>455</v>
      </c>
      <c r="C12" s="150" t="s">
        <v>443</v>
      </c>
      <c r="D12" s="150" t="s">
        <v>444</v>
      </c>
      <c r="E12" s="150" t="s">
        <v>493</v>
      </c>
      <c r="F12" s="150" t="s">
        <v>475</v>
      </c>
      <c r="G12" s="150" t="s">
        <v>439</v>
      </c>
      <c r="H12" s="150" t="s">
        <v>43</v>
      </c>
      <c r="I12" s="150" t="s">
        <v>447</v>
      </c>
      <c r="J12" s="150" t="s">
        <v>450</v>
      </c>
      <c r="K12" s="150" t="s">
        <v>451</v>
      </c>
      <c r="L12" s="150" t="s">
        <v>452</v>
      </c>
      <c r="M12" s="150" t="s">
        <v>442</v>
      </c>
      <c r="N12" s="150" t="s">
        <v>37</v>
      </c>
      <c r="O12" s="150" t="s">
        <v>468</v>
      </c>
      <c r="P12" s="154" t="s">
        <v>469</v>
      </c>
      <c r="Q12" s="154" t="s">
        <v>471</v>
      </c>
      <c r="R12" s="150" t="s">
        <v>473</v>
      </c>
      <c r="S12" s="154" t="s">
        <v>470</v>
      </c>
      <c r="T12" s="150" t="s">
        <v>472</v>
      </c>
      <c r="U12" s="153" t="s">
        <v>491</v>
      </c>
    </row>
    <row r="13" spans="1:26" s="58" customFormat="1" ht="11.25" customHeight="1">
      <c r="A13" s="65" t="s">
        <v>71</v>
      </c>
      <c r="B13" s="65" t="s">
        <v>467</v>
      </c>
      <c r="C13" s="65"/>
      <c r="D13" s="67">
        <v>1</v>
      </c>
      <c r="E13" s="95" t="s">
        <v>73</v>
      </c>
      <c r="F13" s="48">
        <f ca="1">(INDIRECT("'Data'!CD"&amp;($C$1)))</f>
        <v>0</v>
      </c>
      <c r="G13" s="49">
        <f ca="1">(INDIRECT("'Data'!BG"&amp;($C$1)))</f>
        <v>0</v>
      </c>
      <c r="H13" s="49" t="str">
        <f ca="1">(INDIRECT("'Data'!AH"&amp;($C$1)))</f>
        <v>Site_Contact_644</v>
      </c>
      <c r="I13" s="49" t="str">
        <f ca="1">(INDIRECT("'Data'!F"&amp;($C$1)))</f>
        <v>EXCHANGE GAS METER TO SECURE SMART CREDIT</v>
      </c>
      <c r="J13" s="48">
        <f ca="1">(INDIRECT("'Data'!AS"&amp;($C$1)))</f>
        <v>0</v>
      </c>
      <c r="K13" s="48" t="str">
        <f ca="1">(INDIRECT("'Data'!AT"&amp;($C$1)))</f>
        <v>TPJR00530</v>
      </c>
      <c r="L13" s="48">
        <f ca="1">(INDIRECT("'Data'!AU"&amp;($C$1)))</f>
        <v>0</v>
      </c>
      <c r="M13" s="48">
        <f ca="1">(INDIRECT("'Data'!AV"&amp;($C$1)))</f>
        <v>644</v>
      </c>
      <c r="N13" s="48" t="str">
        <f ca="1">(INDIRECT("'Data'!AW"&amp;($C$1)))</f>
        <v>EXCH1 ROAD</v>
      </c>
      <c r="O13" s="58" t="s">
        <v>73</v>
      </c>
      <c r="P13" s="59" t="s">
        <v>73</v>
      </c>
      <c r="Q13" s="59" t="s">
        <v>265</v>
      </c>
      <c r="R13" s="60" t="s">
        <v>73</v>
      </c>
      <c r="S13" s="59" t="s">
        <v>75</v>
      </c>
      <c r="T13" s="61" t="s">
        <v>100</v>
      </c>
      <c r="U13" s="86"/>
    </row>
    <row r="14" spans="1:26" s="150" customFormat="1" ht="6.75">
      <c r="A14" s="150" t="s">
        <v>68</v>
      </c>
      <c r="B14" s="150" t="s">
        <v>455</v>
      </c>
      <c r="C14" s="150" t="s">
        <v>443</v>
      </c>
      <c r="D14" s="150" t="s">
        <v>444</v>
      </c>
      <c r="E14" s="150" t="s">
        <v>493</v>
      </c>
      <c r="F14" s="150" t="s">
        <v>475</v>
      </c>
      <c r="G14" s="150" t="s">
        <v>439</v>
      </c>
      <c r="H14" s="150" t="s">
        <v>447</v>
      </c>
      <c r="I14" s="150" t="s">
        <v>37</v>
      </c>
      <c r="J14" s="150" t="s">
        <v>94</v>
      </c>
      <c r="K14" s="153" t="s">
        <v>491</v>
      </c>
      <c r="L14" s="154" t="s">
        <v>77</v>
      </c>
      <c r="M14" s="154" t="s">
        <v>77</v>
      </c>
      <c r="N14" s="155" t="s">
        <v>77</v>
      </c>
      <c r="O14" s="154"/>
      <c r="P14" s="154"/>
      <c r="R14" s="154"/>
    </row>
    <row r="15" spans="1:26" s="44" customFormat="1" ht="11.25" customHeight="1">
      <c r="A15" s="65" t="s">
        <v>71</v>
      </c>
      <c r="B15" s="65" t="s">
        <v>474</v>
      </c>
      <c r="C15" s="65"/>
      <c r="D15" s="67">
        <v>1</v>
      </c>
      <c r="E15" s="94" t="s">
        <v>73</v>
      </c>
      <c r="F15" s="48">
        <f ca="1">(INDIRECT("'Data'!CD"&amp;($C$1)))</f>
        <v>0</v>
      </c>
      <c r="G15" s="49">
        <f ca="1">(INDIRECT("'Data'!BG"&amp;($C$1)))</f>
        <v>0</v>
      </c>
      <c r="H15" s="49" t="str">
        <f ca="1">(INDIRECT("'Data'!F"&amp;($C$1)))</f>
        <v>EXCHANGE GAS METER TO SECURE SMART CREDIT</v>
      </c>
      <c r="I15" s="48" t="str">
        <f ca="1">(INDIRECT("'Data'!AW"&amp;($C$1)))</f>
        <v>EXCH1 ROAD</v>
      </c>
      <c r="J15" s="44" t="s">
        <v>73</v>
      </c>
      <c r="K15" s="86"/>
      <c r="L15" s="62"/>
      <c r="M15" s="62"/>
      <c r="N15" s="63"/>
      <c r="O15" s="62"/>
      <c r="P15" s="62"/>
      <c r="Q15" s="47"/>
      <c r="R15" s="62"/>
    </row>
    <row r="16" spans="1:26" s="150" customFormat="1" ht="6.75">
      <c r="A16" s="150" t="s">
        <v>68</v>
      </c>
      <c r="B16" s="150" t="s">
        <v>455</v>
      </c>
      <c r="C16" s="150" t="s">
        <v>443</v>
      </c>
      <c r="D16" s="150" t="s">
        <v>444</v>
      </c>
      <c r="E16" s="150" t="s">
        <v>493</v>
      </c>
      <c r="F16" s="150" t="s">
        <v>477</v>
      </c>
      <c r="G16" s="150" t="s">
        <v>478</v>
      </c>
      <c r="H16" s="154" t="s">
        <v>480</v>
      </c>
      <c r="I16" s="150" t="s">
        <v>96</v>
      </c>
      <c r="J16" s="154" t="s">
        <v>481</v>
      </c>
      <c r="K16" s="154" t="s">
        <v>482</v>
      </c>
      <c r="L16" s="150" t="s">
        <v>475</v>
      </c>
      <c r="M16" s="150" t="s">
        <v>817</v>
      </c>
      <c r="N16" s="150" t="s">
        <v>479</v>
      </c>
      <c r="O16" s="150" t="s">
        <v>483</v>
      </c>
      <c r="P16" s="153" t="s">
        <v>491</v>
      </c>
    </row>
    <row r="17" spans="1:43" s="58" customFormat="1" ht="11.25" customHeight="1">
      <c r="A17" s="69" t="s">
        <v>71</v>
      </c>
      <c r="B17" s="69" t="s">
        <v>97</v>
      </c>
      <c r="C17" s="70"/>
      <c r="D17" s="71">
        <v>1</v>
      </c>
      <c r="E17" s="95" t="s">
        <v>73</v>
      </c>
      <c r="F17" s="73" t="s">
        <v>73</v>
      </c>
      <c r="G17" s="73" t="s">
        <v>73</v>
      </c>
      <c r="H17" s="74" t="s">
        <v>77</v>
      </c>
      <c r="I17" s="73" t="s">
        <v>77</v>
      </c>
      <c r="J17" s="74" t="s">
        <v>77</v>
      </c>
      <c r="K17" s="74" t="s">
        <v>77</v>
      </c>
      <c r="L17" s="48">
        <f ca="1">(INDIRECT("'Data'!CD"&amp;($C$1)))</f>
        <v>0</v>
      </c>
      <c r="M17" s="75"/>
      <c r="N17" s="73"/>
      <c r="O17" s="75"/>
      <c r="P17" s="86"/>
    </row>
    <row r="18" spans="1:43" s="153" customFormat="1" ht="6.75">
      <c r="A18" s="153" t="s">
        <v>68</v>
      </c>
      <c r="B18" s="153" t="s">
        <v>455</v>
      </c>
      <c r="C18" s="150" t="s">
        <v>443</v>
      </c>
      <c r="D18" s="150" t="s">
        <v>444</v>
      </c>
      <c r="E18" s="153" t="s">
        <v>493</v>
      </c>
      <c r="F18" s="153" t="s">
        <v>501</v>
      </c>
      <c r="G18" s="153" t="s">
        <v>507</v>
      </c>
      <c r="H18" s="153" t="s">
        <v>506</v>
      </c>
      <c r="I18" s="153" t="s">
        <v>724</v>
      </c>
      <c r="J18" s="153" t="s">
        <v>508</v>
      </c>
      <c r="K18" s="153" t="s">
        <v>504</v>
      </c>
      <c r="L18" s="153" t="s">
        <v>722</v>
      </c>
      <c r="M18" s="153" t="s">
        <v>491</v>
      </c>
    </row>
    <row r="19" spans="1:43" s="88" customFormat="1" ht="10.5" customHeight="1">
      <c r="A19" s="134" t="s">
        <v>71</v>
      </c>
      <c r="B19" s="134" t="s">
        <v>720</v>
      </c>
      <c r="C19" s="130"/>
      <c r="D19" s="83">
        <v>1</v>
      </c>
      <c r="E19" s="96" t="s">
        <v>73</v>
      </c>
      <c r="F19" s="86" t="s">
        <v>75</v>
      </c>
      <c r="G19" s="86"/>
      <c r="H19" s="86"/>
      <c r="I19" s="86"/>
      <c r="J19" s="86"/>
      <c r="K19" s="86"/>
      <c r="L19" s="86"/>
      <c r="M19" s="86"/>
      <c r="N19" s="86"/>
      <c r="O19" s="86"/>
      <c r="P19" s="86"/>
      <c r="Q19" s="86"/>
      <c r="R19" s="86"/>
      <c r="S19" s="86"/>
      <c r="T19" s="86"/>
      <c r="U19" s="86"/>
      <c r="V19" s="131"/>
      <c r="W19" s="86"/>
      <c r="X19" s="86"/>
      <c r="AE19" s="86"/>
      <c r="AG19" s="86"/>
    </row>
    <row r="20" spans="1:43" s="153" customFormat="1" ht="6.75">
      <c r="A20" s="153" t="s">
        <v>68</v>
      </c>
      <c r="B20" s="153" t="s">
        <v>455</v>
      </c>
      <c r="C20" s="150" t="s">
        <v>443</v>
      </c>
      <c r="D20" s="150" t="s">
        <v>444</v>
      </c>
      <c r="E20" s="153" t="s">
        <v>493</v>
      </c>
      <c r="F20" s="153" t="s">
        <v>725</v>
      </c>
      <c r="G20" s="153" t="s">
        <v>520</v>
      </c>
      <c r="H20" s="153" t="s">
        <v>726</v>
      </c>
      <c r="I20" s="153" t="s">
        <v>728</v>
      </c>
      <c r="J20" s="153" t="s">
        <v>553</v>
      </c>
      <c r="K20" s="153" t="s">
        <v>729</v>
      </c>
      <c r="L20" s="153" t="s">
        <v>516</v>
      </c>
      <c r="M20" s="153" t="s">
        <v>730</v>
      </c>
      <c r="N20" s="153" t="s">
        <v>524</v>
      </c>
      <c r="O20" s="153" t="s">
        <v>491</v>
      </c>
    </row>
    <row r="21" spans="1:43" s="88" customFormat="1" ht="10.5" customHeight="1">
      <c r="A21" s="84" t="s">
        <v>71</v>
      </c>
      <c r="B21" s="84" t="s">
        <v>723</v>
      </c>
      <c r="C21" s="85"/>
      <c r="D21" s="71">
        <v>1</v>
      </c>
      <c r="E21" s="96" t="s">
        <v>73</v>
      </c>
      <c r="F21" s="86"/>
      <c r="G21" s="86" t="s">
        <v>73</v>
      </c>
      <c r="H21" s="86" t="s">
        <v>727</v>
      </c>
      <c r="I21" s="86"/>
      <c r="J21" s="86"/>
      <c r="K21" s="86"/>
      <c r="L21" s="86"/>
      <c r="M21" s="86"/>
      <c r="N21" s="86"/>
      <c r="O21" s="86"/>
    </row>
    <row r="22" spans="1:43" s="153" customFormat="1" ht="6.75">
      <c r="A22" s="153" t="s">
        <v>68</v>
      </c>
      <c r="B22" s="153" t="s">
        <v>455</v>
      </c>
      <c r="C22" s="150" t="s">
        <v>443</v>
      </c>
      <c r="D22" s="150" t="s">
        <v>444</v>
      </c>
      <c r="E22" s="153" t="s">
        <v>493</v>
      </c>
      <c r="F22" s="153" t="s">
        <v>491</v>
      </c>
    </row>
    <row r="23" spans="1:43" s="88" customFormat="1" ht="10.5" customHeight="1">
      <c r="A23" s="134" t="s">
        <v>71</v>
      </c>
      <c r="B23" s="134" t="s">
        <v>721</v>
      </c>
      <c r="C23" s="130"/>
      <c r="D23" s="83">
        <v>1</v>
      </c>
      <c r="E23" s="96" t="s">
        <v>73</v>
      </c>
      <c r="F23" s="86"/>
      <c r="G23" s="86"/>
      <c r="H23" s="86"/>
      <c r="I23" s="86"/>
      <c r="J23" s="86"/>
      <c r="K23" s="86"/>
      <c r="L23" s="86"/>
      <c r="M23" s="86"/>
      <c r="N23" s="86"/>
      <c r="O23" s="86"/>
      <c r="P23" s="86"/>
      <c r="Q23" s="86"/>
      <c r="R23" s="86"/>
      <c r="S23" s="86"/>
      <c r="T23" s="86"/>
      <c r="U23" s="86"/>
      <c r="V23" s="86"/>
      <c r="W23" s="86"/>
      <c r="X23" s="131"/>
      <c r="Y23" s="86"/>
      <c r="Z23" s="86"/>
      <c r="AG23" s="86"/>
      <c r="AI23" s="86"/>
    </row>
    <row r="24" spans="1:43" s="156" customFormat="1" ht="6.75">
      <c r="A24" s="156" t="s">
        <v>68</v>
      </c>
      <c r="B24" s="150" t="s">
        <v>455</v>
      </c>
      <c r="C24" s="150" t="s">
        <v>443</v>
      </c>
      <c r="D24" s="150" t="s">
        <v>444</v>
      </c>
      <c r="E24" s="156" t="s">
        <v>493</v>
      </c>
      <c r="F24" s="156" t="s">
        <v>750</v>
      </c>
      <c r="G24" s="156" t="s">
        <v>116</v>
      </c>
      <c r="H24" s="156" t="s">
        <v>117</v>
      </c>
      <c r="I24" s="156" t="s">
        <v>123</v>
      </c>
      <c r="J24" s="156" t="s">
        <v>119</v>
      </c>
      <c r="K24" s="156" t="s">
        <v>221</v>
      </c>
      <c r="L24" s="156" t="s">
        <v>171</v>
      </c>
      <c r="M24" s="156" t="s">
        <v>172</v>
      </c>
      <c r="N24" s="156" t="s">
        <v>177</v>
      </c>
      <c r="O24" s="156" t="s">
        <v>169</v>
      </c>
      <c r="P24" s="156" t="s">
        <v>170</v>
      </c>
      <c r="Q24" s="156" t="s">
        <v>268</v>
      </c>
      <c r="R24" s="156" t="s">
        <v>173</v>
      </c>
      <c r="S24" s="156" t="s">
        <v>174</v>
      </c>
      <c r="T24" s="156" t="s">
        <v>175</v>
      </c>
      <c r="U24" s="156" t="s">
        <v>176</v>
      </c>
      <c r="V24" s="156" t="s">
        <v>178</v>
      </c>
      <c r="W24" s="156" t="s">
        <v>179</v>
      </c>
      <c r="X24" s="156" t="s">
        <v>180</v>
      </c>
      <c r="Y24" s="156" t="s">
        <v>181</v>
      </c>
      <c r="Z24" s="156" t="s">
        <v>182</v>
      </c>
      <c r="AA24" s="156" t="s">
        <v>282</v>
      </c>
      <c r="AB24" s="156" t="s">
        <v>186</v>
      </c>
      <c r="AC24" s="156" t="s">
        <v>187</v>
      </c>
      <c r="AD24" s="156" t="s">
        <v>192</v>
      </c>
      <c r="AE24" s="156" t="s">
        <v>188</v>
      </c>
      <c r="AF24" s="156" t="s">
        <v>198</v>
      </c>
      <c r="AG24" s="156" t="s">
        <v>199</v>
      </c>
      <c r="AH24" s="156" t="s">
        <v>200</v>
      </c>
      <c r="AI24" s="156" t="s">
        <v>189</v>
      </c>
      <c r="AJ24" s="156" t="s">
        <v>190</v>
      </c>
      <c r="AK24" s="156" t="s">
        <v>191</v>
      </c>
      <c r="AL24" s="156" t="s">
        <v>193</v>
      </c>
      <c r="AM24" s="156" t="s">
        <v>194</v>
      </c>
      <c r="AN24" s="156" t="s">
        <v>195</v>
      </c>
      <c r="AO24" s="156" t="s">
        <v>196</v>
      </c>
      <c r="AP24" s="156" t="s">
        <v>197</v>
      </c>
      <c r="AQ24" s="153" t="s">
        <v>491</v>
      </c>
    </row>
    <row r="25" spans="1:43" s="58" customFormat="1" ht="11.25">
      <c r="A25" s="69" t="s">
        <v>71</v>
      </c>
      <c r="B25" s="69" t="s">
        <v>568</v>
      </c>
      <c r="C25" s="70"/>
      <c r="D25" s="71">
        <v>1</v>
      </c>
      <c r="E25" s="97" t="s">
        <v>73</v>
      </c>
      <c r="F25" s="58" t="s">
        <v>73</v>
      </c>
      <c r="G25" s="61"/>
      <c r="H25" s="61" t="s">
        <v>77</v>
      </c>
      <c r="I25" s="61"/>
      <c r="J25" s="61"/>
      <c r="K25" s="61"/>
      <c r="L25" s="143">
        <f ca="1">(INDIRECT("'Data'!BL"&amp;($C$1)))</f>
        <v>0</v>
      </c>
      <c r="M25" s="143">
        <f ca="1">(INDIRECT("'Data'!BX"&amp;($C$1)))</f>
        <v>0</v>
      </c>
      <c r="N25" s="143">
        <f ca="1">(INDIRECT("'Data'!BQ"&amp;($C$1)))</f>
        <v>0</v>
      </c>
      <c r="O25" s="143">
        <f ca="1">(INDIRECT("'Data'!BX"&amp;($C$1)))</f>
        <v>0</v>
      </c>
      <c r="P25" s="143">
        <f ca="1">(INDIRECT("'Data'!BO"&amp;($C$1)))</f>
        <v>0</v>
      </c>
      <c r="Q25" s="143">
        <f ca="1">(INDIRECT("'Data'!BY"&amp;($C$1)))</f>
        <v>0</v>
      </c>
      <c r="R25" s="143">
        <f ca="1">(INDIRECT("'Data'!BZ"&amp;($C$1)))</f>
        <v>0</v>
      </c>
      <c r="S25" s="61"/>
      <c r="T25" s="61"/>
      <c r="U25" s="61"/>
      <c r="V25" s="61"/>
      <c r="W25" s="61"/>
      <c r="X25" s="61"/>
      <c r="Y25" s="60"/>
      <c r="Z25" s="61"/>
      <c r="AA25" s="61"/>
      <c r="AQ25" s="86"/>
    </row>
    <row r="26" spans="1:43" s="153" customFormat="1" ht="6.75">
      <c r="A26" s="153" t="s">
        <v>68</v>
      </c>
      <c r="B26" s="153" t="s">
        <v>455</v>
      </c>
      <c r="C26" s="150" t="s">
        <v>443</v>
      </c>
      <c r="D26" s="150" t="s">
        <v>444</v>
      </c>
      <c r="E26" s="153" t="s">
        <v>493</v>
      </c>
      <c r="F26" s="156" t="s">
        <v>749</v>
      </c>
      <c r="G26" s="156" t="s">
        <v>747</v>
      </c>
      <c r="H26" s="153" t="s">
        <v>491</v>
      </c>
    </row>
    <row r="27" spans="1:43" s="88" customFormat="1" ht="10.5" customHeight="1">
      <c r="A27" s="134" t="s">
        <v>71</v>
      </c>
      <c r="B27" s="134" t="s">
        <v>826</v>
      </c>
      <c r="C27" s="130"/>
      <c r="D27" s="83">
        <v>1</v>
      </c>
      <c r="E27" s="96" t="s">
        <v>73</v>
      </c>
      <c r="F27" s="61">
        <v>12345</v>
      </c>
      <c r="G27" s="61" t="s">
        <v>748</v>
      </c>
      <c r="H27" s="86"/>
      <c r="I27" s="86"/>
      <c r="J27" s="86"/>
      <c r="K27" s="86"/>
      <c r="L27" s="86"/>
      <c r="M27" s="86"/>
      <c r="N27" s="86"/>
      <c r="O27" s="86"/>
      <c r="P27" s="86"/>
      <c r="Q27" s="86"/>
      <c r="R27" s="86"/>
      <c r="S27" s="86"/>
      <c r="T27" s="86"/>
      <c r="U27" s="86"/>
      <c r="V27" s="86"/>
      <c r="W27" s="86"/>
      <c r="X27" s="131"/>
      <c r="Y27" s="86"/>
      <c r="Z27" s="86"/>
      <c r="AG27" s="86"/>
      <c r="AI27" s="86"/>
    </row>
    <row r="28" spans="1:43" s="150" customFormat="1" ht="6.75">
      <c r="A28" s="150" t="s">
        <v>68</v>
      </c>
      <c r="B28" s="150" t="s">
        <v>455</v>
      </c>
      <c r="C28" s="150" t="s">
        <v>443</v>
      </c>
      <c r="D28" s="150" t="s">
        <v>444</v>
      </c>
      <c r="E28" s="150" t="s">
        <v>493</v>
      </c>
      <c r="F28" s="153" t="s">
        <v>491</v>
      </c>
    </row>
    <row r="29" spans="1:43" s="79" customFormat="1" ht="11.25">
      <c r="A29" s="69" t="s">
        <v>71</v>
      </c>
      <c r="B29" s="69" t="s">
        <v>600</v>
      </c>
      <c r="C29" s="70"/>
      <c r="D29" s="71">
        <v>1</v>
      </c>
      <c r="E29" s="95" t="s">
        <v>73</v>
      </c>
      <c r="F29" s="86"/>
    </row>
    <row r="30" spans="1:43" s="150" customFormat="1" ht="6.75" customHeight="1">
      <c r="A30" s="150" t="s">
        <v>68</v>
      </c>
      <c r="B30" s="150" t="s">
        <v>69</v>
      </c>
      <c r="C30" s="150" t="s">
        <v>443</v>
      </c>
      <c r="D30" s="150" t="s">
        <v>444</v>
      </c>
      <c r="E30" s="150" t="s">
        <v>493</v>
      </c>
      <c r="F30" s="150" t="s">
        <v>697</v>
      </c>
      <c r="G30" s="150" t="s">
        <v>698</v>
      </c>
      <c r="H30" s="150" t="s">
        <v>699</v>
      </c>
      <c r="I30" s="150" t="s">
        <v>700</v>
      </c>
      <c r="J30" s="150" t="s">
        <v>701</v>
      </c>
      <c r="K30" s="216" t="s">
        <v>838</v>
      </c>
      <c r="L30" s="150" t="s">
        <v>839</v>
      </c>
      <c r="M30" s="150" t="s">
        <v>471</v>
      </c>
      <c r="N30" s="150" t="s">
        <v>475</v>
      </c>
      <c r="O30" s="150" t="s">
        <v>491</v>
      </c>
    </row>
    <row r="31" spans="1:43" s="58" customFormat="1" ht="11.25" customHeight="1">
      <c r="A31" s="119" t="s">
        <v>71</v>
      </c>
      <c r="B31" s="119" t="s">
        <v>144</v>
      </c>
      <c r="C31" s="119"/>
      <c r="D31" s="83">
        <v>1</v>
      </c>
      <c r="E31" s="95" t="s">
        <v>73</v>
      </c>
      <c r="F31" s="61" t="s">
        <v>703</v>
      </c>
      <c r="G31" s="61" t="s">
        <v>165</v>
      </c>
      <c r="H31" s="61" t="s">
        <v>73</v>
      </c>
      <c r="I31" s="61" t="s">
        <v>73</v>
      </c>
      <c r="J31" s="61" t="s">
        <v>73</v>
      </c>
      <c r="K31" s="217"/>
      <c r="L31" s="61" t="s">
        <v>73</v>
      </c>
      <c r="M31" s="61" t="s">
        <v>702</v>
      </c>
      <c r="N31" s="48">
        <f ca="1">(INDIRECT("'Data'!CD"&amp;($C$1)))</f>
        <v>0</v>
      </c>
      <c r="O31" s="56"/>
      <c r="P31" s="61"/>
      <c r="Q31" s="61"/>
      <c r="R31" s="61"/>
      <c r="S31" s="61"/>
      <c r="T31" s="61"/>
    </row>
    <row r="32" spans="1:43" s="150" customFormat="1" ht="6.75">
      <c r="A32" s="150" t="s">
        <v>68</v>
      </c>
      <c r="B32" s="150" t="s">
        <v>69</v>
      </c>
      <c r="C32" s="150" t="s">
        <v>443</v>
      </c>
      <c r="D32" s="150" t="s">
        <v>444</v>
      </c>
      <c r="E32" s="150" t="s">
        <v>493</v>
      </c>
      <c r="F32" s="150" t="s">
        <v>475</v>
      </c>
      <c r="G32" s="150" t="s">
        <v>84</v>
      </c>
      <c r="H32" s="150" t="s">
        <v>82</v>
      </c>
      <c r="I32" s="150" t="s">
        <v>145</v>
      </c>
      <c r="J32" s="150" t="s">
        <v>146</v>
      </c>
      <c r="K32" s="150" t="s">
        <v>147</v>
      </c>
      <c r="L32" s="150" t="s">
        <v>148</v>
      </c>
      <c r="M32" s="150" t="s">
        <v>326</v>
      </c>
      <c r="N32" s="150" t="s">
        <v>149</v>
      </c>
      <c r="O32" s="150" t="s">
        <v>840</v>
      </c>
      <c r="P32" s="150" t="s">
        <v>841</v>
      </c>
      <c r="Q32" s="150" t="s">
        <v>491</v>
      </c>
    </row>
    <row r="33" spans="1:19" s="58" customFormat="1" ht="11.25" customHeight="1">
      <c r="A33" s="119" t="s">
        <v>71</v>
      </c>
      <c r="B33" s="119" t="s">
        <v>156</v>
      </c>
      <c r="C33" s="119"/>
      <c r="D33" s="83">
        <v>1</v>
      </c>
      <c r="E33" s="95" t="s">
        <v>73</v>
      </c>
      <c r="F33" s="48">
        <f ca="1">(INDIRECT("'Data'!CD"&amp;($C$1)))</f>
        <v>0</v>
      </c>
      <c r="G33" s="132" t="str">
        <f ca="1">(INDIRECT("'Data'!F"&amp;($C$1)))</f>
        <v>EXCHANGE GAS METER TO SECURE SMART CREDIT</v>
      </c>
      <c r="H33" s="132" t="str">
        <f ca="1">(INDIRECT("'Data'!AW"&amp;($C$1)))</f>
        <v>EXCH1 ROAD</v>
      </c>
      <c r="I33" s="49" t="str">
        <f ca="1">(INDIRECT("'Data'!X"&amp;($C$1)))</f>
        <v>SPRK</v>
      </c>
      <c r="J33" s="49">
        <f ca="1">(INDIRECT("'Data'!BG"&amp;($C$1)))</f>
        <v>0</v>
      </c>
      <c r="K33" s="49">
        <f ca="1">(INDIRECT("'Data'!BL"&amp;($C$1)))</f>
        <v>0</v>
      </c>
      <c r="L33" s="60" t="s">
        <v>746</v>
      </c>
      <c r="M33" s="46"/>
      <c r="N33" s="46"/>
      <c r="O33" s="61" t="s">
        <v>73</v>
      </c>
      <c r="P33" s="60" t="s">
        <v>73</v>
      </c>
      <c r="Q33" s="56"/>
    </row>
    <row r="34" spans="1:19" s="150" customFormat="1" ht="6.75">
      <c r="A34" s="150" t="s">
        <v>68</v>
      </c>
      <c r="B34" s="150" t="s">
        <v>69</v>
      </c>
      <c r="C34" s="150" t="s">
        <v>443</v>
      </c>
      <c r="D34" s="150" t="s">
        <v>444</v>
      </c>
      <c r="E34" s="150" t="s">
        <v>493</v>
      </c>
      <c r="F34" s="150" t="s">
        <v>707</v>
      </c>
      <c r="G34" s="150" t="s">
        <v>708</v>
      </c>
      <c r="H34" s="150" t="s">
        <v>709</v>
      </c>
      <c r="I34" s="150" t="s">
        <v>710</v>
      </c>
      <c r="J34" s="150" t="s">
        <v>711</v>
      </c>
      <c r="K34" s="150" t="s">
        <v>712</v>
      </c>
      <c r="L34" s="150" t="s">
        <v>713</v>
      </c>
      <c r="M34" s="150" t="s">
        <v>475</v>
      </c>
      <c r="N34" s="150" t="s">
        <v>491</v>
      </c>
    </row>
    <row r="35" spans="1:19" s="58" customFormat="1" ht="11.25" customHeight="1">
      <c r="A35" s="119" t="s">
        <v>71</v>
      </c>
      <c r="B35" s="119" t="s">
        <v>706</v>
      </c>
      <c r="C35" s="119"/>
      <c r="D35" s="118">
        <v>1</v>
      </c>
      <c r="E35" s="95" t="s">
        <v>73</v>
      </c>
      <c r="F35" s="61" t="s">
        <v>73</v>
      </c>
      <c r="G35" s="61" t="s">
        <v>75</v>
      </c>
      <c r="H35" s="61" t="s">
        <v>714</v>
      </c>
      <c r="I35" s="61" t="s">
        <v>155</v>
      </c>
      <c r="J35" s="61" t="s">
        <v>75</v>
      </c>
      <c r="K35" s="61" t="s">
        <v>643</v>
      </c>
      <c r="L35" s="61" t="s">
        <v>75</v>
      </c>
      <c r="M35" s="48">
        <f ca="1">(INDIRECT("'Data'!CD"&amp;($C$1)))</f>
        <v>0</v>
      </c>
      <c r="N35" s="56"/>
      <c r="O35" s="61"/>
      <c r="P35" s="61"/>
      <c r="Q35" s="61"/>
      <c r="R35" s="61"/>
      <c r="S35" s="61"/>
    </row>
    <row r="36" spans="1:19" s="150" customFormat="1" ht="6.75">
      <c r="A36" s="150" t="s">
        <v>68</v>
      </c>
      <c r="B36" s="150" t="s">
        <v>69</v>
      </c>
      <c r="C36" s="150" t="s">
        <v>443</v>
      </c>
      <c r="D36" s="150" t="s">
        <v>444</v>
      </c>
      <c r="E36" s="150" t="s">
        <v>493</v>
      </c>
      <c r="F36" s="150" t="s">
        <v>85</v>
      </c>
    </row>
    <row r="37" spans="1:19" s="58" customFormat="1" ht="11.25" customHeight="1">
      <c r="A37" s="58" t="s">
        <v>71</v>
      </c>
      <c r="B37" s="58" t="s">
        <v>76</v>
      </c>
      <c r="D37" s="82">
        <v>1</v>
      </c>
      <c r="E37" s="95" t="s">
        <v>73</v>
      </c>
      <c r="F37" s="61" t="s">
        <v>86</v>
      </c>
      <c r="J37" s="133"/>
    </row>
  </sheetData>
  <dataValidations count="5">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Title="Validation" prompt="Y or N" sqref="SZ2 ACV2 AMR2 AWN2 BGJ2 BQF2 CAB2 CJX2 CTT2 DDP2 DNL2 DXH2 EHD2 EQZ2 FAV2 FKR2 FUN2 GEJ2 GOF2 GYB2 HHX2 HRT2 IBP2 ILL2 IVH2 JFD2 JOZ2 JYV2 KIR2 KSN2 LCJ2 LMF2 LWB2 MFX2 MPT2 MZP2 NJL2 NTH2 ODD2 OMZ2 OWV2 PGR2 PQN2 QAJ2 QKF2 QUB2 RDX2 RNT2 RXP2 SHL2 SRH2 TBD2 TKZ2 TUV2 UER2 UON2 UYJ2 VIF2 VSB2 WBX2 WLT2 WVP2 JD2 I2"/>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 allowBlank="1" showInputMessage="1" showErrorMessage="1" prompt="Y or N" sqref="WVB26 WTT20 HH20 RD20 AAZ20 AKV20 AUR20 BEN20 BOJ20 BYF20 CIB20 CRX20 DBT20 DLP20 DVL20 EFH20 EPD20 EYZ20 FIV20 FSR20 GCN20 GMJ20 GWF20 HGB20 HPX20 HZT20 IJP20 ITL20 JDH20 JND20 JWZ20 KGV20 KQR20 LAN20 LKJ20 LUF20 MEB20 MNX20 MXT20 NHP20 NRL20 OBH20 OLD20 OUZ20 PEV20 POR20 PYN20 QIJ20 QSF20 RCB20 RLX20 RVT20 SFP20 SPL20 SZH20 TJD20 TSZ20 UCV20 UMR20 UWN20 VGJ20 VQF20 WAB20 WJX20 WLF22 IP26 WBJ22 VRN22 VHR22 UXV22 UNZ22 UED22 TUH22 TKL22 TAP22 SQT22 SGX22 RXB22 RNF22 RDJ22 QTN22 QJR22 PZV22 PPZ22 PGD22 OWH22 OML22 OCP22 NST22 NIX22 MZB22 MPF22 MFJ22 LVN22 LLR22 LBV22 KRZ22 KID22 JYH22 JOL22 JEP22 IUT22 IKX22 IBB22 HRF22 HHJ22 GXN22 GNR22 GDV22 FTZ22 FKD22 FAH22 EQL22 EGP22 DWT22 DMX22 DDB22 CTF22 CJJ22 BZN22 BPR22 BFV22 AVZ22 AMD22 ACH22 SL22 IP22 WVB22 F18 WUZ18 IN18 SJ18 ACF18 AMB18 AVX18 BFT18 BPP18 BZL18 CJH18 CTD18 DCZ18 DMV18 DWR18 EGN18 EQJ18 FAF18 FKB18 FTX18 GDT18 GNP18 GXL18 HHH18 HRD18 IAZ18 IKV18 IUR18 JEN18 JOJ18 JYF18 KIB18 KRX18 LBT18 LLP18 LVL18 MFH18 MPD18 MYZ18 NIV18 NSR18 OCN18 OMJ18 OWF18 PGB18 PPX18 PZT18 QJP18 QTL18 RDH18 RND18 RWZ18 SGV18 SQR18 TAN18 TKJ18 TUF18 UEB18 UNX18 UXT18 VHP18 VRL18 WBH18 WLD18 WLF26 F16 WBJ26 VRN26 VHR26 UXV26 UNZ26 UED26 TUH26 TKL26 TAP26 SQT26 SGX26 RXB26 RNF26 RDJ26 QTN26 QJR26 PZV26 PPZ26 PGD26 OWH26 OML26 OCP26 NST26 NIX26 MZB26 MPF26 MFJ26 LVN26 LLR26 LBV26 KRZ26 KID26 JYH26 JOL26 JEP26 IUT26 IKX26 IBB26 HRF26 HHJ26 GXN26 GNR26 GDV26 FTZ26 FKD26 FAH26 EQL26 EGP26 DWT26 DMX26 DDB26 CTF26 CJJ26 BZN26 BPR26 BFV26 AVZ26 AMD26 ACH26 SL26"/>
  </dataValidations>
  <pageMargins left="0.7" right="0.7" top="0.75" bottom="0.75" header="0.3" footer="0.3"/>
  <pageSetup paperSize="9" orientation="portrait" r:id="rId1"/>
  <headerFooter>
    <oddFooter>&amp;LUnrestricted</oddFooter>
  </headerFooter>
</worksheet>
</file>

<file path=xl/worksheets/sheet5.xml><?xml version="1.0" encoding="utf-8"?>
<worksheet xmlns="http://schemas.openxmlformats.org/spreadsheetml/2006/main" xmlns:r="http://schemas.openxmlformats.org/officeDocument/2006/relationships">
  <sheetPr codeName="Sheet6">
    <tabColor theme="9" tint="-0.499984740745262"/>
  </sheetPr>
  <dimension ref="A1:AU65"/>
  <sheetViews>
    <sheetView zoomScale="130" zoomScaleNormal="130" workbookViewId="0">
      <selection activeCell="K58" sqref="K58"/>
    </sheetView>
  </sheetViews>
  <sheetFormatPr defaultRowHeight="12.75"/>
  <cols>
    <col min="1" max="1" width="4.7109375" bestFit="1" customWidth="1"/>
    <col min="2" max="2" width="20.7109375" bestFit="1" customWidth="1"/>
    <col min="3" max="3" width="5" bestFit="1" customWidth="1"/>
    <col min="4" max="4" width="3.5703125" bestFit="1" customWidth="1"/>
    <col min="5" max="5" width="2.42578125" bestFit="1" customWidth="1"/>
    <col min="6" max="6" width="17.7109375" customWidth="1"/>
    <col min="7" max="7" width="11.7109375" customWidth="1"/>
  </cols>
  <sheetData>
    <row r="1" spans="1:26" s="150" customFormat="1" ht="6.75">
      <c r="A1" s="150" t="s">
        <v>494</v>
      </c>
      <c r="B1" s="150" t="s">
        <v>95</v>
      </c>
      <c r="C1" s="150" t="s">
        <v>240</v>
      </c>
      <c r="D1" s="150" t="s">
        <v>49</v>
      </c>
      <c r="G1" s="151"/>
      <c r="I1" s="152"/>
    </row>
    <row r="2" spans="1:26" s="150" customFormat="1" ht="6.75">
      <c r="A2" s="150" t="s">
        <v>68</v>
      </c>
      <c r="B2" s="150" t="s">
        <v>455</v>
      </c>
      <c r="C2" s="150" t="s">
        <v>443</v>
      </c>
      <c r="D2" s="150" t="s">
        <v>444</v>
      </c>
      <c r="E2" s="150" t="s">
        <v>493</v>
      </c>
      <c r="F2" s="150" t="s">
        <v>445</v>
      </c>
      <c r="G2" s="150" t="s">
        <v>115</v>
      </c>
      <c r="H2" s="150" t="s">
        <v>436</v>
      </c>
      <c r="I2" s="150" t="s">
        <v>446</v>
      </c>
    </row>
    <row r="3" spans="1:26" s="44" customFormat="1" ht="11.25">
      <c r="A3" s="65" t="s">
        <v>71</v>
      </c>
      <c r="B3" s="65" t="s">
        <v>72</v>
      </c>
      <c r="C3" s="65"/>
      <c r="D3" s="66">
        <v>1</v>
      </c>
      <c r="E3" s="94" t="s">
        <v>73</v>
      </c>
      <c r="F3" s="49">
        <f>'Run Parameters'!B5</f>
        <v>111011</v>
      </c>
      <c r="G3" s="49" t="str">
        <f>'Run Parameters'!B6</f>
        <v>111Siemens</v>
      </c>
      <c r="H3" s="49" t="str">
        <f>'Run Parameters'!B7</f>
        <v>https://siemens-og-bykrw4bu7an2nvbgh7xdzce7-sdg1-dev.mbaas1.sdg.feedhenry.com/#/login</v>
      </c>
      <c r="I3" s="45" t="s">
        <v>73</v>
      </c>
      <c r="J3" s="46"/>
      <c r="K3" s="46"/>
      <c r="L3" s="46"/>
      <c r="M3" s="46"/>
      <c r="N3" s="46"/>
      <c r="O3" s="46"/>
      <c r="P3" s="46"/>
      <c r="Q3" s="46"/>
      <c r="R3" s="47"/>
      <c r="S3" s="46"/>
      <c r="T3" s="46"/>
      <c r="U3" s="46"/>
    </row>
    <row r="4" spans="1:26" s="150" customFormat="1" ht="6.75">
      <c r="A4" s="150" t="s">
        <v>68</v>
      </c>
      <c r="B4" s="150" t="s">
        <v>455</v>
      </c>
      <c r="C4" s="150" t="s">
        <v>443</v>
      </c>
      <c r="D4" s="150" t="s">
        <v>444</v>
      </c>
      <c r="E4" s="150" t="s">
        <v>493</v>
      </c>
      <c r="F4" s="150" t="s">
        <v>454</v>
      </c>
      <c r="G4" s="150" t="s">
        <v>453</v>
      </c>
      <c r="H4" s="150" t="s">
        <v>447</v>
      </c>
      <c r="I4" s="150" t="s">
        <v>448</v>
      </c>
      <c r="J4" s="150" t="s">
        <v>450</v>
      </c>
      <c r="K4" s="150" t="s">
        <v>451</v>
      </c>
      <c r="L4" s="150" t="s">
        <v>452</v>
      </c>
      <c r="M4" s="150" t="s">
        <v>442</v>
      </c>
      <c r="N4" s="150" t="s">
        <v>37</v>
      </c>
      <c r="O4" s="150" t="s">
        <v>441</v>
      </c>
      <c r="P4" s="153" t="s">
        <v>491</v>
      </c>
    </row>
    <row r="5" spans="1:26" s="44" customFormat="1" ht="11.25" customHeight="1">
      <c r="A5" s="65" t="s">
        <v>71</v>
      </c>
      <c r="B5" s="65" t="s">
        <v>495</v>
      </c>
      <c r="C5" s="65"/>
      <c r="D5" s="66">
        <v>1</v>
      </c>
      <c r="E5" s="94" t="s">
        <v>73</v>
      </c>
      <c r="F5" s="49">
        <f ca="1">(INDIRECT("'Data'!C"&amp;($C$1)))</f>
        <v>111011</v>
      </c>
      <c r="G5" s="50" t="s">
        <v>98</v>
      </c>
      <c r="H5" s="49" t="str">
        <f ca="1">(INDIRECT("'Data'!F"&amp;($C$1)))</f>
        <v>EXCHANGE GAS METER TO SECURE SMART CREDIT</v>
      </c>
      <c r="I5" s="48" t="str">
        <f ca="1">(INDIRECT("'Data'!E"&amp;($C$1)))</f>
        <v>S</v>
      </c>
      <c r="J5" s="48">
        <f ca="1">(INDIRECT("'Data'!AS"&amp;($C$1)))</f>
        <v>0</v>
      </c>
      <c r="K5" s="48" t="str">
        <f ca="1">(INDIRECT("'Data'!AT"&amp;($C$1)))</f>
        <v>TPJR00530</v>
      </c>
      <c r="L5" s="48">
        <f ca="1">(INDIRECT("'Data'!AU"&amp;($C$1)))</f>
        <v>0</v>
      </c>
      <c r="M5" s="48">
        <f ca="1">(INDIRECT("'Data'!AV"&amp;($C$1)))</f>
        <v>645</v>
      </c>
      <c r="N5" s="48" t="str">
        <f ca="1">(INDIRECT("'Data'!AW"&amp;($C$1)))</f>
        <v>EXCH1 ROAD</v>
      </c>
      <c r="O5" s="49" t="str">
        <f ca="1">CONCATENATE(RIGHT((INDIRECT("'Data'!X"&amp;($C$1))),5),"-",RIGHT(R7&amp;(INDIRECT("'Data'!Y"&amp;($C$1))),5))</f>
        <v>FRST-d-645</v>
      </c>
      <c r="P5" s="86"/>
      <c r="Q5" s="46"/>
      <c r="R5" s="46"/>
      <c r="S5" s="46"/>
    </row>
    <row r="6" spans="1:26" s="150" customFormat="1" ht="6.75">
      <c r="A6" s="150" t="s">
        <v>68</v>
      </c>
      <c r="B6" s="150" t="s">
        <v>455</v>
      </c>
      <c r="C6" s="150" t="s">
        <v>443</v>
      </c>
      <c r="D6" s="150" t="s">
        <v>444</v>
      </c>
      <c r="E6" s="150" t="s">
        <v>493</v>
      </c>
      <c r="F6" s="150" t="s">
        <v>447</v>
      </c>
      <c r="G6" s="150" t="s">
        <v>450</v>
      </c>
      <c r="H6" s="150" t="s">
        <v>451</v>
      </c>
      <c r="I6" s="150" t="s">
        <v>452</v>
      </c>
      <c r="J6" s="150" t="s">
        <v>442</v>
      </c>
      <c r="K6" s="150" t="s">
        <v>37</v>
      </c>
      <c r="L6" s="150" t="s">
        <v>448</v>
      </c>
      <c r="M6" s="150" t="s">
        <v>449</v>
      </c>
      <c r="N6" s="150" t="s">
        <v>439</v>
      </c>
      <c r="O6" s="150" t="s">
        <v>78</v>
      </c>
      <c r="P6" s="150" t="s">
        <v>79</v>
      </c>
      <c r="Q6" s="150" t="s">
        <v>87</v>
      </c>
      <c r="R6" s="150" t="s">
        <v>80</v>
      </c>
      <c r="S6" s="150" t="s">
        <v>110</v>
      </c>
      <c r="T6" s="150" t="s">
        <v>114</v>
      </c>
      <c r="U6" s="150" t="s">
        <v>90</v>
      </c>
      <c r="V6" s="150" t="s">
        <v>81</v>
      </c>
      <c r="W6" s="150" t="s">
        <v>88</v>
      </c>
      <c r="X6" s="150" t="s">
        <v>276</v>
      </c>
      <c r="Y6" s="150" t="s">
        <v>457</v>
      </c>
      <c r="Z6" s="153" t="s">
        <v>491</v>
      </c>
    </row>
    <row r="7" spans="1:26" s="44" customFormat="1" ht="11.25" customHeight="1">
      <c r="A7" s="65" t="s">
        <v>71</v>
      </c>
      <c r="B7" s="65" t="s">
        <v>496</v>
      </c>
      <c r="C7" s="65"/>
      <c r="D7" s="67">
        <v>1</v>
      </c>
      <c r="E7" s="94" t="s">
        <v>73</v>
      </c>
      <c r="F7" s="49" t="str">
        <f ca="1">(INDIRECT("'Data'!F"&amp;($C$1)))</f>
        <v>EXCHANGE GAS METER TO SECURE SMART CREDIT</v>
      </c>
      <c r="G7" s="48">
        <f ca="1">(INDIRECT("'Data'!AS"&amp;($C$1)))</f>
        <v>0</v>
      </c>
      <c r="H7" s="48" t="str">
        <f ca="1">(INDIRECT("'Data'!AT"&amp;($C$1)))</f>
        <v>TPJR00530</v>
      </c>
      <c r="I7" s="48">
        <f ca="1">(INDIRECT("'Data'!AU"&amp;($C$1)))</f>
        <v>0</v>
      </c>
      <c r="J7" s="48">
        <f ca="1">(INDIRECT("'Data'!AV"&amp;($C$1)))</f>
        <v>645</v>
      </c>
      <c r="K7" s="48" t="str">
        <f ca="1">(INDIRECT("'Data'!AW"&amp;($C$1)))</f>
        <v>EXCH1 ROAD</v>
      </c>
      <c r="L7" s="48" t="str">
        <f ca="1">(INDIRECT("'Data'!E"&amp;($C$1)))</f>
        <v>S</v>
      </c>
      <c r="M7" s="48" t="str">
        <f ca="1">(INDIRECT("'Data'!AI"&amp;($C$1)))</f>
        <v>2018-08-13 08:00</v>
      </c>
      <c r="N7" s="49">
        <f ca="1">(INDIRECT("'Data'!BG"&amp;($C$1)))</f>
        <v>0</v>
      </c>
      <c r="O7" s="49" t="str">
        <f ca="1">(INDIRECT("'Data'!AH"&amp;($C$1)))</f>
        <v>Site_Contact_645</v>
      </c>
      <c r="P7" s="50" t="str">
        <f ca="1">(INDIRECT("'Data'!AE"&amp;($C$1)))</f>
        <v>LAST_METER-645</v>
      </c>
      <c r="Q7" s="50" t="str">
        <f ca="1">(INDIRECT("'Data'!DK"&amp;($C$1)))</f>
        <v>G</v>
      </c>
      <c r="R7" s="50">
        <f ca="1">(INDIRECT("'Data'!D"&amp;($C$1)))</f>
        <v>645</v>
      </c>
      <c r="S7" s="50" t="str">
        <f ca="1">INDIRECT("'Data'!M"&amp;($C$1))</f>
        <v>Q</v>
      </c>
      <c r="T7" s="50" t="str">
        <f ca="1">INDIRECT("'Data'!AM"&amp;($C$1))</f>
        <v>0115645</v>
      </c>
      <c r="U7" s="50" t="str">
        <f ca="1">(INDIRECT("'Data'!N"&amp;($C$1)))</f>
        <v>UK_1_F</v>
      </c>
      <c r="V7" s="50">
        <f ca="1">(INDIRECT("'Data'!O"&amp;($C$1)))</f>
        <v>0</v>
      </c>
      <c r="W7" s="50" t="str">
        <f ca="1">(INDIRECT("'Data'!P"&amp;($C$1)))</f>
        <v>SN-645</v>
      </c>
      <c r="X7" s="50">
        <f ca="1">(INDIRECT("'Data'!C"&amp;($C$1)))</f>
        <v>111011</v>
      </c>
      <c r="Y7" s="50" t="str">
        <f ca="1">(INDIRECT("'Data'!Q"&amp;($C$1)))</f>
        <v>SI-645</v>
      </c>
      <c r="Z7" s="86"/>
    </row>
    <row r="8" spans="1:26" s="150" customFormat="1" ht="6.75">
      <c r="A8" s="150" t="s">
        <v>68</v>
      </c>
      <c r="B8" s="150" t="s">
        <v>455</v>
      </c>
      <c r="C8" s="150" t="s">
        <v>443</v>
      </c>
      <c r="D8" s="150" t="s">
        <v>444</v>
      </c>
      <c r="E8" s="150" t="s">
        <v>493</v>
      </c>
      <c r="F8" s="150" t="s">
        <v>447</v>
      </c>
      <c r="G8" s="150" t="s">
        <v>37</v>
      </c>
      <c r="H8" s="150" t="s">
        <v>458</v>
      </c>
      <c r="I8" s="150" t="s">
        <v>459</v>
      </c>
      <c r="J8" s="150" t="s">
        <v>261</v>
      </c>
      <c r="K8" s="150" t="s">
        <v>460</v>
      </c>
      <c r="L8" s="153" t="s">
        <v>491</v>
      </c>
    </row>
    <row r="9" spans="1:26" s="44" customFormat="1" ht="11.25" customHeight="1">
      <c r="A9" s="65" t="s">
        <v>71</v>
      </c>
      <c r="B9" s="65" t="s">
        <v>497</v>
      </c>
      <c r="C9" s="65"/>
      <c r="D9" s="67">
        <v>1</v>
      </c>
      <c r="E9" s="94" t="s">
        <v>73</v>
      </c>
      <c r="F9" s="49" t="str">
        <f ca="1">(INDIRECT("'Data'!F"&amp;($C$1)))</f>
        <v>EXCHANGE GAS METER TO SECURE SMART CREDIT</v>
      </c>
      <c r="G9" s="48" t="str">
        <f ca="1">(INDIRECT("'Data'!AW"&amp;($C$1)))</f>
        <v>EXCH1 ROAD</v>
      </c>
      <c r="H9" s="49">
        <f ca="1">(INDIRECT("'Data'!BL"&amp;($C$1)))</f>
        <v>0</v>
      </c>
      <c r="I9" s="49">
        <f ca="1">(INDIRECT("'Data'!BJ"&amp;($C$1)))</f>
        <v>0</v>
      </c>
      <c r="J9" s="49">
        <f ca="1">(INDIRECT("'Data'!BX"&amp;($C$1)))</f>
        <v>0</v>
      </c>
      <c r="K9" s="49">
        <f ca="1">(INDIRECT("'Data'!BO"&amp;($C$1)))</f>
        <v>0</v>
      </c>
      <c r="L9" s="86"/>
    </row>
    <row r="10" spans="1:26" s="150" customFormat="1" ht="6.75">
      <c r="A10" s="150" t="s">
        <v>68</v>
      </c>
      <c r="B10" s="150" t="s">
        <v>455</v>
      </c>
      <c r="C10" s="150" t="s">
        <v>443</v>
      </c>
      <c r="D10" s="150" t="s">
        <v>444</v>
      </c>
      <c r="E10" s="150" t="s">
        <v>493</v>
      </c>
      <c r="F10" s="150" t="s">
        <v>262</v>
      </c>
      <c r="G10" s="150" t="s">
        <v>447</v>
      </c>
      <c r="H10" s="150" t="s">
        <v>37</v>
      </c>
      <c r="I10" s="150" t="s">
        <v>43</v>
      </c>
      <c r="J10" s="150" t="s">
        <v>462</v>
      </c>
      <c r="K10" s="150" t="s">
        <v>465</v>
      </c>
      <c r="L10" s="150" t="s">
        <v>460</v>
      </c>
      <c r="M10" s="153" t="s">
        <v>491</v>
      </c>
    </row>
    <row r="11" spans="1:26" s="44" customFormat="1" ht="11.25" customHeight="1">
      <c r="A11" s="65" t="s">
        <v>71</v>
      </c>
      <c r="B11" s="65" t="s">
        <v>498</v>
      </c>
      <c r="C11" s="65"/>
      <c r="D11" s="66">
        <v>1</v>
      </c>
      <c r="E11" s="95" t="s">
        <v>73</v>
      </c>
      <c r="F11" s="49">
        <f ca="1">(INDIRECT("'Data'!BG"&amp;($C$1)))</f>
        <v>0</v>
      </c>
      <c r="G11" s="49" t="str">
        <f ca="1">(INDIRECT("'Data'!F"&amp;($C$1)))</f>
        <v>EXCHANGE GAS METER TO SECURE SMART CREDIT</v>
      </c>
      <c r="H11" s="48" t="str">
        <f ca="1">(INDIRECT("'Data'!AW"&amp;($C$1)))</f>
        <v>EXCH1 ROAD</v>
      </c>
      <c r="I11" s="49" t="str">
        <f ca="1">(INDIRECT("'Data'!AH"&amp;($C$1)))</f>
        <v>Site_Contact_645</v>
      </c>
      <c r="J11" s="49" t="str">
        <f ca="1">(INDIRECT("'Data'!BA"&amp;($C$1)))</f>
        <v>C</v>
      </c>
      <c r="K11" s="49">
        <f ca="1">(INDIRECT("'Data'!BD"&amp;($C$1)))</f>
        <v>0</v>
      </c>
      <c r="L11" s="49">
        <f ca="1">(INDIRECT("'Data'!BO"&amp;($C$1)))</f>
        <v>0</v>
      </c>
      <c r="M11" s="86"/>
    </row>
    <row r="12" spans="1:26" s="150" customFormat="1" ht="6.75">
      <c r="A12" s="150" t="s">
        <v>68</v>
      </c>
      <c r="B12" s="150" t="s">
        <v>455</v>
      </c>
      <c r="C12" s="150" t="s">
        <v>443</v>
      </c>
      <c r="D12" s="150" t="s">
        <v>444</v>
      </c>
      <c r="E12" s="150" t="s">
        <v>493</v>
      </c>
      <c r="F12" s="150" t="s">
        <v>475</v>
      </c>
      <c r="G12" s="150" t="s">
        <v>439</v>
      </c>
      <c r="H12" s="150" t="s">
        <v>43</v>
      </c>
      <c r="I12" s="150" t="s">
        <v>447</v>
      </c>
      <c r="J12" s="150" t="s">
        <v>450</v>
      </c>
      <c r="K12" s="150" t="s">
        <v>451</v>
      </c>
      <c r="L12" s="150" t="s">
        <v>452</v>
      </c>
      <c r="M12" s="150" t="s">
        <v>442</v>
      </c>
      <c r="N12" s="150" t="s">
        <v>37</v>
      </c>
      <c r="O12" s="150" t="s">
        <v>468</v>
      </c>
      <c r="P12" s="154" t="s">
        <v>469</v>
      </c>
      <c r="Q12" s="154" t="s">
        <v>471</v>
      </c>
      <c r="R12" s="150" t="s">
        <v>473</v>
      </c>
      <c r="S12" s="154" t="s">
        <v>470</v>
      </c>
      <c r="T12" s="150" t="s">
        <v>472</v>
      </c>
      <c r="U12" s="153" t="s">
        <v>491</v>
      </c>
    </row>
    <row r="13" spans="1:26" s="58" customFormat="1" ht="11.25" customHeight="1">
      <c r="A13" s="65" t="s">
        <v>71</v>
      </c>
      <c r="B13" s="65" t="s">
        <v>467</v>
      </c>
      <c r="C13" s="65"/>
      <c r="D13" s="67">
        <v>1</v>
      </c>
      <c r="E13" s="95" t="s">
        <v>73</v>
      </c>
      <c r="F13" s="48">
        <f ca="1">(INDIRECT("'Data'!CD"&amp;($C$1)))</f>
        <v>0</v>
      </c>
      <c r="G13" s="49">
        <f ca="1">(INDIRECT("'Data'!BG"&amp;($C$1)))</f>
        <v>0</v>
      </c>
      <c r="H13" s="49" t="str">
        <f ca="1">(INDIRECT("'Data'!AH"&amp;($C$1)))</f>
        <v>Site_Contact_645</v>
      </c>
      <c r="I13" s="49" t="str">
        <f ca="1">(INDIRECT("'Data'!F"&amp;($C$1)))</f>
        <v>EXCHANGE GAS METER TO SECURE SMART CREDIT</v>
      </c>
      <c r="J13" s="48">
        <f ca="1">(INDIRECT("'Data'!AS"&amp;($C$1)))</f>
        <v>0</v>
      </c>
      <c r="K13" s="48" t="str">
        <f ca="1">(INDIRECT("'Data'!AT"&amp;($C$1)))</f>
        <v>TPJR00530</v>
      </c>
      <c r="L13" s="48">
        <f ca="1">(INDIRECT("'Data'!AU"&amp;($C$1)))</f>
        <v>0</v>
      </c>
      <c r="M13" s="48">
        <f ca="1">(INDIRECT("'Data'!AV"&amp;($C$1)))</f>
        <v>645</v>
      </c>
      <c r="N13" s="48" t="str">
        <f ca="1">(INDIRECT("'Data'!AW"&amp;($C$1)))</f>
        <v>EXCH1 ROAD</v>
      </c>
      <c r="O13" s="58" t="s">
        <v>73</v>
      </c>
      <c r="P13" s="59" t="s">
        <v>73</v>
      </c>
      <c r="Q13" s="59" t="s">
        <v>265</v>
      </c>
      <c r="R13" s="60" t="s">
        <v>73</v>
      </c>
      <c r="S13" s="59" t="s">
        <v>75</v>
      </c>
      <c r="T13" s="61" t="s">
        <v>100</v>
      </c>
      <c r="U13" s="86"/>
    </row>
    <row r="14" spans="1:26" s="150" customFormat="1" ht="6.75">
      <c r="A14" s="150" t="s">
        <v>68</v>
      </c>
      <c r="B14" s="150" t="s">
        <v>455</v>
      </c>
      <c r="C14" s="150" t="s">
        <v>443</v>
      </c>
      <c r="D14" s="150" t="s">
        <v>444</v>
      </c>
      <c r="E14" s="150" t="s">
        <v>493</v>
      </c>
      <c r="F14" s="150" t="s">
        <v>475</v>
      </c>
      <c r="G14" s="150" t="s">
        <v>439</v>
      </c>
      <c r="H14" s="150" t="s">
        <v>447</v>
      </c>
      <c r="I14" s="150" t="s">
        <v>37</v>
      </c>
      <c r="J14" s="150" t="s">
        <v>94</v>
      </c>
      <c r="K14" s="153" t="s">
        <v>491</v>
      </c>
      <c r="L14" s="154" t="s">
        <v>77</v>
      </c>
      <c r="M14" s="154" t="s">
        <v>77</v>
      </c>
      <c r="N14" s="155" t="s">
        <v>77</v>
      </c>
      <c r="O14" s="154"/>
      <c r="P14" s="154"/>
      <c r="R14" s="154"/>
    </row>
    <row r="15" spans="1:26" s="44" customFormat="1" ht="11.25" customHeight="1">
      <c r="A15" s="65" t="s">
        <v>71</v>
      </c>
      <c r="B15" s="65" t="s">
        <v>474</v>
      </c>
      <c r="C15" s="65"/>
      <c r="D15" s="67">
        <v>1</v>
      </c>
      <c r="E15" s="94" t="s">
        <v>73</v>
      </c>
      <c r="F15" s="48">
        <f ca="1">(INDIRECT("'Data'!CD"&amp;($C$1)))</f>
        <v>0</v>
      </c>
      <c r="G15" s="49">
        <f ca="1">(INDIRECT("'Data'!BG"&amp;($C$1)))</f>
        <v>0</v>
      </c>
      <c r="H15" s="49" t="str">
        <f ca="1">(INDIRECT("'Data'!F"&amp;($C$1)))</f>
        <v>EXCHANGE GAS METER TO SECURE SMART CREDIT</v>
      </c>
      <c r="I15" s="48" t="str">
        <f ca="1">(INDIRECT("'Data'!AW"&amp;($C$1)))</f>
        <v>EXCH1 ROAD</v>
      </c>
      <c r="J15" s="44" t="s">
        <v>73</v>
      </c>
      <c r="K15" s="86"/>
      <c r="L15" s="62"/>
      <c r="M15" s="62"/>
      <c r="N15" s="63"/>
      <c r="O15" s="62"/>
      <c r="P15" s="62"/>
      <c r="Q15" s="47"/>
      <c r="R15" s="62"/>
    </row>
    <row r="16" spans="1:26" s="150" customFormat="1" ht="6.75">
      <c r="A16" s="150" t="s">
        <v>68</v>
      </c>
      <c r="B16" s="150" t="s">
        <v>455</v>
      </c>
      <c r="C16" s="150" t="s">
        <v>443</v>
      </c>
      <c r="D16" s="150" t="s">
        <v>444</v>
      </c>
      <c r="E16" s="150" t="s">
        <v>493</v>
      </c>
      <c r="F16" s="150" t="s">
        <v>477</v>
      </c>
      <c r="G16" s="150" t="s">
        <v>478</v>
      </c>
      <c r="H16" s="154" t="s">
        <v>480</v>
      </c>
      <c r="I16" s="150" t="s">
        <v>96</v>
      </c>
      <c r="J16" s="154" t="s">
        <v>481</v>
      </c>
      <c r="K16" s="154" t="s">
        <v>482</v>
      </c>
      <c r="L16" s="150" t="s">
        <v>475</v>
      </c>
      <c r="M16" s="150" t="s">
        <v>817</v>
      </c>
      <c r="N16" s="150" t="s">
        <v>479</v>
      </c>
      <c r="O16" s="150" t="s">
        <v>483</v>
      </c>
      <c r="P16" s="153" t="s">
        <v>491</v>
      </c>
    </row>
    <row r="17" spans="1:45" s="58" customFormat="1" ht="11.25" customHeight="1">
      <c r="A17" s="69" t="s">
        <v>71</v>
      </c>
      <c r="B17" s="69" t="s">
        <v>97</v>
      </c>
      <c r="C17" s="70"/>
      <c r="D17" s="71">
        <v>1</v>
      </c>
      <c r="E17" s="95" t="s">
        <v>73</v>
      </c>
      <c r="F17" s="73" t="s">
        <v>73</v>
      </c>
      <c r="G17" s="73" t="s">
        <v>73</v>
      </c>
      <c r="H17" s="74" t="s">
        <v>77</v>
      </c>
      <c r="I17" s="73" t="s">
        <v>77</v>
      </c>
      <c r="J17" s="74" t="s">
        <v>77</v>
      </c>
      <c r="K17" s="74" t="s">
        <v>77</v>
      </c>
      <c r="L17" s="48">
        <f ca="1">(INDIRECT("'Data'!CD"&amp;($C$1)))</f>
        <v>0</v>
      </c>
      <c r="M17" s="75"/>
      <c r="N17" s="73"/>
      <c r="O17" s="75"/>
      <c r="P17" s="86"/>
    </row>
    <row r="18" spans="1:45" s="153" customFormat="1" ht="6.75">
      <c r="A18" s="153" t="s">
        <v>68</v>
      </c>
      <c r="B18" s="153" t="s">
        <v>455</v>
      </c>
      <c r="C18" s="150" t="s">
        <v>443</v>
      </c>
      <c r="D18" s="150" t="s">
        <v>444</v>
      </c>
      <c r="E18" s="153" t="s">
        <v>493</v>
      </c>
      <c r="F18" s="153" t="s">
        <v>501</v>
      </c>
      <c r="G18" s="153" t="s">
        <v>507</v>
      </c>
      <c r="H18" s="153" t="s">
        <v>506</v>
      </c>
      <c r="I18" s="153" t="s">
        <v>724</v>
      </c>
      <c r="J18" s="153" t="s">
        <v>508</v>
      </c>
      <c r="K18" s="153" t="s">
        <v>504</v>
      </c>
      <c r="L18" s="153" t="s">
        <v>722</v>
      </c>
      <c r="M18" s="153" t="s">
        <v>491</v>
      </c>
    </row>
    <row r="19" spans="1:45" s="88" customFormat="1" ht="10.5" customHeight="1">
      <c r="A19" s="84" t="s">
        <v>71</v>
      </c>
      <c r="B19" s="84" t="s">
        <v>720</v>
      </c>
      <c r="C19" s="85"/>
      <c r="D19" s="71">
        <v>1</v>
      </c>
      <c r="E19" s="96" t="s">
        <v>73</v>
      </c>
      <c r="F19" s="86" t="s">
        <v>75</v>
      </c>
      <c r="G19" s="86"/>
      <c r="H19" s="86"/>
      <c r="I19" s="86"/>
      <c r="J19" s="86"/>
      <c r="K19" s="86"/>
      <c r="L19" s="86"/>
      <c r="M19" s="86"/>
      <c r="N19" s="86"/>
      <c r="O19" s="86"/>
      <c r="P19" s="86"/>
      <c r="Q19" s="86"/>
      <c r="R19" s="86"/>
      <c r="S19" s="86"/>
      <c r="T19" s="86"/>
      <c r="U19" s="86"/>
      <c r="V19" s="131"/>
      <c r="W19" s="86"/>
      <c r="X19" s="86"/>
      <c r="AE19" s="86"/>
      <c r="AG19" s="86"/>
    </row>
    <row r="20" spans="1:45" s="153" customFormat="1" ht="6.75">
      <c r="A20" s="153" t="s">
        <v>68</v>
      </c>
      <c r="B20" s="153" t="s">
        <v>455</v>
      </c>
      <c r="C20" s="150" t="s">
        <v>443</v>
      </c>
      <c r="D20" s="150" t="s">
        <v>444</v>
      </c>
      <c r="E20" s="153" t="s">
        <v>493</v>
      </c>
      <c r="F20" s="153" t="s">
        <v>725</v>
      </c>
      <c r="G20" s="153" t="s">
        <v>520</v>
      </c>
      <c r="H20" s="153" t="s">
        <v>726</v>
      </c>
      <c r="I20" s="153" t="s">
        <v>728</v>
      </c>
      <c r="J20" s="153" t="s">
        <v>553</v>
      </c>
      <c r="K20" s="153" t="s">
        <v>729</v>
      </c>
      <c r="L20" s="153" t="s">
        <v>516</v>
      </c>
      <c r="M20" s="153" t="s">
        <v>730</v>
      </c>
      <c r="N20" s="153" t="s">
        <v>524</v>
      </c>
      <c r="O20" s="153" t="s">
        <v>491</v>
      </c>
    </row>
    <row r="21" spans="1:45" s="88" customFormat="1" ht="10.5" customHeight="1">
      <c r="A21" s="84" t="s">
        <v>71</v>
      </c>
      <c r="B21" s="84" t="s">
        <v>723</v>
      </c>
      <c r="C21" s="85"/>
      <c r="D21" s="71">
        <v>1</v>
      </c>
      <c r="E21" s="96" t="s">
        <v>73</v>
      </c>
      <c r="F21" s="86"/>
      <c r="G21" s="86" t="s">
        <v>73</v>
      </c>
      <c r="H21" s="86" t="s">
        <v>727</v>
      </c>
      <c r="I21" s="86"/>
      <c r="J21" s="86"/>
      <c r="K21" s="86"/>
      <c r="L21" s="86"/>
      <c r="M21" s="86"/>
      <c r="N21" s="86"/>
      <c r="O21" s="86"/>
    </row>
    <row r="22" spans="1:45" s="153" customFormat="1" ht="6.75">
      <c r="A22" s="153" t="s">
        <v>68</v>
      </c>
      <c r="B22" s="153" t="s">
        <v>455</v>
      </c>
      <c r="C22" s="150" t="s">
        <v>443</v>
      </c>
      <c r="D22" s="150" t="s">
        <v>444</v>
      </c>
      <c r="E22" s="153" t="s">
        <v>493</v>
      </c>
      <c r="F22" s="153" t="s">
        <v>751</v>
      </c>
      <c r="G22" s="153" t="s">
        <v>752</v>
      </c>
      <c r="H22" s="153" t="s">
        <v>491</v>
      </c>
    </row>
    <row r="23" spans="1:45" s="88" customFormat="1" ht="10.5" customHeight="1">
      <c r="A23" s="84" t="s">
        <v>71</v>
      </c>
      <c r="B23" s="84" t="s">
        <v>783</v>
      </c>
      <c r="C23" s="85"/>
      <c r="D23" s="71">
        <v>1</v>
      </c>
      <c r="E23" s="96" t="s">
        <v>73</v>
      </c>
      <c r="F23" s="86" t="s">
        <v>73</v>
      </c>
      <c r="G23" s="86" t="s">
        <v>73</v>
      </c>
      <c r="H23" s="86"/>
      <c r="I23" s="86"/>
      <c r="J23" s="86"/>
      <c r="K23" s="86"/>
      <c r="L23" s="86"/>
      <c r="M23" s="86"/>
      <c r="N23" s="86"/>
      <c r="O23" s="86"/>
      <c r="P23" s="86"/>
      <c r="Q23" s="86"/>
      <c r="R23" s="86"/>
      <c r="S23" s="86"/>
      <c r="T23" s="86"/>
      <c r="U23" s="86"/>
      <c r="V23" s="86"/>
      <c r="W23" s="86"/>
      <c r="X23" s="131"/>
      <c r="Y23" s="86"/>
      <c r="Z23" s="86"/>
      <c r="AG23" s="86"/>
      <c r="AI23" s="86"/>
    </row>
    <row r="24" spans="1:45" s="153" customFormat="1" ht="6.75">
      <c r="A24" s="153" t="s">
        <v>68</v>
      </c>
      <c r="B24" s="153" t="s">
        <v>455</v>
      </c>
      <c r="C24" s="150" t="s">
        <v>443</v>
      </c>
      <c r="D24" s="150" t="s">
        <v>444</v>
      </c>
      <c r="E24" s="153" t="s">
        <v>493</v>
      </c>
      <c r="F24" s="153" t="s">
        <v>491</v>
      </c>
    </row>
    <row r="25" spans="1:45" s="88" customFormat="1" ht="10.5" customHeight="1">
      <c r="A25" s="84" t="s">
        <v>71</v>
      </c>
      <c r="B25" s="84" t="s">
        <v>721</v>
      </c>
      <c r="C25" s="85"/>
      <c r="D25" s="71">
        <v>1</v>
      </c>
      <c r="E25" s="96" t="s">
        <v>73</v>
      </c>
      <c r="F25" s="86"/>
      <c r="G25" s="86"/>
      <c r="H25" s="86"/>
      <c r="I25" s="86"/>
      <c r="J25" s="86"/>
      <c r="K25" s="86"/>
      <c r="L25" s="86"/>
      <c r="M25" s="86"/>
      <c r="N25" s="86"/>
      <c r="O25" s="86"/>
      <c r="P25" s="86"/>
      <c r="Q25" s="86"/>
      <c r="R25" s="86"/>
      <c r="S25" s="86"/>
      <c r="T25" s="86"/>
      <c r="U25" s="86"/>
      <c r="V25" s="86"/>
      <c r="W25" s="86"/>
      <c r="X25" s="131"/>
      <c r="Y25" s="86"/>
      <c r="Z25" s="86"/>
      <c r="AG25" s="86"/>
      <c r="AI25" s="86"/>
    </row>
    <row r="26" spans="1:45" s="150" customFormat="1" ht="6.75">
      <c r="A26" s="150" t="s">
        <v>68</v>
      </c>
      <c r="B26" s="150" t="s">
        <v>455</v>
      </c>
      <c r="C26" s="150" t="s">
        <v>443</v>
      </c>
      <c r="D26" s="150" t="s">
        <v>444</v>
      </c>
      <c r="E26" s="150" t="s">
        <v>493</v>
      </c>
      <c r="F26" s="150" t="s">
        <v>733</v>
      </c>
      <c r="G26" s="150" t="s">
        <v>566</v>
      </c>
      <c r="H26" s="150" t="s">
        <v>538</v>
      </c>
      <c r="I26" s="150" t="s">
        <v>539</v>
      </c>
      <c r="J26" s="150" t="s">
        <v>540</v>
      </c>
      <c r="K26" s="150" t="s">
        <v>734</v>
      </c>
      <c r="L26" s="150" t="s">
        <v>491</v>
      </c>
    </row>
    <row r="27" spans="1:45" s="58" customFormat="1" ht="11.25">
      <c r="A27" s="69" t="s">
        <v>71</v>
      </c>
      <c r="B27" s="69" t="s">
        <v>731</v>
      </c>
      <c r="C27" s="70"/>
      <c r="D27" s="71">
        <v>1</v>
      </c>
      <c r="E27" s="95" t="s">
        <v>73</v>
      </c>
      <c r="F27" s="95" t="s">
        <v>73</v>
      </c>
      <c r="G27" s="95" t="s">
        <v>109</v>
      </c>
      <c r="H27" s="95" t="s">
        <v>108</v>
      </c>
      <c r="I27" s="95" t="s">
        <v>75</v>
      </c>
      <c r="J27" s="95"/>
    </row>
    <row r="28" spans="1:45" s="150" customFormat="1" ht="6.75">
      <c r="A28" s="150" t="s">
        <v>68</v>
      </c>
      <c r="B28" s="150" t="s">
        <v>455</v>
      </c>
      <c r="C28" s="150" t="s">
        <v>443</v>
      </c>
      <c r="D28" s="150" t="s">
        <v>444</v>
      </c>
      <c r="E28" s="150" t="s">
        <v>493</v>
      </c>
      <c r="F28" s="150" t="s">
        <v>547</v>
      </c>
      <c r="G28" s="150" t="s">
        <v>549</v>
      </c>
      <c r="H28" s="150" t="s">
        <v>546</v>
      </c>
      <c r="I28" s="150" t="s">
        <v>735</v>
      </c>
      <c r="J28" s="150" t="s">
        <v>567</v>
      </c>
      <c r="K28" s="150" t="s">
        <v>736</v>
      </c>
      <c r="L28" s="150" t="s">
        <v>737</v>
      </c>
      <c r="M28" s="150" t="s">
        <v>553</v>
      </c>
      <c r="N28" s="150" t="s">
        <v>729</v>
      </c>
      <c r="O28" s="150" t="s">
        <v>516</v>
      </c>
      <c r="P28" s="150" t="s">
        <v>491</v>
      </c>
    </row>
    <row r="29" spans="1:45" s="58" customFormat="1" ht="11.25">
      <c r="A29" s="69" t="s">
        <v>71</v>
      </c>
      <c r="B29" s="69" t="s">
        <v>732</v>
      </c>
      <c r="C29" s="70"/>
      <c r="D29" s="71">
        <v>1</v>
      </c>
      <c r="E29" s="95" t="s">
        <v>73</v>
      </c>
      <c r="F29" s="58" t="s">
        <v>73</v>
      </c>
      <c r="H29" s="58" t="s">
        <v>73</v>
      </c>
    </row>
    <row r="30" spans="1:45" s="153" customFormat="1" ht="6.75">
      <c r="A30" s="153" t="s">
        <v>68</v>
      </c>
      <c r="B30" s="153" t="s">
        <v>455</v>
      </c>
      <c r="C30" s="150" t="s">
        <v>443</v>
      </c>
      <c r="D30" s="150" t="s">
        <v>444</v>
      </c>
      <c r="E30" s="153" t="s">
        <v>493</v>
      </c>
      <c r="F30" s="153" t="s">
        <v>784</v>
      </c>
      <c r="G30" s="153" t="s">
        <v>787</v>
      </c>
      <c r="H30" s="153" t="s">
        <v>404</v>
      </c>
      <c r="I30" s="153" t="s">
        <v>785</v>
      </c>
      <c r="J30" s="153" t="s">
        <v>753</v>
      </c>
      <c r="K30" s="153" t="s">
        <v>786</v>
      </c>
      <c r="L30" s="153" t="s">
        <v>491</v>
      </c>
    </row>
    <row r="31" spans="1:45" s="88" customFormat="1" ht="10.5" customHeight="1">
      <c r="A31" s="84" t="s">
        <v>71</v>
      </c>
      <c r="B31" s="84" t="s">
        <v>788</v>
      </c>
      <c r="C31" s="85"/>
      <c r="D31" s="71">
        <v>1</v>
      </c>
      <c r="E31" s="96" t="s">
        <v>73</v>
      </c>
      <c r="F31" s="86" t="s">
        <v>73</v>
      </c>
      <c r="G31" s="86">
        <v>99</v>
      </c>
      <c r="H31" s="86">
        <v>99</v>
      </c>
      <c r="I31" s="86">
        <v>99</v>
      </c>
      <c r="J31" s="86">
        <v>99</v>
      </c>
      <c r="K31" s="86" t="s">
        <v>73</v>
      </c>
      <c r="L31" s="86"/>
      <c r="M31" s="86"/>
      <c r="N31" s="86"/>
      <c r="O31" s="86"/>
      <c r="P31" s="86"/>
      <c r="Q31" s="86"/>
      <c r="R31" s="86"/>
      <c r="S31" s="86"/>
      <c r="T31" s="86"/>
      <c r="U31" s="86"/>
      <c r="V31" s="86"/>
      <c r="W31" s="86"/>
      <c r="X31" s="131"/>
      <c r="Y31" s="86"/>
      <c r="Z31" s="86"/>
      <c r="AG31" s="86"/>
      <c r="AI31" s="86"/>
    </row>
    <row r="32" spans="1:45" s="156" customFormat="1" ht="6.75">
      <c r="A32" s="156" t="s">
        <v>68</v>
      </c>
      <c r="B32" s="150" t="s">
        <v>455</v>
      </c>
      <c r="C32" s="150" t="s">
        <v>443</v>
      </c>
      <c r="D32" s="150" t="s">
        <v>444</v>
      </c>
      <c r="E32" s="156" t="s">
        <v>493</v>
      </c>
      <c r="F32" s="156" t="s">
        <v>750</v>
      </c>
      <c r="G32" s="156" t="s">
        <v>116</v>
      </c>
      <c r="H32" s="156" t="s">
        <v>117</v>
      </c>
      <c r="I32" s="156" t="s">
        <v>123</v>
      </c>
      <c r="J32" s="156" t="s">
        <v>119</v>
      </c>
      <c r="K32" s="156" t="s">
        <v>221</v>
      </c>
      <c r="L32" s="156" t="s">
        <v>171</v>
      </c>
      <c r="M32" s="156" t="s">
        <v>172</v>
      </c>
      <c r="N32" s="156" t="s">
        <v>177</v>
      </c>
      <c r="O32" s="156" t="s">
        <v>169</v>
      </c>
      <c r="P32" s="156" t="s">
        <v>170</v>
      </c>
      <c r="Q32" s="156" t="s">
        <v>268</v>
      </c>
      <c r="R32" s="156" t="s">
        <v>173</v>
      </c>
      <c r="S32" s="156" t="s">
        <v>174</v>
      </c>
      <c r="T32" s="156" t="s">
        <v>175</v>
      </c>
      <c r="U32" s="156" t="s">
        <v>176</v>
      </c>
      <c r="V32" s="156" t="s">
        <v>178</v>
      </c>
      <c r="W32" s="156" t="s">
        <v>179</v>
      </c>
      <c r="X32" s="156" t="s">
        <v>180</v>
      </c>
      <c r="Y32" s="156" t="s">
        <v>181</v>
      </c>
      <c r="Z32" s="156" t="s">
        <v>182</v>
      </c>
      <c r="AA32" s="156" t="s">
        <v>282</v>
      </c>
      <c r="AB32" s="156" t="s">
        <v>281</v>
      </c>
      <c r="AC32" s="156" t="s">
        <v>281</v>
      </c>
      <c r="AD32" s="156" t="s">
        <v>186</v>
      </c>
      <c r="AE32" s="156" t="s">
        <v>187</v>
      </c>
      <c r="AF32" s="156" t="s">
        <v>192</v>
      </c>
      <c r="AG32" s="156" t="s">
        <v>188</v>
      </c>
      <c r="AH32" s="156" t="s">
        <v>198</v>
      </c>
      <c r="AI32" s="156" t="s">
        <v>199</v>
      </c>
      <c r="AJ32" s="156" t="s">
        <v>200</v>
      </c>
      <c r="AK32" s="156" t="s">
        <v>189</v>
      </c>
      <c r="AL32" s="156" t="s">
        <v>190</v>
      </c>
      <c r="AM32" s="156" t="s">
        <v>191</v>
      </c>
      <c r="AN32" s="156" t="s">
        <v>193</v>
      </c>
      <c r="AO32" s="156" t="s">
        <v>194</v>
      </c>
      <c r="AP32" s="156" t="s">
        <v>195</v>
      </c>
      <c r="AQ32" s="156" t="s">
        <v>196</v>
      </c>
      <c r="AR32" s="156" t="s">
        <v>197</v>
      </c>
      <c r="AS32" s="153" t="s">
        <v>491</v>
      </c>
    </row>
    <row r="33" spans="1:45" s="58" customFormat="1" ht="11.25">
      <c r="A33" s="69" t="s">
        <v>71</v>
      </c>
      <c r="B33" s="69" t="s">
        <v>568</v>
      </c>
      <c r="C33" s="70"/>
      <c r="D33" s="71">
        <v>1</v>
      </c>
      <c r="E33" s="97" t="s">
        <v>73</v>
      </c>
      <c r="F33" s="58" t="s">
        <v>73</v>
      </c>
      <c r="G33" s="61"/>
      <c r="H33" s="61" t="s">
        <v>77</v>
      </c>
      <c r="I33" s="61"/>
      <c r="J33" s="61"/>
      <c r="K33" s="61"/>
      <c r="L33" s="143">
        <f ca="1">(INDIRECT("'Data'!BL"&amp;($C$1)))</f>
        <v>0</v>
      </c>
      <c r="M33" s="143">
        <f ca="1">(INDIRECT("'Data'!BX"&amp;($C$1)))</f>
        <v>0</v>
      </c>
      <c r="N33" s="143">
        <f ca="1">(INDIRECT("'Data'!BQ"&amp;($C$1)))</f>
        <v>0</v>
      </c>
      <c r="O33" s="143">
        <f ca="1">(INDIRECT("'Data'!BX"&amp;($C$1)))</f>
        <v>0</v>
      </c>
      <c r="P33" s="143">
        <f ca="1">(INDIRECT("'Data'!BO"&amp;($C$1)))</f>
        <v>0</v>
      </c>
      <c r="Q33" s="143">
        <f ca="1">(INDIRECT("'Data'!BY"&amp;($C$1)))</f>
        <v>0</v>
      </c>
      <c r="R33" s="143">
        <f ca="1">(INDIRECT("'Data'!BZ"&amp;($C$1)))</f>
        <v>0</v>
      </c>
      <c r="S33" s="61"/>
      <c r="T33" s="61"/>
      <c r="U33" s="61"/>
      <c r="V33" s="61"/>
      <c r="W33" s="61"/>
      <c r="X33" s="61"/>
      <c r="Y33" s="60"/>
      <c r="Z33" s="61"/>
      <c r="AA33" s="61"/>
      <c r="AB33" s="61"/>
      <c r="AC33" s="61"/>
      <c r="AS33" s="86"/>
    </row>
    <row r="34" spans="1:45" s="150" customFormat="1" ht="6.75">
      <c r="A34" s="150" t="s">
        <v>68</v>
      </c>
      <c r="B34" s="150" t="s">
        <v>455</v>
      </c>
      <c r="C34" s="150" t="s">
        <v>443</v>
      </c>
      <c r="D34" s="150" t="s">
        <v>444</v>
      </c>
      <c r="E34" s="150" t="s">
        <v>493</v>
      </c>
      <c r="F34" s="150" t="s">
        <v>203</v>
      </c>
      <c r="G34" s="150" t="s">
        <v>204</v>
      </c>
      <c r="H34" s="150" t="s">
        <v>205</v>
      </c>
      <c r="I34" s="150" t="s">
        <v>284</v>
      </c>
      <c r="J34" s="150" t="s">
        <v>206</v>
      </c>
      <c r="K34" s="150" t="s">
        <v>207</v>
      </c>
      <c r="L34" s="150" t="s">
        <v>208</v>
      </c>
      <c r="M34" s="150" t="s">
        <v>209</v>
      </c>
      <c r="N34" s="150" t="s">
        <v>210</v>
      </c>
      <c r="O34" s="150" t="s">
        <v>211</v>
      </c>
      <c r="P34" s="150" t="s">
        <v>212</v>
      </c>
      <c r="Q34" s="150" t="s">
        <v>213</v>
      </c>
      <c r="R34" s="150" t="s">
        <v>214</v>
      </c>
      <c r="S34" s="150" t="s">
        <v>215</v>
      </c>
      <c r="T34" s="150" t="s">
        <v>216</v>
      </c>
      <c r="U34" s="150" t="s">
        <v>217</v>
      </c>
      <c r="V34" s="153" t="s">
        <v>491</v>
      </c>
    </row>
    <row r="35" spans="1:45" s="58" customFormat="1" ht="11.25">
      <c r="A35" s="69" t="s">
        <v>71</v>
      </c>
      <c r="B35" s="69" t="s">
        <v>570</v>
      </c>
      <c r="C35" s="70"/>
      <c r="D35" s="71">
        <v>1</v>
      </c>
      <c r="E35" s="95" t="s">
        <v>73</v>
      </c>
      <c r="F35" s="49">
        <f ca="1">(INDIRECT("'Data'!BL"&amp;($C$1)))</f>
        <v>0</v>
      </c>
      <c r="G35" s="49">
        <f ca="1">(INDIRECT("'Data'!BX"&amp;($C$1)))</f>
        <v>0</v>
      </c>
      <c r="H35" s="58" t="s">
        <v>280</v>
      </c>
      <c r="I35" s="61">
        <v>1</v>
      </c>
      <c r="N35" s="58" t="s">
        <v>303</v>
      </c>
      <c r="O35" s="58" t="s">
        <v>285</v>
      </c>
      <c r="P35" s="58" t="s">
        <v>286</v>
      </c>
      <c r="Q35" s="58" t="s">
        <v>287</v>
      </c>
      <c r="R35" s="58" t="s">
        <v>75</v>
      </c>
      <c r="S35" s="58" t="s">
        <v>219</v>
      </c>
      <c r="T35" s="58" t="s">
        <v>120</v>
      </c>
      <c r="U35" s="58" t="s">
        <v>73</v>
      </c>
      <c r="V35" s="86"/>
    </row>
    <row r="36" spans="1:45" s="150" customFormat="1" ht="6.75">
      <c r="A36" s="150" t="s">
        <v>68</v>
      </c>
      <c r="B36" s="150" t="s">
        <v>455</v>
      </c>
      <c r="C36" s="150" t="s">
        <v>443</v>
      </c>
      <c r="D36" s="150" t="s">
        <v>444</v>
      </c>
      <c r="E36" s="150" t="s">
        <v>493</v>
      </c>
      <c r="F36" s="150" t="s">
        <v>574</v>
      </c>
      <c r="G36" s="150" t="s">
        <v>575</v>
      </c>
      <c r="H36" s="153" t="s">
        <v>491</v>
      </c>
    </row>
    <row r="37" spans="1:45" s="58" customFormat="1" ht="11.25">
      <c r="A37" s="69" t="s">
        <v>71</v>
      </c>
      <c r="B37" s="69" t="s">
        <v>578</v>
      </c>
      <c r="C37" s="70"/>
      <c r="D37" s="71">
        <v>1</v>
      </c>
      <c r="E37" s="95" t="s">
        <v>73</v>
      </c>
      <c r="F37" s="58" t="s">
        <v>120</v>
      </c>
      <c r="G37" s="60" t="s">
        <v>73</v>
      </c>
      <c r="H37" s="86"/>
    </row>
    <row r="38" spans="1:45" s="150" customFormat="1" ht="6.75">
      <c r="A38" s="150" t="s">
        <v>68</v>
      </c>
      <c r="B38" s="150" t="s">
        <v>455</v>
      </c>
      <c r="C38" s="150" t="s">
        <v>443</v>
      </c>
      <c r="D38" s="150" t="s">
        <v>444</v>
      </c>
      <c r="E38" s="150" t="s">
        <v>493</v>
      </c>
      <c r="F38" s="150" t="s">
        <v>579</v>
      </c>
      <c r="G38" s="150" t="s">
        <v>577</v>
      </c>
      <c r="H38" s="150" t="s">
        <v>83</v>
      </c>
      <c r="I38" s="150" t="s">
        <v>584</v>
      </c>
      <c r="J38" s="150" t="s">
        <v>576</v>
      </c>
      <c r="K38" s="150" t="s">
        <v>220</v>
      </c>
      <c r="L38" s="153" t="s">
        <v>491</v>
      </c>
    </row>
    <row r="39" spans="1:45" s="78" customFormat="1" ht="11.25" customHeight="1">
      <c r="A39" s="69" t="s">
        <v>71</v>
      </c>
      <c r="B39" s="69" t="s">
        <v>580</v>
      </c>
      <c r="C39" s="70" t="s">
        <v>77</v>
      </c>
      <c r="D39" s="71">
        <v>1</v>
      </c>
      <c r="E39" s="95" t="s">
        <v>73</v>
      </c>
      <c r="F39" s="74" t="s">
        <v>754</v>
      </c>
      <c r="G39" s="74" t="s">
        <v>755</v>
      </c>
      <c r="H39" s="74" t="s">
        <v>756</v>
      </c>
      <c r="I39" s="61"/>
      <c r="J39" s="74" t="s">
        <v>124</v>
      </c>
      <c r="K39" s="75" t="s">
        <v>585</v>
      </c>
      <c r="L39" s="86"/>
      <c r="M39" s="58"/>
      <c r="N39" s="58"/>
      <c r="O39" s="58"/>
      <c r="P39" s="58"/>
      <c r="Q39" s="58"/>
      <c r="R39" s="58"/>
      <c r="S39" s="58"/>
      <c r="T39" s="58"/>
      <c r="U39" s="58"/>
      <c r="V39" s="58"/>
      <c r="W39" s="58"/>
      <c r="X39" s="58"/>
      <c r="Y39" s="58"/>
      <c r="Z39" s="58"/>
      <c r="AA39" s="58"/>
      <c r="AB39" s="58"/>
      <c r="AC39" s="58"/>
      <c r="AD39" s="58"/>
      <c r="AE39" s="58"/>
      <c r="AF39" s="58"/>
      <c r="AG39" s="58"/>
      <c r="AH39" s="58"/>
      <c r="AI39" s="58"/>
      <c r="AJ39" s="58"/>
      <c r="AK39" s="58"/>
      <c r="AL39" s="58"/>
      <c r="AM39" s="58"/>
      <c r="AN39" s="58"/>
      <c r="AO39" s="58"/>
      <c r="AP39" s="58"/>
      <c r="AQ39" s="58"/>
      <c r="AR39" s="58"/>
      <c r="AS39" s="58"/>
    </row>
    <row r="40" spans="1:45" s="150" customFormat="1" ht="6.75">
      <c r="A40" s="150" t="s">
        <v>68</v>
      </c>
      <c r="B40" s="150" t="s">
        <v>455</v>
      </c>
      <c r="C40" s="150" t="s">
        <v>443</v>
      </c>
      <c r="D40" s="150" t="s">
        <v>444</v>
      </c>
      <c r="E40" s="150" t="s">
        <v>493</v>
      </c>
      <c r="F40" s="150" t="s">
        <v>318</v>
      </c>
      <c r="G40" s="150" t="s">
        <v>587</v>
      </c>
      <c r="H40" s="150" t="s">
        <v>319</v>
      </c>
      <c r="I40" s="150" t="s">
        <v>125</v>
      </c>
      <c r="J40" s="150" t="s">
        <v>588</v>
      </c>
      <c r="K40" s="150" t="s">
        <v>589</v>
      </c>
      <c r="L40" s="150" t="s">
        <v>320</v>
      </c>
      <c r="M40" s="150" t="s">
        <v>321</v>
      </c>
      <c r="N40" s="150" t="s">
        <v>89</v>
      </c>
      <c r="O40" s="150" t="s">
        <v>590</v>
      </c>
      <c r="P40" s="150" t="s">
        <v>419</v>
      </c>
      <c r="Q40" s="153" t="s">
        <v>491</v>
      </c>
    </row>
    <row r="41" spans="1:45" s="79" customFormat="1" ht="11.25">
      <c r="A41" s="69" t="s">
        <v>71</v>
      </c>
      <c r="B41" s="69" t="s">
        <v>586</v>
      </c>
      <c r="C41" s="69"/>
      <c r="D41" s="71">
        <v>1</v>
      </c>
      <c r="E41" s="95" t="s">
        <v>73</v>
      </c>
      <c r="F41" s="76" t="s">
        <v>73</v>
      </c>
      <c r="G41" s="76" t="s">
        <v>73</v>
      </c>
      <c r="H41" s="76" t="s">
        <v>322</v>
      </c>
      <c r="I41" s="76" t="s">
        <v>323</v>
      </c>
      <c r="J41" s="76" t="s">
        <v>73</v>
      </c>
      <c r="K41" s="76" t="s">
        <v>73</v>
      </c>
      <c r="L41" s="78" t="s">
        <v>73</v>
      </c>
      <c r="M41" s="78" t="s">
        <v>73</v>
      </c>
      <c r="N41" s="76" t="s">
        <v>73</v>
      </c>
      <c r="O41" s="78" t="s">
        <v>73</v>
      </c>
      <c r="P41" s="76" t="s">
        <v>73</v>
      </c>
      <c r="Q41" s="86"/>
      <c r="R41" s="78"/>
      <c r="S41" s="78"/>
      <c r="T41" s="78"/>
      <c r="U41" s="78"/>
      <c r="V41" s="78"/>
      <c r="W41" s="78"/>
      <c r="X41" s="78"/>
      <c r="Y41" s="78"/>
      <c r="Z41" s="78"/>
      <c r="AA41" s="78"/>
      <c r="AB41" s="78"/>
      <c r="AC41" s="78"/>
      <c r="AD41" s="78"/>
      <c r="AE41" s="78"/>
      <c r="AF41" s="78"/>
      <c r="AG41" s="78"/>
      <c r="AH41" s="78"/>
      <c r="AI41" s="78"/>
      <c r="AJ41" s="78"/>
      <c r="AK41" s="78"/>
      <c r="AL41" s="78"/>
      <c r="AM41" s="78"/>
      <c r="AN41" s="78"/>
      <c r="AO41" s="78"/>
      <c r="AP41" s="78"/>
      <c r="AQ41" s="78"/>
      <c r="AR41" s="78"/>
      <c r="AS41" s="78"/>
    </row>
    <row r="42" spans="1:45" s="150" customFormat="1" ht="6.75">
      <c r="A42" s="150" t="s">
        <v>68</v>
      </c>
      <c r="B42" s="150" t="s">
        <v>455</v>
      </c>
      <c r="C42" s="150" t="s">
        <v>443</v>
      </c>
      <c r="D42" s="150" t="s">
        <v>444</v>
      </c>
      <c r="E42" s="150" t="s">
        <v>493</v>
      </c>
      <c r="F42" s="150" t="s">
        <v>591</v>
      </c>
      <c r="G42" s="150" t="s">
        <v>593</v>
      </c>
      <c r="H42" s="150" t="s">
        <v>592</v>
      </c>
      <c r="I42" s="150" t="s">
        <v>302</v>
      </c>
      <c r="J42" s="150" t="s">
        <v>304</v>
      </c>
      <c r="K42" s="150" t="s">
        <v>475</v>
      </c>
      <c r="L42" s="153" t="s">
        <v>491</v>
      </c>
    </row>
    <row r="43" spans="1:45" s="79" customFormat="1" ht="11.25">
      <c r="A43" s="69" t="s">
        <v>71</v>
      </c>
      <c r="B43" s="69" t="s">
        <v>642</v>
      </c>
      <c r="C43" s="70" t="s">
        <v>77</v>
      </c>
      <c r="D43" s="71">
        <v>1</v>
      </c>
      <c r="E43" s="95" t="s">
        <v>73</v>
      </c>
      <c r="F43" s="79" t="s">
        <v>303</v>
      </c>
      <c r="G43" s="79" t="s">
        <v>65</v>
      </c>
      <c r="H43" s="79" t="s">
        <v>53</v>
      </c>
      <c r="I43" s="56"/>
      <c r="J43" s="79" t="s">
        <v>77</v>
      </c>
      <c r="K43" s="48">
        <f ca="1">(INDIRECT("'Data'!CD"&amp;($C$1)))</f>
        <v>0</v>
      </c>
      <c r="L43" s="86"/>
    </row>
    <row r="44" spans="1:45" s="150" customFormat="1" ht="6.75">
      <c r="A44" s="150" t="s">
        <v>68</v>
      </c>
      <c r="B44" s="150" t="s">
        <v>455</v>
      </c>
      <c r="C44" s="150" t="s">
        <v>443</v>
      </c>
      <c r="D44" s="150" t="s">
        <v>444</v>
      </c>
      <c r="E44" s="150" t="s">
        <v>493</v>
      </c>
      <c r="F44" s="150" t="s">
        <v>475</v>
      </c>
      <c r="G44" s="150" t="s">
        <v>789</v>
      </c>
      <c r="H44" s="150" t="s">
        <v>790</v>
      </c>
      <c r="I44" s="150" t="s">
        <v>791</v>
      </c>
      <c r="J44" s="150" t="s">
        <v>793</v>
      </c>
      <c r="K44" s="150" t="s">
        <v>794</v>
      </c>
      <c r="L44" s="150" t="s">
        <v>795</v>
      </c>
      <c r="M44" s="150" t="s">
        <v>796</v>
      </c>
      <c r="N44" s="150" t="s">
        <v>650</v>
      </c>
      <c r="O44" s="150" t="s">
        <v>651</v>
      </c>
      <c r="P44" s="153" t="s">
        <v>491</v>
      </c>
    </row>
    <row r="45" spans="1:45" s="79" customFormat="1" ht="11.25">
      <c r="A45" s="69" t="s">
        <v>71</v>
      </c>
      <c r="B45" s="69" t="s">
        <v>594</v>
      </c>
      <c r="C45" s="70" t="s">
        <v>77</v>
      </c>
      <c r="D45" s="71">
        <v>1</v>
      </c>
      <c r="E45" s="95" t="s">
        <v>73</v>
      </c>
      <c r="F45" s="48">
        <f ca="1">(INDIRECT("'Data'!CD"&amp;($C$1)))</f>
        <v>0</v>
      </c>
      <c r="G45" s="78" t="s">
        <v>73</v>
      </c>
      <c r="H45" s="78" t="s">
        <v>308</v>
      </c>
      <c r="I45" s="78" t="s">
        <v>792</v>
      </c>
      <c r="J45" s="76">
        <v>0</v>
      </c>
      <c r="K45" s="78" t="s">
        <v>231</v>
      </c>
      <c r="L45" s="78" t="s">
        <v>757</v>
      </c>
      <c r="M45" s="78" t="s">
        <v>313</v>
      </c>
      <c r="N45" s="79" t="s">
        <v>315</v>
      </c>
      <c r="O45" s="79" t="s">
        <v>65</v>
      </c>
      <c r="P45" s="86"/>
    </row>
    <row r="46" spans="1:45" s="150" customFormat="1" ht="6.75">
      <c r="A46" s="150" t="s">
        <v>68</v>
      </c>
      <c r="B46" s="150" t="s">
        <v>455</v>
      </c>
      <c r="C46" s="150" t="s">
        <v>443</v>
      </c>
      <c r="D46" s="150" t="s">
        <v>444</v>
      </c>
      <c r="E46" s="150" t="s">
        <v>493</v>
      </c>
      <c r="F46" s="150" t="s">
        <v>235</v>
      </c>
      <c r="G46" s="150" t="s">
        <v>238</v>
      </c>
      <c r="H46" s="150" t="s">
        <v>595</v>
      </c>
      <c r="I46" s="150" t="s">
        <v>596</v>
      </c>
      <c r="J46" s="150" t="s">
        <v>599</v>
      </c>
      <c r="K46" s="150" t="s">
        <v>237</v>
      </c>
      <c r="L46" s="150" t="s">
        <v>597</v>
      </c>
      <c r="M46" s="150" t="s">
        <v>236</v>
      </c>
      <c r="N46" s="153" t="s">
        <v>491</v>
      </c>
    </row>
    <row r="47" spans="1:45" s="79" customFormat="1" ht="11.25">
      <c r="A47" s="69" t="s">
        <v>71</v>
      </c>
      <c r="B47" s="69" t="s">
        <v>598</v>
      </c>
      <c r="C47" s="70"/>
      <c r="D47" s="71">
        <v>1</v>
      </c>
      <c r="E47" s="95" t="s">
        <v>73</v>
      </c>
      <c r="F47" s="56" t="s">
        <v>73</v>
      </c>
      <c r="G47" s="56" t="s">
        <v>238</v>
      </c>
      <c r="H47" s="56" t="s">
        <v>109</v>
      </c>
      <c r="I47" s="56" t="s">
        <v>168</v>
      </c>
      <c r="J47" s="56" t="s">
        <v>73</v>
      </c>
      <c r="K47" s="56" t="s">
        <v>237</v>
      </c>
      <c r="L47" s="56" t="s">
        <v>109</v>
      </c>
      <c r="M47" s="56" t="s">
        <v>236</v>
      </c>
      <c r="N47" s="86"/>
    </row>
    <row r="48" spans="1:45" s="150" customFormat="1" ht="6.75">
      <c r="A48" s="150" t="s">
        <v>68</v>
      </c>
      <c r="B48" s="150" t="s">
        <v>455</v>
      </c>
      <c r="C48" s="150" t="s">
        <v>443</v>
      </c>
      <c r="D48" s="150" t="s">
        <v>444</v>
      </c>
      <c r="E48" s="150" t="s">
        <v>493</v>
      </c>
      <c r="F48" s="153" t="s">
        <v>491</v>
      </c>
    </row>
    <row r="49" spans="1:47" s="79" customFormat="1" ht="11.25">
      <c r="A49" s="69" t="s">
        <v>71</v>
      </c>
      <c r="B49" s="69" t="s">
        <v>600</v>
      </c>
      <c r="C49" s="70"/>
      <c r="D49" s="71">
        <v>1</v>
      </c>
      <c r="E49" s="95" t="s">
        <v>73</v>
      </c>
      <c r="F49" s="86"/>
    </row>
    <row r="50" spans="1:47" s="150" customFormat="1" ht="6.75">
      <c r="A50" s="150" t="s">
        <v>68</v>
      </c>
      <c r="B50" s="150" t="s">
        <v>455</v>
      </c>
      <c r="C50" s="150" t="s">
        <v>443</v>
      </c>
      <c r="D50" s="150" t="s">
        <v>444</v>
      </c>
      <c r="E50" s="150" t="s">
        <v>493</v>
      </c>
      <c r="F50" s="150" t="s">
        <v>797</v>
      </c>
      <c r="G50" s="150" t="s">
        <v>800</v>
      </c>
      <c r="H50" s="150" t="s">
        <v>798</v>
      </c>
      <c r="I50" s="150" t="s">
        <v>815</v>
      </c>
      <c r="J50" s="150" t="s">
        <v>814</v>
      </c>
      <c r="K50" s="153" t="s">
        <v>491</v>
      </c>
    </row>
    <row r="51" spans="1:47" s="79" customFormat="1" ht="11.25">
      <c r="A51" s="69" t="s">
        <v>71</v>
      </c>
      <c r="B51" s="69" t="s">
        <v>799</v>
      </c>
      <c r="C51" s="70"/>
      <c r="D51" s="71">
        <v>1</v>
      </c>
      <c r="E51" s="95" t="s">
        <v>73</v>
      </c>
      <c r="F51" s="79" t="s">
        <v>73</v>
      </c>
      <c r="H51" s="79" t="s">
        <v>73</v>
      </c>
      <c r="K51" s="86"/>
    </row>
    <row r="52" spans="1:47" s="150" customFormat="1" ht="6.75">
      <c r="A52" s="150" t="s">
        <v>68</v>
      </c>
      <c r="B52" s="150" t="s">
        <v>455</v>
      </c>
      <c r="C52" s="150" t="s">
        <v>443</v>
      </c>
      <c r="D52" s="150" t="s">
        <v>444</v>
      </c>
      <c r="E52" s="150" t="s">
        <v>493</v>
      </c>
      <c r="F52" s="150" t="s">
        <v>801</v>
      </c>
      <c r="G52" s="153" t="s">
        <v>491</v>
      </c>
    </row>
    <row r="53" spans="1:47" s="79" customFormat="1" ht="11.25">
      <c r="A53" s="69" t="s">
        <v>71</v>
      </c>
      <c r="B53" s="69" t="s">
        <v>804</v>
      </c>
      <c r="C53" s="70"/>
      <c r="D53" s="71">
        <v>1</v>
      </c>
      <c r="E53" s="95" t="s">
        <v>73</v>
      </c>
      <c r="F53" s="79" t="s">
        <v>758</v>
      </c>
      <c r="G53" s="86"/>
    </row>
    <row r="54" spans="1:47" s="150" customFormat="1" ht="7.5" customHeight="1">
      <c r="A54" s="150" t="s">
        <v>68</v>
      </c>
      <c r="B54" s="150" t="s">
        <v>455</v>
      </c>
      <c r="C54" s="150" t="s">
        <v>443</v>
      </c>
      <c r="D54" s="150" t="s">
        <v>444</v>
      </c>
      <c r="E54" s="150" t="s">
        <v>493</v>
      </c>
      <c r="F54" s="150" t="s">
        <v>802</v>
      </c>
      <c r="G54" s="150" t="s">
        <v>803</v>
      </c>
      <c r="H54" s="153" t="s">
        <v>491</v>
      </c>
    </row>
    <row r="55" spans="1:47" s="58" customFormat="1" ht="11.25" customHeight="1">
      <c r="A55" s="69" t="s">
        <v>71</v>
      </c>
      <c r="B55" s="69" t="s">
        <v>805</v>
      </c>
      <c r="C55" s="70"/>
      <c r="D55" s="71">
        <v>1</v>
      </c>
      <c r="E55" s="95" t="s">
        <v>73</v>
      </c>
      <c r="F55" s="79" t="s">
        <v>73</v>
      </c>
      <c r="G55" s="79" t="s">
        <v>73</v>
      </c>
      <c r="H55" s="86"/>
      <c r="I55" s="79"/>
      <c r="J55" s="79"/>
      <c r="K55" s="79"/>
      <c r="L55" s="79"/>
      <c r="M55" s="79"/>
      <c r="N55" s="79"/>
      <c r="O55" s="79"/>
      <c r="P55" s="79"/>
      <c r="Q55" s="79"/>
      <c r="R55" s="79"/>
      <c r="S55" s="79"/>
      <c r="T55" s="79"/>
      <c r="U55" s="79"/>
      <c r="V55" s="79"/>
      <c r="W55" s="79"/>
      <c r="X55" s="79"/>
      <c r="Y55" s="79"/>
      <c r="Z55" s="79"/>
      <c r="AA55" s="79"/>
      <c r="AB55" s="79"/>
      <c r="AC55" s="79"/>
      <c r="AD55" s="79"/>
      <c r="AE55" s="79"/>
      <c r="AF55" s="79"/>
      <c r="AG55" s="79"/>
      <c r="AH55" s="79"/>
      <c r="AI55" s="79"/>
      <c r="AJ55" s="79"/>
      <c r="AK55" s="79"/>
      <c r="AL55" s="79"/>
      <c r="AM55" s="79"/>
      <c r="AN55" s="79"/>
      <c r="AO55" s="79"/>
      <c r="AP55" s="79"/>
      <c r="AQ55" s="79"/>
      <c r="AR55" s="79"/>
      <c r="AS55" s="79"/>
    </row>
    <row r="56" spans="1:47" s="150" customFormat="1" ht="6.75">
      <c r="A56" s="150" t="s">
        <v>68</v>
      </c>
      <c r="B56" s="150" t="s">
        <v>69</v>
      </c>
      <c r="C56" s="150" t="s">
        <v>70</v>
      </c>
      <c r="D56" s="150" t="s">
        <v>444</v>
      </c>
      <c r="E56" s="150" t="s">
        <v>493</v>
      </c>
      <c r="F56" s="150" t="s">
        <v>697</v>
      </c>
      <c r="G56" s="150" t="s">
        <v>698</v>
      </c>
      <c r="H56" s="150" t="s">
        <v>699</v>
      </c>
      <c r="I56" s="150" t="s">
        <v>700</v>
      </c>
      <c r="J56" s="150" t="s">
        <v>701</v>
      </c>
      <c r="K56" s="216" t="s">
        <v>838</v>
      </c>
      <c r="L56" s="150" t="s">
        <v>839</v>
      </c>
      <c r="M56" s="150" t="s">
        <v>471</v>
      </c>
      <c r="N56" s="150" t="s">
        <v>475</v>
      </c>
      <c r="O56" s="153" t="s">
        <v>491</v>
      </c>
    </row>
    <row r="57" spans="1:47" s="79" customFormat="1" ht="11.25">
      <c r="A57" s="69" t="s">
        <v>71</v>
      </c>
      <c r="B57" s="69" t="s">
        <v>144</v>
      </c>
      <c r="C57" s="69"/>
      <c r="D57" s="71">
        <v>1</v>
      </c>
      <c r="E57" s="95" t="s">
        <v>73</v>
      </c>
      <c r="F57" s="61" t="s">
        <v>759</v>
      </c>
      <c r="G57" s="61"/>
      <c r="H57" s="61" t="s">
        <v>73</v>
      </c>
      <c r="I57" s="61" t="s">
        <v>73</v>
      </c>
      <c r="J57" s="61" t="s">
        <v>73</v>
      </c>
      <c r="K57" s="217"/>
      <c r="L57" s="61" t="s">
        <v>73</v>
      </c>
      <c r="M57" s="61" t="s">
        <v>702</v>
      </c>
      <c r="N57" s="48">
        <f ca="1">(INDIRECT("'Data'!CD"&amp;($C$1)))</f>
        <v>0</v>
      </c>
      <c r="O57" s="86"/>
      <c r="P57" s="61"/>
      <c r="Q57" s="61"/>
      <c r="R57" s="61"/>
      <c r="S57" s="61"/>
      <c r="T57" s="61"/>
      <c r="U57" s="58"/>
      <c r="V57" s="58"/>
      <c r="W57" s="58"/>
      <c r="X57" s="58"/>
      <c r="Y57" s="58"/>
      <c r="Z57" s="58"/>
      <c r="AA57" s="58"/>
      <c r="AB57" s="58"/>
      <c r="AC57" s="58"/>
      <c r="AD57" s="58"/>
      <c r="AE57" s="58"/>
      <c r="AF57" s="58"/>
      <c r="AG57" s="58"/>
      <c r="AH57" s="58"/>
      <c r="AI57" s="58"/>
      <c r="AJ57" s="58"/>
      <c r="AK57" s="58"/>
      <c r="AL57" s="58"/>
      <c r="AM57" s="58"/>
      <c r="AN57" s="58"/>
      <c r="AO57" s="58"/>
      <c r="AP57" s="58"/>
      <c r="AQ57" s="58"/>
      <c r="AR57" s="58"/>
      <c r="AS57" s="58"/>
      <c r="AT57" s="58"/>
      <c r="AU57" s="58"/>
    </row>
    <row r="58" spans="1:47" s="150" customFormat="1" ht="6" customHeight="1">
      <c r="A58" s="150" t="s">
        <v>68</v>
      </c>
      <c r="B58" s="150" t="s">
        <v>455</v>
      </c>
      <c r="C58" s="150" t="s">
        <v>443</v>
      </c>
      <c r="D58" s="150" t="s">
        <v>444</v>
      </c>
      <c r="E58" s="150" t="s">
        <v>493</v>
      </c>
      <c r="F58" s="150" t="s">
        <v>807</v>
      </c>
      <c r="G58" s="150" t="s">
        <v>808</v>
      </c>
      <c r="H58" s="153" t="s">
        <v>471</v>
      </c>
      <c r="I58" s="153" t="s">
        <v>491</v>
      </c>
    </row>
    <row r="59" spans="1:47" s="58" customFormat="1" ht="11.25" customHeight="1">
      <c r="A59" s="69" t="s">
        <v>71</v>
      </c>
      <c r="B59" s="69" t="s">
        <v>806</v>
      </c>
      <c r="C59" s="70"/>
      <c r="D59" s="71">
        <v>1</v>
      </c>
      <c r="E59" s="95" t="s">
        <v>73</v>
      </c>
      <c r="F59" s="79" t="s">
        <v>73</v>
      </c>
      <c r="G59" s="79" t="s">
        <v>73</v>
      </c>
      <c r="H59" s="86" t="s">
        <v>809</v>
      </c>
      <c r="I59" s="79"/>
      <c r="J59" s="79"/>
      <c r="K59" s="79"/>
      <c r="L59" s="79"/>
      <c r="M59" s="79"/>
      <c r="N59" s="79"/>
      <c r="O59" s="79"/>
      <c r="P59" s="79"/>
      <c r="Q59" s="79"/>
      <c r="R59" s="79"/>
      <c r="S59" s="79"/>
      <c r="T59" s="79"/>
      <c r="U59" s="79"/>
      <c r="V59" s="79"/>
      <c r="W59" s="79"/>
      <c r="X59" s="79"/>
      <c r="Y59" s="79"/>
      <c r="Z59" s="79"/>
      <c r="AA59" s="79"/>
      <c r="AB59" s="79"/>
      <c r="AC59" s="79"/>
      <c r="AD59" s="79"/>
      <c r="AE59" s="79"/>
      <c r="AF59" s="79"/>
      <c r="AG59" s="79"/>
      <c r="AH59" s="79"/>
      <c r="AI59" s="79"/>
      <c r="AJ59" s="79"/>
      <c r="AK59" s="79"/>
      <c r="AL59" s="79"/>
      <c r="AM59" s="79"/>
      <c r="AN59" s="79"/>
      <c r="AO59" s="79"/>
      <c r="AP59" s="79"/>
      <c r="AQ59" s="79"/>
      <c r="AR59" s="79"/>
      <c r="AS59" s="79"/>
    </row>
    <row r="60" spans="1:47" s="150" customFormat="1" ht="6.75">
      <c r="A60" s="150" t="s">
        <v>68</v>
      </c>
      <c r="B60" s="150" t="s">
        <v>69</v>
      </c>
      <c r="C60" s="150" t="s">
        <v>70</v>
      </c>
      <c r="D60" s="150" t="s">
        <v>444</v>
      </c>
      <c r="E60" s="150" t="s">
        <v>493</v>
      </c>
      <c r="F60" s="150" t="s">
        <v>475</v>
      </c>
      <c r="G60" s="150" t="s">
        <v>84</v>
      </c>
      <c r="H60" s="150" t="s">
        <v>82</v>
      </c>
      <c r="I60" s="150" t="s">
        <v>145</v>
      </c>
      <c r="J60" s="150" t="s">
        <v>146</v>
      </c>
      <c r="K60" s="150" t="s">
        <v>147</v>
      </c>
      <c r="L60" s="150" t="s">
        <v>148</v>
      </c>
      <c r="M60" s="150" t="s">
        <v>326</v>
      </c>
      <c r="N60" s="150" t="s">
        <v>149</v>
      </c>
      <c r="O60" s="150" t="s">
        <v>840</v>
      </c>
      <c r="P60" s="150" t="s">
        <v>841</v>
      </c>
      <c r="Q60" s="153" t="s">
        <v>491</v>
      </c>
    </row>
    <row r="61" spans="1:47" s="58" customFormat="1" ht="11.25">
      <c r="A61" s="69" t="s">
        <v>71</v>
      </c>
      <c r="B61" s="69" t="s">
        <v>156</v>
      </c>
      <c r="C61" s="69"/>
      <c r="D61" s="67">
        <v>1</v>
      </c>
      <c r="E61" s="95" t="s">
        <v>73</v>
      </c>
      <c r="F61" s="48">
        <f ca="1">(INDIRECT("'Data'!CD"&amp;($C$1)))</f>
        <v>0</v>
      </c>
      <c r="G61" s="132" t="str">
        <f ca="1">(INDIRECT("'Data'!F"&amp;($C$1)))</f>
        <v>EXCHANGE GAS METER TO SECURE SMART CREDIT</v>
      </c>
      <c r="H61" s="132" t="str">
        <f ca="1">(INDIRECT("'Data'!AW"&amp;($C$1)))</f>
        <v>EXCH1 ROAD</v>
      </c>
      <c r="I61" s="49" t="str">
        <f ca="1">(INDIRECT("'Data'!X"&amp;($C$1)))</f>
        <v>FRST</v>
      </c>
      <c r="J61" s="49">
        <f ca="1">(INDIRECT("'Data'!BG"&amp;($C$1)))</f>
        <v>0</v>
      </c>
      <c r="K61" s="49">
        <f ca="1">(INDIRECT("'Data'!BL"&amp;($C$1)))</f>
        <v>0</v>
      </c>
      <c r="L61" s="60" t="str">
        <f>N35</f>
        <v>123456</v>
      </c>
      <c r="M61" s="59" t="str">
        <f>F39</f>
        <v>Z89K12398</v>
      </c>
      <c r="N61" s="61" t="str">
        <f>M47</f>
        <v>Test Witness name</v>
      </c>
      <c r="O61" s="61" t="s">
        <v>73</v>
      </c>
      <c r="P61" s="60" t="s">
        <v>73</v>
      </c>
      <c r="Q61" s="86"/>
    </row>
    <row r="62" spans="1:47" s="150" customFormat="1" ht="6.75">
      <c r="A62" s="150" t="s">
        <v>68</v>
      </c>
      <c r="B62" s="150" t="s">
        <v>69</v>
      </c>
      <c r="C62" s="150" t="s">
        <v>70</v>
      </c>
      <c r="D62" s="150" t="s">
        <v>444</v>
      </c>
      <c r="E62" s="150" t="s">
        <v>493</v>
      </c>
      <c r="F62" s="150" t="s">
        <v>707</v>
      </c>
      <c r="G62" s="150" t="s">
        <v>708</v>
      </c>
      <c r="H62" s="150" t="s">
        <v>709</v>
      </c>
      <c r="I62" s="150" t="s">
        <v>710</v>
      </c>
      <c r="J62" s="150" t="s">
        <v>711</v>
      </c>
      <c r="K62" s="150" t="s">
        <v>712</v>
      </c>
      <c r="L62" s="150" t="s">
        <v>713</v>
      </c>
      <c r="M62" s="150" t="s">
        <v>475</v>
      </c>
      <c r="N62" s="150" t="s">
        <v>491</v>
      </c>
    </row>
    <row r="63" spans="1:47" s="58" customFormat="1" ht="11.25">
      <c r="A63" s="69" t="s">
        <v>71</v>
      </c>
      <c r="B63" s="69" t="s">
        <v>706</v>
      </c>
      <c r="C63" s="65"/>
      <c r="D63" s="66">
        <v>1</v>
      </c>
      <c r="E63" s="95" t="s">
        <v>73</v>
      </c>
      <c r="F63" s="61" t="s">
        <v>73</v>
      </c>
      <c r="G63" s="61" t="s">
        <v>75</v>
      </c>
      <c r="H63" s="61" t="s">
        <v>714</v>
      </c>
      <c r="I63" s="61" t="s">
        <v>155</v>
      </c>
      <c r="J63" s="61" t="s">
        <v>75</v>
      </c>
      <c r="K63" s="61" t="s">
        <v>643</v>
      </c>
      <c r="L63" s="61" t="s">
        <v>75</v>
      </c>
      <c r="M63" s="48">
        <f ca="1">(INDIRECT("'Data'!CD"&amp;($C$1)))</f>
        <v>0</v>
      </c>
      <c r="N63" s="56"/>
      <c r="O63" s="61"/>
      <c r="P63" s="61"/>
      <c r="Q63" s="61"/>
      <c r="R63" s="61"/>
      <c r="S63" s="61"/>
    </row>
    <row r="64" spans="1:47" s="157" customFormat="1" ht="6.75" customHeight="1">
      <c r="A64" s="150" t="s">
        <v>68</v>
      </c>
      <c r="B64" s="150" t="s">
        <v>69</v>
      </c>
      <c r="C64" s="150" t="s">
        <v>70</v>
      </c>
      <c r="D64" s="150" t="s">
        <v>444</v>
      </c>
      <c r="E64" s="150" t="s">
        <v>493</v>
      </c>
      <c r="F64" s="150" t="s">
        <v>85</v>
      </c>
      <c r="G64" s="150"/>
      <c r="H64" s="150"/>
      <c r="I64" s="150"/>
      <c r="J64" s="150"/>
      <c r="K64" s="150"/>
      <c r="L64" s="150"/>
      <c r="M64" s="150"/>
      <c r="N64" s="150"/>
      <c r="O64" s="150"/>
      <c r="P64" s="150"/>
      <c r="Q64" s="150"/>
      <c r="R64" s="150"/>
      <c r="S64" s="150"/>
      <c r="T64" s="150"/>
      <c r="U64" s="150"/>
      <c r="V64" s="150"/>
      <c r="W64" s="150"/>
      <c r="X64" s="150"/>
      <c r="Y64" s="150"/>
      <c r="Z64" s="150"/>
      <c r="AA64" s="150"/>
      <c r="AB64" s="150"/>
      <c r="AC64" s="150"/>
      <c r="AD64" s="150"/>
      <c r="AE64" s="150"/>
      <c r="AF64" s="150"/>
      <c r="AG64" s="150"/>
      <c r="AH64" s="150"/>
      <c r="AI64" s="150"/>
      <c r="AJ64" s="150"/>
      <c r="AK64" s="150"/>
      <c r="AL64" s="150"/>
      <c r="AM64" s="150"/>
      <c r="AN64" s="150"/>
      <c r="AO64" s="150"/>
      <c r="AP64" s="150"/>
      <c r="AQ64" s="150"/>
      <c r="AR64" s="150"/>
      <c r="AS64" s="150"/>
    </row>
    <row r="65" spans="1:45">
      <c r="A65" s="65" t="s">
        <v>71</v>
      </c>
      <c r="B65" s="65" t="s">
        <v>76</v>
      </c>
      <c r="C65" s="65"/>
      <c r="D65" s="67">
        <v>1</v>
      </c>
      <c r="E65" s="95" t="s">
        <v>73</v>
      </c>
      <c r="F65" s="61" t="s">
        <v>86</v>
      </c>
      <c r="G65" s="58"/>
      <c r="H65" s="58"/>
      <c r="I65" s="58"/>
      <c r="J65" s="133"/>
      <c r="K65" s="58"/>
      <c r="L65" s="58"/>
      <c r="M65" s="58"/>
      <c r="N65" s="58"/>
      <c r="O65" s="58"/>
      <c r="P65" s="58"/>
      <c r="Q65" s="58"/>
      <c r="R65" s="58"/>
      <c r="S65" s="58"/>
      <c r="T65" s="58"/>
      <c r="U65" s="58"/>
      <c r="V65" s="58"/>
      <c r="W65" s="58"/>
      <c r="X65" s="58"/>
      <c r="Y65" s="58"/>
      <c r="Z65" s="58"/>
      <c r="AA65" s="58"/>
      <c r="AB65" s="58"/>
      <c r="AC65" s="58"/>
      <c r="AD65" s="58"/>
      <c r="AE65" s="58"/>
      <c r="AF65" s="58"/>
      <c r="AG65" s="58"/>
      <c r="AH65" s="58"/>
      <c r="AI65" s="58"/>
      <c r="AJ65" s="58"/>
      <c r="AK65" s="58"/>
      <c r="AL65" s="58"/>
      <c r="AM65" s="58"/>
      <c r="AN65" s="58"/>
      <c r="AO65" s="58"/>
      <c r="AP65" s="58"/>
      <c r="AQ65" s="58"/>
      <c r="AR65" s="58"/>
      <c r="AS65" s="58"/>
    </row>
  </sheetData>
  <dataValidations count="5">
    <dataValidation allowBlank="1" showInputMessage="1" showErrorMessage="1" prompt="Y or N" sqref="F30 WLD18 WLF22 F22 WBJ22 VRN22 VHR22 UXV22 UNZ22 UED22 TUH22 TKL22 TAP22 SQT22 SGX22 RXB22 RNF22 RDJ22 QTN22 QJR22 PZV22 PPZ22 PGD22 OWH22 OML22 OCP22 NST22 NIX22 MZB22 MPF22 MFJ22 LVN22 LLR22 LBV22 KRZ22 KID22 JYH22 JOL22 JEP22 IUT22 IKX22 IBB22 HRF22 HHJ22 GXN22 GNR22 GDV22 FTZ22 FKD22 FAH22 EQL22 EGP22 DWT22 DMX22 DDB22 CTF22 CJJ22 BZN22 BPR22 BFV22 AVZ22 AMD22 ACH22 SL22 IP22 WVB22 F16 WTT20 HH20 RD20 AAZ20 AKV20 AUR20 BEN20 BOJ20 BYF20 CIB20 CRX20 DBT20 DLP20 DVL20 EFH20 EPD20 EYZ20 FIV20 FSR20 GCN20 GMJ20 GWF20 HGB20 HPX20 HZT20 IJP20 ITL20 JDH20 JND20 JWZ20 KGV20 KQR20 LAN20 LKJ20 LUF20 MEB20 MNX20 MXT20 NHP20 NRL20 OBH20 OLD20 OUZ20 PEV20 POR20 PYN20 QIJ20 QSF20 RCB20 RLX20 RVT20 SFP20 SPL20 SZH20 TJD20 TSZ20 UCV20 UMR20 UWN20 VGJ20 VQF20 WAB20 WJX20 WLF24 WBJ24 VRN24 VHR24 UXV24 UNZ24 UED24 TUH24 TKL24 TAP24 SQT24 SGX24 RXB24 RNF24 RDJ24 QTN24 QJR24 PZV24 PPZ24 PGD24 OWH24 OML24 OCP24 NST24 NIX24 MZB24 MPF24 MFJ24 LVN24 LLR24 LBV24 KRZ24 KID24 JYH24 JOL24 JEP24 IUT24 IKX24 IBB24 HRF24 HHJ24 GXN24 GNR24 GDV24 FTZ24 FKD24 FAH24 EQL24 EGP24 DWT24 DMX24 DDB24 CTF24 CJJ24 BZN24 BPR24 BFV24 AVZ24 AMD24 ACH24 SL24 IP24 WVB24 F18 WUZ18 IN18 SJ18 ACF18 AMB18 AVX18 BFT18 BPP18 BZL18 CJH18 CTD18 DCZ18 DMV18 DWR18 EGN18 EQJ18 FAF18 FKB18 FTX18 GDT18 GNP18 GXL18 HHH18 HRD18 IAZ18 IKV18 IUR18 JEN18 JOJ18 JYF18 KIB18 KRX18 LBT18 LLP18 LVL18 MFH18 MPD18 MYZ18 NIV18 NSR18 OCN18 OMJ18 OWF18 PGB18 PPX18 PZT18 QJP18 QTL18 RDH18 RND18 RWZ18 SGV18 SQR18 TAN18 TKJ18 TUF18 UEB18 UNX18 UXT18 VHP18 VRL18 WBH18 WLF30 WVB30 IP30 SL30 ACH30 AMD30 AVZ30 BFV30 BPR30 BZN30 CJJ30 CTF30 DDB30 DMX30 DWT30 EGP30 EQL30 FAH30 FKD30 FTZ30 GDV30 GNR30 GXN30 HHJ30 HRF30 IBB30 IKX30 IUT30 JEP30 JOL30 JYH30 KID30 KRZ30 LBV30 LLR30 LVN30 MFJ30 MPF30 MZB30 NIX30 NST30 OCP30 OML30 OWH30 PGD30 PPZ30 PZV30 QJR30 QTN30 RDJ30 RNF30 RXB30 SGX30 SQT30 TAP30 TKL30 TUH30 UED30 UNZ30 UXV30 VHR30 VRN30 WBJ30"/>
    <dataValidation allowBlank="1" showInputMessage="1" showErrorMessage="1" promptTitle="Validation" prompt="Y or N" sqref="SZ2 ACV2 AMR2 AWN2 BGJ2 BQF2 CAB2 CJX2 CTT2 DDP2 DNL2 DXH2 EHD2 EQZ2 FAV2 FKR2 FUN2 GEJ2 GOF2 GYB2 HHX2 HRT2 IBP2 ILL2 IVH2 JFD2 JOZ2 JYV2 KIR2 KSN2 LCJ2 LMF2 LWB2 MFX2 MPT2 MZP2 NJL2 NTH2 ODD2 OMZ2 OWV2 PGR2 PQN2 QAJ2 QKF2 QUB2 RDX2 RNT2 RXP2 SHL2 SRH2 TBD2 TKZ2 TUV2 UER2 UON2 UYJ2 VIF2 VSB2 WBX2 WLT2 WVP2 JD2 I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s>
  <pageMargins left="0.7" right="0.7" top="0.75" bottom="0.75" header="0.3" footer="0.3"/>
  <pageSetup paperSize="9" orientation="portrait" r:id="rId1"/>
  <headerFooter>
    <oddFooter>&amp;LUnrestricted</oddFooter>
  </headerFooter>
  <legacyDrawing r:id="rId2"/>
</worksheet>
</file>

<file path=xl/worksheets/sheet6.xml><?xml version="1.0" encoding="utf-8"?>
<worksheet xmlns="http://schemas.openxmlformats.org/spreadsheetml/2006/main" xmlns:r="http://schemas.openxmlformats.org/officeDocument/2006/relationships">
  <sheetPr codeName="Sheet7">
    <tabColor theme="9" tint="-0.499984740745262"/>
  </sheetPr>
  <dimension ref="A1:AT65"/>
  <sheetViews>
    <sheetView zoomScale="130" zoomScaleNormal="130" workbookViewId="0">
      <selection activeCell="K58" sqref="K58"/>
    </sheetView>
  </sheetViews>
  <sheetFormatPr defaultRowHeight="12.75"/>
  <cols>
    <col min="1" max="1" width="4.7109375" bestFit="1" customWidth="1"/>
    <col min="2" max="2" width="20.7109375" bestFit="1" customWidth="1"/>
    <col min="3" max="3" width="5" bestFit="1" customWidth="1"/>
    <col min="4" max="4" width="3.5703125" bestFit="1" customWidth="1"/>
    <col min="5" max="5" width="2.42578125" bestFit="1" customWidth="1"/>
    <col min="6" max="6" width="16.85546875" customWidth="1"/>
  </cols>
  <sheetData>
    <row r="1" spans="1:26" s="150" customFormat="1" ht="6.75">
      <c r="A1" s="150" t="s">
        <v>494</v>
      </c>
      <c r="B1" s="150" t="s">
        <v>95</v>
      </c>
      <c r="C1" s="150" t="s">
        <v>241</v>
      </c>
      <c r="D1" s="150" t="s">
        <v>49</v>
      </c>
      <c r="G1" s="151"/>
      <c r="I1" s="152"/>
    </row>
    <row r="2" spans="1:26" s="150" customFormat="1" ht="6.75">
      <c r="A2" s="150" t="s">
        <v>68</v>
      </c>
      <c r="B2" s="150" t="s">
        <v>455</v>
      </c>
      <c r="C2" s="150" t="s">
        <v>443</v>
      </c>
      <c r="D2" s="150" t="s">
        <v>444</v>
      </c>
      <c r="E2" s="150" t="s">
        <v>493</v>
      </c>
      <c r="F2" s="150" t="s">
        <v>445</v>
      </c>
      <c r="G2" s="150" t="s">
        <v>115</v>
      </c>
      <c r="H2" s="150" t="s">
        <v>436</v>
      </c>
      <c r="I2" s="150" t="s">
        <v>446</v>
      </c>
    </row>
    <row r="3" spans="1:26" s="44" customFormat="1" ht="11.25">
      <c r="A3" s="65" t="s">
        <v>71</v>
      </c>
      <c r="B3" s="65" t="s">
        <v>72</v>
      </c>
      <c r="C3" s="65"/>
      <c r="D3" s="66">
        <v>1</v>
      </c>
      <c r="E3" s="94" t="s">
        <v>73</v>
      </c>
      <c r="F3" s="49">
        <f>'Run Parameters'!B5</f>
        <v>111011</v>
      </c>
      <c r="G3" s="49" t="str">
        <f>'Run Parameters'!B6</f>
        <v>111Siemens</v>
      </c>
      <c r="H3" s="49" t="str">
        <f>'Run Parameters'!B7</f>
        <v>https://siemens-og-bykrw4bu7an2nvbgh7xdzce7-sdg1-dev.mbaas1.sdg.feedhenry.com/#/login</v>
      </c>
      <c r="I3" s="45" t="s">
        <v>73</v>
      </c>
      <c r="J3" s="46"/>
      <c r="K3" s="46"/>
      <c r="L3" s="46"/>
      <c r="M3" s="46"/>
      <c r="N3" s="46"/>
      <c r="O3" s="46"/>
      <c r="P3" s="46"/>
      <c r="Q3" s="46"/>
      <c r="R3" s="47"/>
      <c r="S3" s="46"/>
      <c r="T3" s="46"/>
      <c r="U3" s="46"/>
    </row>
    <row r="4" spans="1:26" s="150" customFormat="1" ht="6.75">
      <c r="A4" s="150" t="s">
        <v>68</v>
      </c>
      <c r="B4" s="150" t="s">
        <v>455</v>
      </c>
      <c r="C4" s="150" t="s">
        <v>443</v>
      </c>
      <c r="D4" s="150" t="s">
        <v>444</v>
      </c>
      <c r="E4" s="150" t="s">
        <v>493</v>
      </c>
      <c r="F4" s="150" t="s">
        <v>454</v>
      </c>
      <c r="G4" s="150" t="s">
        <v>453</v>
      </c>
      <c r="H4" s="150" t="s">
        <v>447</v>
      </c>
      <c r="I4" s="150" t="s">
        <v>448</v>
      </c>
      <c r="J4" s="150" t="s">
        <v>450</v>
      </c>
      <c r="K4" s="150" t="s">
        <v>451</v>
      </c>
      <c r="L4" s="150" t="s">
        <v>452</v>
      </c>
      <c r="M4" s="150" t="s">
        <v>442</v>
      </c>
      <c r="N4" s="150" t="s">
        <v>37</v>
      </c>
      <c r="O4" s="150" t="s">
        <v>441</v>
      </c>
      <c r="P4" s="153" t="s">
        <v>491</v>
      </c>
    </row>
    <row r="5" spans="1:26" s="44" customFormat="1" ht="11.25" customHeight="1">
      <c r="A5" s="65" t="s">
        <v>71</v>
      </c>
      <c r="B5" s="65" t="s">
        <v>495</v>
      </c>
      <c r="C5" s="65"/>
      <c r="D5" s="66">
        <v>1</v>
      </c>
      <c r="E5" s="94" t="s">
        <v>73</v>
      </c>
      <c r="F5" s="49">
        <f ca="1">(INDIRECT("'Data'!C"&amp;($C$1)))</f>
        <v>111011</v>
      </c>
      <c r="G5" s="50" t="s">
        <v>98</v>
      </c>
      <c r="H5" s="49" t="str">
        <f ca="1">(INDIRECT("'Data'!F"&amp;($C$1)))</f>
        <v>EXCHANGE GAS METER TO SECURE SMART CREDIT</v>
      </c>
      <c r="I5" s="48" t="str">
        <f ca="1">(INDIRECT("'Data'!E"&amp;($C$1)))</f>
        <v>S</v>
      </c>
      <c r="J5" s="48">
        <f ca="1">(INDIRECT("'Data'!AS"&amp;($C$1)))</f>
        <v>0</v>
      </c>
      <c r="K5" s="48" t="str">
        <f ca="1">(INDIRECT("'Data'!AT"&amp;($C$1)))</f>
        <v>TPJR00530</v>
      </c>
      <c r="L5" s="48">
        <f ca="1">(INDIRECT("'Data'!AU"&amp;($C$1)))</f>
        <v>0</v>
      </c>
      <c r="M5" s="48">
        <f ca="1">(INDIRECT("'Data'!AV"&amp;($C$1)))</f>
        <v>646</v>
      </c>
      <c r="N5" s="48" t="str">
        <f ca="1">(INDIRECT("'Data'!AW"&amp;($C$1)))</f>
        <v>EXCH1 ROAD</v>
      </c>
      <c r="O5" s="49" t="str">
        <f ca="1">CONCATENATE(RIGHT((INDIRECT("'Data'!X"&amp;($C$1))),5),"-",RIGHT(R7&amp;(INDIRECT("'Data'!Y"&amp;($C$1))),5))</f>
        <v>FRST-d-646</v>
      </c>
      <c r="P5" s="86"/>
      <c r="Q5" s="46"/>
      <c r="R5" s="46"/>
      <c r="S5" s="46"/>
    </row>
    <row r="6" spans="1:26" s="150" customFormat="1" ht="6.75">
      <c r="A6" s="150" t="s">
        <v>68</v>
      </c>
      <c r="B6" s="150" t="s">
        <v>455</v>
      </c>
      <c r="C6" s="150" t="s">
        <v>443</v>
      </c>
      <c r="D6" s="150" t="s">
        <v>444</v>
      </c>
      <c r="E6" s="150" t="s">
        <v>493</v>
      </c>
      <c r="F6" s="150" t="s">
        <v>447</v>
      </c>
      <c r="G6" s="150" t="s">
        <v>450</v>
      </c>
      <c r="H6" s="150" t="s">
        <v>451</v>
      </c>
      <c r="I6" s="150" t="s">
        <v>452</v>
      </c>
      <c r="J6" s="150" t="s">
        <v>442</v>
      </c>
      <c r="K6" s="150" t="s">
        <v>37</v>
      </c>
      <c r="L6" s="150" t="s">
        <v>448</v>
      </c>
      <c r="M6" s="150" t="s">
        <v>449</v>
      </c>
      <c r="N6" s="150" t="s">
        <v>439</v>
      </c>
      <c r="O6" s="150" t="s">
        <v>78</v>
      </c>
      <c r="P6" s="150" t="s">
        <v>79</v>
      </c>
      <c r="Q6" s="150" t="s">
        <v>87</v>
      </c>
      <c r="R6" s="150" t="s">
        <v>80</v>
      </c>
      <c r="S6" s="150" t="s">
        <v>110</v>
      </c>
      <c r="T6" s="150" t="s">
        <v>114</v>
      </c>
      <c r="U6" s="150" t="s">
        <v>90</v>
      </c>
      <c r="V6" s="150" t="s">
        <v>81</v>
      </c>
      <c r="W6" s="150" t="s">
        <v>88</v>
      </c>
      <c r="X6" s="150" t="s">
        <v>276</v>
      </c>
      <c r="Y6" s="150" t="s">
        <v>457</v>
      </c>
      <c r="Z6" s="153" t="s">
        <v>491</v>
      </c>
    </row>
    <row r="7" spans="1:26" s="44" customFormat="1" ht="11.25" customHeight="1">
      <c r="A7" s="65" t="s">
        <v>71</v>
      </c>
      <c r="B7" s="65" t="s">
        <v>496</v>
      </c>
      <c r="C7" s="65"/>
      <c r="D7" s="67">
        <v>1</v>
      </c>
      <c r="E7" s="94" t="s">
        <v>73</v>
      </c>
      <c r="F7" s="49" t="str">
        <f ca="1">(INDIRECT("'Data'!F"&amp;($C$1)))</f>
        <v>EXCHANGE GAS METER TO SECURE SMART CREDIT</v>
      </c>
      <c r="G7" s="48">
        <f ca="1">(INDIRECT("'Data'!AS"&amp;($C$1)))</f>
        <v>0</v>
      </c>
      <c r="H7" s="48" t="str">
        <f ca="1">(INDIRECT("'Data'!AT"&amp;($C$1)))</f>
        <v>TPJR00530</v>
      </c>
      <c r="I7" s="48">
        <f ca="1">(INDIRECT("'Data'!AU"&amp;($C$1)))</f>
        <v>0</v>
      </c>
      <c r="J7" s="48">
        <f ca="1">(INDIRECT("'Data'!AV"&amp;($C$1)))</f>
        <v>646</v>
      </c>
      <c r="K7" s="48" t="str">
        <f ca="1">(INDIRECT("'Data'!AW"&amp;($C$1)))</f>
        <v>EXCH1 ROAD</v>
      </c>
      <c r="L7" s="48" t="str">
        <f ca="1">(INDIRECT("'Data'!E"&amp;($C$1)))</f>
        <v>S</v>
      </c>
      <c r="M7" s="48" t="str">
        <f ca="1">(INDIRECT("'Data'!AI"&amp;($C$1)))</f>
        <v>2018-08-13 08:00</v>
      </c>
      <c r="N7" s="49">
        <f ca="1">(INDIRECT("'Data'!BG"&amp;($C$1)))</f>
        <v>0</v>
      </c>
      <c r="O7" s="49" t="str">
        <f ca="1">(INDIRECT("'Data'!AH"&amp;($C$1)))</f>
        <v>Site_Contact_646</v>
      </c>
      <c r="P7" s="50" t="str">
        <f ca="1">(INDIRECT("'Data'!AE"&amp;($C$1)))</f>
        <v>LAST_METER-646</v>
      </c>
      <c r="Q7" s="50" t="str">
        <f ca="1">(INDIRECT("'Data'!DK"&amp;($C$1)))</f>
        <v>G</v>
      </c>
      <c r="R7" s="50">
        <f ca="1">(INDIRECT("'Data'!D"&amp;($C$1)))</f>
        <v>646</v>
      </c>
      <c r="S7" s="50" t="str">
        <f ca="1">INDIRECT("'Data'!M"&amp;($C$1))</f>
        <v>Q</v>
      </c>
      <c r="T7" s="50" t="str">
        <f ca="1">INDIRECT("'Data'!AM"&amp;($C$1))</f>
        <v>0115646</v>
      </c>
      <c r="U7" s="50" t="str">
        <f ca="1">(INDIRECT("'Data'!N"&amp;($C$1)))</f>
        <v>UK_1_F</v>
      </c>
      <c r="V7" s="50">
        <f ca="1">(INDIRECT("'Data'!O"&amp;($C$1)))</f>
        <v>0</v>
      </c>
      <c r="W7" s="50" t="str">
        <f ca="1">(INDIRECT("'Data'!P"&amp;($C$1)))</f>
        <v>SN-646</v>
      </c>
      <c r="X7" s="50">
        <f ca="1">(INDIRECT("'Data'!C"&amp;($C$1)))</f>
        <v>111011</v>
      </c>
      <c r="Y7" s="50" t="str">
        <f ca="1">(INDIRECT("'Data'!Q"&amp;($C$1)))</f>
        <v>SI-646</v>
      </c>
      <c r="Z7" s="86"/>
    </row>
    <row r="8" spans="1:26" s="150" customFormat="1" ht="6.75">
      <c r="A8" s="150" t="s">
        <v>68</v>
      </c>
      <c r="B8" s="150" t="s">
        <v>455</v>
      </c>
      <c r="C8" s="150" t="s">
        <v>443</v>
      </c>
      <c r="D8" s="150" t="s">
        <v>444</v>
      </c>
      <c r="E8" s="150" t="s">
        <v>493</v>
      </c>
      <c r="F8" s="150" t="s">
        <v>447</v>
      </c>
      <c r="G8" s="150" t="s">
        <v>37</v>
      </c>
      <c r="H8" s="150" t="s">
        <v>458</v>
      </c>
      <c r="I8" s="150" t="s">
        <v>459</v>
      </c>
      <c r="J8" s="150" t="s">
        <v>261</v>
      </c>
      <c r="K8" s="150" t="s">
        <v>460</v>
      </c>
      <c r="L8" s="153" t="s">
        <v>491</v>
      </c>
    </row>
    <row r="9" spans="1:26" s="44" customFormat="1" ht="11.25" customHeight="1">
      <c r="A9" s="65" t="s">
        <v>71</v>
      </c>
      <c r="B9" s="65" t="s">
        <v>497</v>
      </c>
      <c r="C9" s="65"/>
      <c r="D9" s="67">
        <v>1</v>
      </c>
      <c r="E9" s="94" t="s">
        <v>73</v>
      </c>
      <c r="F9" s="49" t="str">
        <f ca="1">(INDIRECT("'Data'!F"&amp;($C$1)))</f>
        <v>EXCHANGE GAS METER TO SECURE SMART CREDIT</v>
      </c>
      <c r="G9" s="48" t="str">
        <f ca="1">(INDIRECT("'Data'!AW"&amp;($C$1)))</f>
        <v>EXCH1 ROAD</v>
      </c>
      <c r="H9" s="49">
        <f ca="1">(INDIRECT("'Data'!BL"&amp;($C$1)))</f>
        <v>0</v>
      </c>
      <c r="I9" s="49">
        <f ca="1">(INDIRECT("'Data'!BJ"&amp;($C$1)))</f>
        <v>0</v>
      </c>
      <c r="J9" s="49">
        <f ca="1">(INDIRECT("'Data'!BX"&amp;($C$1)))</f>
        <v>0</v>
      </c>
      <c r="K9" s="49">
        <f ca="1">(INDIRECT("'Data'!BO"&amp;($C$1)))</f>
        <v>0</v>
      </c>
      <c r="L9" s="86"/>
    </row>
    <row r="10" spans="1:26" s="150" customFormat="1" ht="6.75">
      <c r="A10" s="150" t="s">
        <v>68</v>
      </c>
      <c r="B10" s="150" t="s">
        <v>455</v>
      </c>
      <c r="C10" s="150" t="s">
        <v>443</v>
      </c>
      <c r="D10" s="150" t="s">
        <v>444</v>
      </c>
      <c r="E10" s="150" t="s">
        <v>493</v>
      </c>
      <c r="F10" s="150" t="s">
        <v>262</v>
      </c>
      <c r="G10" s="150" t="s">
        <v>447</v>
      </c>
      <c r="H10" s="150" t="s">
        <v>37</v>
      </c>
      <c r="I10" s="150" t="s">
        <v>43</v>
      </c>
      <c r="J10" s="150" t="s">
        <v>462</v>
      </c>
      <c r="K10" s="150" t="s">
        <v>465</v>
      </c>
      <c r="L10" s="150" t="s">
        <v>460</v>
      </c>
      <c r="M10" s="153" t="s">
        <v>491</v>
      </c>
    </row>
    <row r="11" spans="1:26" s="44" customFormat="1" ht="11.25" customHeight="1">
      <c r="A11" s="65" t="s">
        <v>71</v>
      </c>
      <c r="B11" s="65" t="s">
        <v>498</v>
      </c>
      <c r="C11" s="65"/>
      <c r="D11" s="66">
        <v>1</v>
      </c>
      <c r="E11" s="95" t="s">
        <v>73</v>
      </c>
      <c r="F11" s="49">
        <f ca="1">(INDIRECT("'Data'!BG"&amp;($C$1)))</f>
        <v>0</v>
      </c>
      <c r="G11" s="49" t="str">
        <f ca="1">(INDIRECT("'Data'!F"&amp;($C$1)))</f>
        <v>EXCHANGE GAS METER TO SECURE SMART CREDIT</v>
      </c>
      <c r="H11" s="48" t="str">
        <f ca="1">(INDIRECT("'Data'!AW"&amp;($C$1)))</f>
        <v>EXCH1 ROAD</v>
      </c>
      <c r="I11" s="49" t="str">
        <f ca="1">(INDIRECT("'Data'!AH"&amp;($C$1)))</f>
        <v>Site_Contact_646</v>
      </c>
      <c r="J11" s="49" t="str">
        <f ca="1">(INDIRECT("'Data'!BA"&amp;($C$1)))</f>
        <v>C</v>
      </c>
      <c r="K11" s="49">
        <f ca="1">(INDIRECT("'Data'!BD"&amp;($C$1)))</f>
        <v>0</v>
      </c>
      <c r="L11" s="49">
        <f ca="1">(INDIRECT("'Data'!BO"&amp;($C$1)))</f>
        <v>0</v>
      </c>
      <c r="M11" s="86"/>
    </row>
    <row r="12" spans="1:26" s="150" customFormat="1" ht="6.75">
      <c r="A12" s="150" t="s">
        <v>68</v>
      </c>
      <c r="B12" s="150" t="s">
        <v>455</v>
      </c>
      <c r="C12" s="150" t="s">
        <v>443</v>
      </c>
      <c r="D12" s="150" t="s">
        <v>444</v>
      </c>
      <c r="E12" s="150" t="s">
        <v>493</v>
      </c>
      <c r="F12" s="150" t="s">
        <v>475</v>
      </c>
      <c r="G12" s="150" t="s">
        <v>439</v>
      </c>
      <c r="H12" s="150" t="s">
        <v>43</v>
      </c>
      <c r="I12" s="150" t="s">
        <v>447</v>
      </c>
      <c r="J12" s="150" t="s">
        <v>450</v>
      </c>
      <c r="K12" s="150" t="s">
        <v>451</v>
      </c>
      <c r="L12" s="150" t="s">
        <v>452</v>
      </c>
      <c r="M12" s="150" t="s">
        <v>442</v>
      </c>
      <c r="N12" s="150" t="s">
        <v>37</v>
      </c>
      <c r="O12" s="150" t="s">
        <v>468</v>
      </c>
      <c r="P12" s="154" t="s">
        <v>469</v>
      </c>
      <c r="Q12" s="154" t="s">
        <v>471</v>
      </c>
      <c r="R12" s="150" t="s">
        <v>473</v>
      </c>
      <c r="S12" s="154" t="s">
        <v>470</v>
      </c>
      <c r="T12" s="150" t="s">
        <v>472</v>
      </c>
      <c r="U12" s="153" t="s">
        <v>491</v>
      </c>
    </row>
    <row r="13" spans="1:26" s="58" customFormat="1" ht="11.25" customHeight="1">
      <c r="A13" s="65" t="s">
        <v>71</v>
      </c>
      <c r="B13" s="65" t="s">
        <v>467</v>
      </c>
      <c r="C13" s="65"/>
      <c r="D13" s="67">
        <v>1</v>
      </c>
      <c r="E13" s="95" t="s">
        <v>73</v>
      </c>
      <c r="F13" s="48">
        <f ca="1">(INDIRECT("'Data'!CD"&amp;($C$1)))</f>
        <v>0</v>
      </c>
      <c r="G13" s="49">
        <f ca="1">(INDIRECT("'Data'!BG"&amp;($C$1)))</f>
        <v>0</v>
      </c>
      <c r="H13" s="49" t="str">
        <f ca="1">(INDIRECT("'Data'!AH"&amp;($C$1)))</f>
        <v>Site_Contact_646</v>
      </c>
      <c r="I13" s="49" t="str">
        <f ca="1">(INDIRECT("'Data'!F"&amp;($C$1)))</f>
        <v>EXCHANGE GAS METER TO SECURE SMART CREDIT</v>
      </c>
      <c r="J13" s="48">
        <f ca="1">(INDIRECT("'Data'!AS"&amp;($C$1)))</f>
        <v>0</v>
      </c>
      <c r="K13" s="48" t="str">
        <f ca="1">(INDIRECT("'Data'!AT"&amp;($C$1)))</f>
        <v>TPJR00530</v>
      </c>
      <c r="L13" s="48">
        <f ca="1">(INDIRECT("'Data'!AU"&amp;($C$1)))</f>
        <v>0</v>
      </c>
      <c r="M13" s="48">
        <f ca="1">(INDIRECT("'Data'!AV"&amp;($C$1)))</f>
        <v>646</v>
      </c>
      <c r="N13" s="48" t="str">
        <f ca="1">(INDIRECT("'Data'!AW"&amp;($C$1)))</f>
        <v>EXCH1 ROAD</v>
      </c>
      <c r="O13" s="58" t="s">
        <v>73</v>
      </c>
      <c r="P13" s="59" t="s">
        <v>73</v>
      </c>
      <c r="Q13" s="59" t="s">
        <v>265</v>
      </c>
      <c r="R13" s="60" t="s">
        <v>73</v>
      </c>
      <c r="S13" s="59" t="s">
        <v>75</v>
      </c>
      <c r="T13" s="61" t="s">
        <v>100</v>
      </c>
      <c r="U13" s="86"/>
    </row>
    <row r="14" spans="1:26" s="150" customFormat="1" ht="6.75">
      <c r="A14" s="150" t="s">
        <v>68</v>
      </c>
      <c r="B14" s="150" t="s">
        <v>455</v>
      </c>
      <c r="C14" s="150" t="s">
        <v>443</v>
      </c>
      <c r="D14" s="150" t="s">
        <v>444</v>
      </c>
      <c r="E14" s="150" t="s">
        <v>493</v>
      </c>
      <c r="F14" s="150" t="s">
        <v>475</v>
      </c>
      <c r="G14" s="150" t="s">
        <v>439</v>
      </c>
      <c r="H14" s="150" t="s">
        <v>447</v>
      </c>
      <c r="I14" s="150" t="s">
        <v>37</v>
      </c>
      <c r="J14" s="150" t="s">
        <v>94</v>
      </c>
      <c r="K14" s="153" t="s">
        <v>491</v>
      </c>
      <c r="L14" s="154" t="s">
        <v>77</v>
      </c>
      <c r="M14" s="154" t="s">
        <v>77</v>
      </c>
      <c r="N14" s="155" t="s">
        <v>77</v>
      </c>
      <c r="O14" s="154"/>
      <c r="P14" s="154"/>
      <c r="R14" s="154"/>
    </row>
    <row r="15" spans="1:26" s="44" customFormat="1" ht="11.25" customHeight="1">
      <c r="A15" s="65" t="s">
        <v>71</v>
      </c>
      <c r="B15" s="65" t="s">
        <v>474</v>
      </c>
      <c r="C15" s="65"/>
      <c r="D15" s="67">
        <v>1</v>
      </c>
      <c r="E15" s="94" t="s">
        <v>73</v>
      </c>
      <c r="F15" s="48">
        <f ca="1">(INDIRECT("'Data'!CD"&amp;($C$1)))</f>
        <v>0</v>
      </c>
      <c r="G15" s="49">
        <f ca="1">(INDIRECT("'Data'!BG"&amp;($C$1)))</f>
        <v>0</v>
      </c>
      <c r="H15" s="49" t="str">
        <f ca="1">(INDIRECT("'Data'!F"&amp;($C$1)))</f>
        <v>EXCHANGE GAS METER TO SECURE SMART CREDIT</v>
      </c>
      <c r="I15" s="48" t="str">
        <f ca="1">(INDIRECT("'Data'!AW"&amp;($C$1)))</f>
        <v>EXCH1 ROAD</v>
      </c>
      <c r="J15" s="44" t="s">
        <v>73</v>
      </c>
      <c r="K15" s="86"/>
      <c r="L15" s="62"/>
      <c r="M15" s="62"/>
      <c r="N15" s="63"/>
      <c r="O15" s="62"/>
      <c r="P15" s="62"/>
      <c r="Q15" s="47"/>
      <c r="R15" s="62"/>
    </row>
    <row r="16" spans="1:26" s="150" customFormat="1" ht="6.75">
      <c r="A16" s="150" t="s">
        <v>68</v>
      </c>
      <c r="B16" s="150" t="s">
        <v>455</v>
      </c>
      <c r="C16" s="150" t="s">
        <v>443</v>
      </c>
      <c r="D16" s="150" t="s">
        <v>444</v>
      </c>
      <c r="E16" s="150" t="s">
        <v>493</v>
      </c>
      <c r="F16" s="150" t="s">
        <v>477</v>
      </c>
      <c r="G16" s="150" t="s">
        <v>478</v>
      </c>
      <c r="H16" s="154" t="s">
        <v>480</v>
      </c>
      <c r="I16" s="150" t="s">
        <v>96</v>
      </c>
      <c r="J16" s="154" t="s">
        <v>481</v>
      </c>
      <c r="K16" s="154" t="s">
        <v>482</v>
      </c>
      <c r="L16" s="150" t="s">
        <v>475</v>
      </c>
      <c r="M16" s="150" t="s">
        <v>817</v>
      </c>
      <c r="N16" s="150" t="s">
        <v>479</v>
      </c>
      <c r="O16" s="150" t="s">
        <v>483</v>
      </c>
      <c r="P16" s="153" t="s">
        <v>491</v>
      </c>
    </row>
    <row r="17" spans="1:46" s="58" customFormat="1" ht="11.25" customHeight="1">
      <c r="A17" s="69" t="s">
        <v>71</v>
      </c>
      <c r="B17" s="69" t="s">
        <v>97</v>
      </c>
      <c r="C17" s="70"/>
      <c r="D17" s="71">
        <v>1</v>
      </c>
      <c r="E17" s="95" t="s">
        <v>73</v>
      </c>
      <c r="F17" s="73" t="s">
        <v>73</v>
      </c>
      <c r="G17" s="73" t="s">
        <v>73</v>
      </c>
      <c r="H17" s="74" t="s">
        <v>77</v>
      </c>
      <c r="I17" s="73" t="s">
        <v>77</v>
      </c>
      <c r="J17" s="74" t="s">
        <v>77</v>
      </c>
      <c r="K17" s="74" t="s">
        <v>77</v>
      </c>
      <c r="L17" s="48">
        <f ca="1">(INDIRECT("'Data'!CD"&amp;($C$1)))</f>
        <v>0</v>
      </c>
      <c r="M17" s="75"/>
      <c r="N17" s="73"/>
      <c r="O17" s="75"/>
      <c r="P17" s="86"/>
    </row>
    <row r="18" spans="1:46" s="153" customFormat="1" ht="6.75">
      <c r="A18" s="153" t="s">
        <v>68</v>
      </c>
      <c r="B18" s="153" t="s">
        <v>455</v>
      </c>
      <c r="C18" s="150" t="s">
        <v>443</v>
      </c>
      <c r="D18" s="150" t="s">
        <v>444</v>
      </c>
      <c r="E18" s="153" t="s">
        <v>493</v>
      </c>
      <c r="F18" s="153" t="s">
        <v>501</v>
      </c>
      <c r="G18" s="153" t="s">
        <v>507</v>
      </c>
      <c r="H18" s="153" t="s">
        <v>506</v>
      </c>
      <c r="I18" s="153" t="s">
        <v>724</v>
      </c>
      <c r="J18" s="153" t="s">
        <v>508</v>
      </c>
      <c r="K18" s="153" t="s">
        <v>504</v>
      </c>
      <c r="L18" s="153" t="s">
        <v>722</v>
      </c>
      <c r="M18" s="153" t="s">
        <v>491</v>
      </c>
    </row>
    <row r="19" spans="1:46" s="88" customFormat="1" ht="10.5" customHeight="1">
      <c r="A19" s="134" t="s">
        <v>71</v>
      </c>
      <c r="B19" s="134" t="s">
        <v>720</v>
      </c>
      <c r="C19" s="130"/>
      <c r="D19" s="83">
        <v>1</v>
      </c>
      <c r="E19" s="96" t="s">
        <v>73</v>
      </c>
      <c r="F19" s="86" t="s">
        <v>75</v>
      </c>
      <c r="G19" s="86"/>
      <c r="H19" s="86"/>
      <c r="I19" s="86"/>
      <c r="J19" s="86"/>
      <c r="K19" s="86"/>
      <c r="L19" s="86"/>
      <c r="M19" s="86"/>
      <c r="N19" s="86"/>
      <c r="O19" s="86"/>
      <c r="P19" s="86"/>
      <c r="Q19" s="86"/>
      <c r="R19" s="86"/>
      <c r="S19" s="86"/>
      <c r="T19" s="86"/>
      <c r="U19" s="86"/>
      <c r="V19" s="131"/>
      <c r="W19" s="86"/>
      <c r="X19" s="86"/>
      <c r="AE19" s="86"/>
      <c r="AG19" s="86"/>
    </row>
    <row r="20" spans="1:46" s="153" customFormat="1" ht="6.75">
      <c r="A20" s="153" t="s">
        <v>68</v>
      </c>
      <c r="B20" s="153" t="s">
        <v>455</v>
      </c>
      <c r="C20" s="150" t="s">
        <v>443</v>
      </c>
      <c r="D20" s="150" t="s">
        <v>444</v>
      </c>
      <c r="E20" s="153" t="s">
        <v>493</v>
      </c>
      <c r="F20" s="153" t="s">
        <v>725</v>
      </c>
      <c r="G20" s="153" t="s">
        <v>520</v>
      </c>
      <c r="H20" s="153" t="s">
        <v>726</v>
      </c>
      <c r="I20" s="153" t="s">
        <v>728</v>
      </c>
      <c r="J20" s="153" t="s">
        <v>553</v>
      </c>
      <c r="K20" s="153" t="s">
        <v>729</v>
      </c>
      <c r="L20" s="153" t="s">
        <v>516</v>
      </c>
      <c r="M20" s="153" t="s">
        <v>730</v>
      </c>
      <c r="N20" s="153" t="s">
        <v>524</v>
      </c>
      <c r="O20" s="153" t="s">
        <v>491</v>
      </c>
    </row>
    <row r="21" spans="1:46" s="88" customFormat="1" ht="10.5" customHeight="1">
      <c r="A21" s="84" t="s">
        <v>71</v>
      </c>
      <c r="B21" s="84" t="s">
        <v>723</v>
      </c>
      <c r="C21" s="85"/>
      <c r="D21" s="71">
        <v>1</v>
      </c>
      <c r="E21" s="96" t="s">
        <v>73</v>
      </c>
      <c r="F21" s="86"/>
      <c r="G21" s="86" t="s">
        <v>73</v>
      </c>
      <c r="H21" s="86" t="s">
        <v>727</v>
      </c>
      <c r="I21" s="86"/>
      <c r="J21" s="86"/>
      <c r="K21" s="86"/>
      <c r="L21" s="86"/>
      <c r="M21" s="86"/>
      <c r="N21" s="86"/>
      <c r="O21" s="86"/>
    </row>
    <row r="22" spans="1:46" s="153" customFormat="1" ht="6.75">
      <c r="A22" s="153" t="s">
        <v>68</v>
      </c>
      <c r="B22" s="153" t="s">
        <v>455</v>
      </c>
      <c r="C22" s="150" t="s">
        <v>443</v>
      </c>
      <c r="D22" s="150" t="s">
        <v>444</v>
      </c>
      <c r="E22" s="153" t="s">
        <v>493</v>
      </c>
      <c r="F22" s="153" t="s">
        <v>526</v>
      </c>
      <c r="G22" s="153" t="s">
        <v>811</v>
      </c>
      <c r="H22" s="153" t="s">
        <v>842</v>
      </c>
      <c r="I22" s="153" t="s">
        <v>471</v>
      </c>
      <c r="J22" s="153" t="s">
        <v>491</v>
      </c>
    </row>
    <row r="23" spans="1:46" s="88" customFormat="1" ht="10.5" customHeight="1">
      <c r="A23" s="134" t="s">
        <v>71</v>
      </c>
      <c r="B23" s="134" t="s">
        <v>810</v>
      </c>
      <c r="C23" s="130"/>
      <c r="D23" s="83">
        <v>1</v>
      </c>
      <c r="E23" s="96" t="s">
        <v>73</v>
      </c>
      <c r="F23" s="86" t="s">
        <v>73</v>
      </c>
      <c r="G23" s="86"/>
      <c r="H23" s="86" t="s">
        <v>843</v>
      </c>
      <c r="I23" s="86" t="s">
        <v>812</v>
      </c>
      <c r="J23" s="86"/>
      <c r="K23" s="86"/>
      <c r="L23" s="86"/>
      <c r="M23" s="86"/>
      <c r="N23" s="86"/>
      <c r="O23" s="86"/>
      <c r="P23" s="86"/>
      <c r="Q23" s="86"/>
      <c r="R23" s="86"/>
      <c r="S23" s="86"/>
      <c r="T23" s="86"/>
      <c r="U23" s="86"/>
      <c r="V23" s="86"/>
      <c r="W23" s="86"/>
      <c r="X23" s="86"/>
      <c r="Y23" s="86"/>
      <c r="Z23" s="131"/>
      <c r="AA23" s="86"/>
      <c r="AB23" s="86"/>
      <c r="AI23" s="86"/>
      <c r="AK23" s="86"/>
    </row>
    <row r="24" spans="1:46" s="153" customFormat="1" ht="6.75">
      <c r="A24" s="153" t="s">
        <v>68</v>
      </c>
      <c r="B24" s="153" t="s">
        <v>455</v>
      </c>
      <c r="C24" s="150" t="s">
        <v>443</v>
      </c>
      <c r="D24" s="150" t="s">
        <v>444</v>
      </c>
      <c r="E24" s="153" t="s">
        <v>493</v>
      </c>
      <c r="F24" s="153" t="s">
        <v>491</v>
      </c>
    </row>
    <row r="25" spans="1:46" s="88" customFormat="1" ht="10.5" customHeight="1">
      <c r="A25" s="134" t="s">
        <v>71</v>
      </c>
      <c r="B25" s="134" t="s">
        <v>721</v>
      </c>
      <c r="C25" s="130"/>
      <c r="D25" s="83">
        <v>1</v>
      </c>
      <c r="E25" s="96" t="s">
        <v>73</v>
      </c>
      <c r="F25" s="86"/>
      <c r="G25" s="86"/>
      <c r="H25" s="86"/>
      <c r="I25" s="86"/>
      <c r="J25" s="86"/>
      <c r="K25" s="86"/>
      <c r="L25" s="86"/>
      <c r="M25" s="86"/>
      <c r="N25" s="86"/>
      <c r="O25" s="86"/>
      <c r="P25" s="86"/>
      <c r="Q25" s="86"/>
      <c r="R25" s="86"/>
      <c r="S25" s="86"/>
      <c r="T25" s="86"/>
      <c r="U25" s="86"/>
      <c r="V25" s="86"/>
      <c r="W25" s="86"/>
      <c r="X25" s="131"/>
      <c r="Y25" s="86"/>
      <c r="Z25" s="86"/>
      <c r="AG25" s="86"/>
      <c r="AI25" s="86"/>
    </row>
    <row r="26" spans="1:46" s="150" customFormat="1" ht="6.75">
      <c r="A26" s="150" t="s">
        <v>68</v>
      </c>
      <c r="B26" s="150" t="s">
        <v>455</v>
      </c>
      <c r="C26" s="150" t="s">
        <v>443</v>
      </c>
      <c r="D26" s="150" t="s">
        <v>444</v>
      </c>
      <c r="E26" s="150" t="s">
        <v>493</v>
      </c>
      <c r="F26" s="150" t="s">
        <v>733</v>
      </c>
      <c r="G26" s="150" t="s">
        <v>566</v>
      </c>
      <c r="H26" s="150" t="s">
        <v>538</v>
      </c>
      <c r="I26" s="150" t="s">
        <v>539</v>
      </c>
      <c r="J26" s="150" t="s">
        <v>540</v>
      </c>
      <c r="K26" s="150" t="s">
        <v>734</v>
      </c>
      <c r="L26" s="150" t="s">
        <v>491</v>
      </c>
    </row>
    <row r="27" spans="1:46" s="58" customFormat="1" ht="11.25">
      <c r="A27" s="69" t="s">
        <v>71</v>
      </c>
      <c r="B27" s="69" t="s">
        <v>731</v>
      </c>
      <c r="C27" s="70"/>
      <c r="D27" s="71">
        <v>1</v>
      </c>
      <c r="E27" s="95" t="s">
        <v>73</v>
      </c>
      <c r="F27" s="95" t="s">
        <v>73</v>
      </c>
      <c r="G27" s="95" t="s">
        <v>109</v>
      </c>
      <c r="H27" s="95" t="s">
        <v>108</v>
      </c>
      <c r="I27" s="95" t="s">
        <v>75</v>
      </c>
      <c r="J27" s="95"/>
    </row>
    <row r="28" spans="1:46" s="150" customFormat="1" ht="6.75">
      <c r="A28" s="150" t="s">
        <v>68</v>
      </c>
      <c r="B28" s="150" t="s">
        <v>455</v>
      </c>
      <c r="C28" s="150" t="s">
        <v>443</v>
      </c>
      <c r="D28" s="150" t="s">
        <v>444</v>
      </c>
      <c r="E28" s="150" t="s">
        <v>493</v>
      </c>
      <c r="F28" s="150" t="s">
        <v>547</v>
      </c>
      <c r="G28" s="150" t="s">
        <v>549</v>
      </c>
      <c r="H28" s="150" t="s">
        <v>546</v>
      </c>
      <c r="I28" s="150" t="s">
        <v>735</v>
      </c>
      <c r="J28" s="150" t="s">
        <v>567</v>
      </c>
      <c r="K28" s="150" t="s">
        <v>736</v>
      </c>
      <c r="L28" s="150" t="s">
        <v>737</v>
      </c>
      <c r="M28" s="150" t="s">
        <v>553</v>
      </c>
      <c r="N28" s="150" t="s">
        <v>729</v>
      </c>
      <c r="O28" s="150" t="s">
        <v>516</v>
      </c>
      <c r="P28" s="150" t="s">
        <v>491</v>
      </c>
    </row>
    <row r="29" spans="1:46" s="58" customFormat="1" ht="11.25">
      <c r="A29" s="69" t="s">
        <v>71</v>
      </c>
      <c r="B29" s="69" t="s">
        <v>732</v>
      </c>
      <c r="C29" s="70"/>
      <c r="D29" s="71">
        <v>1</v>
      </c>
      <c r="E29" s="95" t="s">
        <v>73</v>
      </c>
      <c r="F29" s="58" t="s">
        <v>73</v>
      </c>
      <c r="H29" s="58" t="s">
        <v>73</v>
      </c>
    </row>
    <row r="30" spans="1:46" s="153" customFormat="1" ht="6.75">
      <c r="A30" s="153" t="s">
        <v>68</v>
      </c>
      <c r="B30" s="153" t="s">
        <v>455</v>
      </c>
      <c r="C30" s="150" t="s">
        <v>443</v>
      </c>
      <c r="D30" s="150" t="s">
        <v>444</v>
      </c>
      <c r="E30" s="153" t="s">
        <v>493</v>
      </c>
      <c r="F30" s="153" t="s">
        <v>784</v>
      </c>
      <c r="G30" s="153" t="s">
        <v>787</v>
      </c>
      <c r="H30" s="153" t="s">
        <v>404</v>
      </c>
      <c r="I30" s="153" t="s">
        <v>785</v>
      </c>
      <c r="J30" s="153" t="s">
        <v>753</v>
      </c>
      <c r="K30" s="153" t="s">
        <v>786</v>
      </c>
      <c r="L30" s="153" t="s">
        <v>491</v>
      </c>
    </row>
    <row r="31" spans="1:46" s="88" customFormat="1" ht="10.5" customHeight="1">
      <c r="A31" s="84" t="s">
        <v>71</v>
      </c>
      <c r="B31" s="84" t="s">
        <v>788</v>
      </c>
      <c r="C31" s="85"/>
      <c r="D31" s="71">
        <v>1</v>
      </c>
      <c r="E31" s="96" t="s">
        <v>73</v>
      </c>
      <c r="F31" s="86" t="s">
        <v>73</v>
      </c>
      <c r="G31" s="86">
        <v>99</v>
      </c>
      <c r="H31" s="86">
        <v>99</v>
      </c>
      <c r="I31" s="86">
        <v>99</v>
      </c>
      <c r="J31" s="86">
        <v>99</v>
      </c>
      <c r="K31" s="86" t="s">
        <v>73</v>
      </c>
      <c r="L31" s="86"/>
      <c r="M31" s="86"/>
      <c r="N31" s="86"/>
      <c r="O31" s="86"/>
      <c r="P31" s="86"/>
      <c r="Q31" s="86"/>
      <c r="R31" s="86"/>
      <c r="S31" s="86"/>
      <c r="T31" s="86"/>
      <c r="U31" s="86"/>
      <c r="V31" s="86"/>
      <c r="W31" s="86"/>
      <c r="X31" s="131"/>
      <c r="Y31" s="86"/>
      <c r="Z31" s="86"/>
      <c r="AG31" s="86"/>
      <c r="AI31" s="86"/>
    </row>
    <row r="32" spans="1:46" s="156" customFormat="1" ht="6.75">
      <c r="A32" s="156" t="s">
        <v>68</v>
      </c>
      <c r="B32" s="150" t="s">
        <v>455</v>
      </c>
      <c r="C32" s="150" t="s">
        <v>443</v>
      </c>
      <c r="D32" s="150" t="s">
        <v>444</v>
      </c>
      <c r="E32" s="156" t="s">
        <v>493</v>
      </c>
      <c r="F32" s="156" t="s">
        <v>750</v>
      </c>
      <c r="G32" s="156" t="s">
        <v>116</v>
      </c>
      <c r="H32" s="156" t="s">
        <v>117</v>
      </c>
      <c r="I32" s="156" t="s">
        <v>118</v>
      </c>
      <c r="J32" s="156" t="s">
        <v>123</v>
      </c>
      <c r="K32" s="156" t="s">
        <v>119</v>
      </c>
      <c r="L32" s="156" t="s">
        <v>221</v>
      </c>
      <c r="M32" s="156" t="s">
        <v>171</v>
      </c>
      <c r="N32" s="156" t="s">
        <v>172</v>
      </c>
      <c r="O32" s="156" t="s">
        <v>177</v>
      </c>
      <c r="P32" s="156" t="s">
        <v>169</v>
      </c>
      <c r="Q32" s="156" t="s">
        <v>170</v>
      </c>
      <c r="R32" s="156" t="s">
        <v>268</v>
      </c>
      <c r="S32" s="156" t="s">
        <v>173</v>
      </c>
      <c r="T32" s="156" t="s">
        <v>174</v>
      </c>
      <c r="U32" s="156" t="s">
        <v>175</v>
      </c>
      <c r="V32" s="156" t="s">
        <v>176</v>
      </c>
      <c r="W32" s="156" t="s">
        <v>178</v>
      </c>
      <c r="X32" s="156" t="s">
        <v>179</v>
      </c>
      <c r="Y32" s="156" t="s">
        <v>180</v>
      </c>
      <c r="Z32" s="156" t="s">
        <v>181</v>
      </c>
      <c r="AA32" s="156" t="s">
        <v>182</v>
      </c>
      <c r="AB32" s="156" t="s">
        <v>282</v>
      </c>
      <c r="AC32" s="156" t="s">
        <v>281</v>
      </c>
      <c r="AD32" s="156" t="s">
        <v>281</v>
      </c>
      <c r="AE32" s="156" t="s">
        <v>186</v>
      </c>
      <c r="AF32" s="156" t="s">
        <v>187</v>
      </c>
      <c r="AG32" s="156" t="s">
        <v>192</v>
      </c>
      <c r="AH32" s="156" t="s">
        <v>188</v>
      </c>
      <c r="AI32" s="156" t="s">
        <v>198</v>
      </c>
      <c r="AJ32" s="156" t="s">
        <v>199</v>
      </c>
      <c r="AK32" s="156" t="s">
        <v>200</v>
      </c>
      <c r="AL32" s="156" t="s">
        <v>189</v>
      </c>
      <c r="AM32" s="156" t="s">
        <v>190</v>
      </c>
      <c r="AN32" s="156" t="s">
        <v>191</v>
      </c>
      <c r="AO32" s="156" t="s">
        <v>193</v>
      </c>
      <c r="AP32" s="156" t="s">
        <v>194</v>
      </c>
      <c r="AQ32" s="156" t="s">
        <v>195</v>
      </c>
      <c r="AR32" s="156" t="s">
        <v>196</v>
      </c>
      <c r="AS32" s="156" t="s">
        <v>197</v>
      </c>
      <c r="AT32" s="153" t="s">
        <v>491</v>
      </c>
    </row>
    <row r="33" spans="1:46" s="58" customFormat="1" ht="11.25">
      <c r="A33" s="69" t="s">
        <v>71</v>
      </c>
      <c r="B33" s="69" t="s">
        <v>568</v>
      </c>
      <c r="C33" s="70"/>
      <c r="D33" s="71">
        <v>1</v>
      </c>
      <c r="E33" s="97" t="s">
        <v>73</v>
      </c>
      <c r="F33" s="58" t="s">
        <v>73</v>
      </c>
      <c r="G33" s="61"/>
      <c r="H33" s="61" t="s">
        <v>77</v>
      </c>
      <c r="I33" s="61" t="s">
        <v>77</v>
      </c>
      <c r="J33" s="61"/>
      <c r="K33" s="61"/>
      <c r="L33" s="61"/>
      <c r="M33" s="61">
        <f ca="1">(INDIRECT("'Data'!BQ"&amp;($C$1)))</f>
        <v>0</v>
      </c>
      <c r="N33" s="61"/>
      <c r="O33" s="61">
        <f ca="1">(INDIRECT("'Data'!CI"&amp;($C$1)))</f>
        <v>1</v>
      </c>
      <c r="P33" s="61">
        <f ca="1">(INDIRECT("'Data'!BX"&amp;($C$1)))</f>
        <v>0</v>
      </c>
      <c r="Q33" s="61">
        <f ca="1">(INDIRECT("'Data'!BW"&amp;($C$1)))</f>
        <v>0</v>
      </c>
      <c r="R33" s="61" t="str">
        <f ca="1">(INDIRECT("'Data'!CJ"&amp;($C$1)))</f>
        <v>GAS_ENQ_NO-646</v>
      </c>
      <c r="S33" s="61" t="str">
        <f ca="1">(INDIRECT("'Data'!CK"&amp;($C$1)))</f>
        <v>G4</v>
      </c>
      <c r="T33" s="61"/>
      <c r="U33" s="61"/>
      <c r="V33" s="61"/>
      <c r="W33" s="61"/>
      <c r="X33" s="61"/>
      <c r="Y33" s="61"/>
      <c r="Z33" s="60"/>
      <c r="AA33" s="61"/>
      <c r="AB33" s="61"/>
      <c r="AC33" s="61"/>
      <c r="AD33" s="61"/>
      <c r="AT33" s="86"/>
    </row>
    <row r="34" spans="1:46" s="150" customFormat="1" ht="6.75">
      <c r="A34" s="150" t="s">
        <v>68</v>
      </c>
      <c r="B34" s="150" t="s">
        <v>455</v>
      </c>
      <c r="C34" s="150" t="s">
        <v>443</v>
      </c>
      <c r="D34" s="150" t="s">
        <v>444</v>
      </c>
      <c r="E34" s="150" t="s">
        <v>493</v>
      </c>
      <c r="F34" s="150" t="s">
        <v>203</v>
      </c>
      <c r="G34" s="150" t="s">
        <v>204</v>
      </c>
      <c r="H34" s="150" t="s">
        <v>205</v>
      </c>
      <c r="I34" s="150" t="s">
        <v>284</v>
      </c>
      <c r="J34" s="150" t="s">
        <v>206</v>
      </c>
      <c r="K34" s="150" t="s">
        <v>207</v>
      </c>
      <c r="L34" s="150" t="s">
        <v>208</v>
      </c>
      <c r="M34" s="150" t="s">
        <v>209</v>
      </c>
      <c r="N34" s="150" t="s">
        <v>210</v>
      </c>
      <c r="O34" s="150" t="s">
        <v>211</v>
      </c>
      <c r="P34" s="150" t="s">
        <v>212</v>
      </c>
      <c r="Q34" s="150" t="s">
        <v>213</v>
      </c>
      <c r="R34" s="150" t="s">
        <v>214</v>
      </c>
      <c r="S34" s="150" t="s">
        <v>215</v>
      </c>
      <c r="T34" s="150" t="s">
        <v>216</v>
      </c>
      <c r="U34" s="150" t="s">
        <v>217</v>
      </c>
      <c r="V34" s="153" t="s">
        <v>491</v>
      </c>
    </row>
    <row r="35" spans="1:46" s="58" customFormat="1" ht="11.25">
      <c r="A35" s="69" t="s">
        <v>71</v>
      </c>
      <c r="B35" s="69" t="s">
        <v>570</v>
      </c>
      <c r="C35" s="70"/>
      <c r="D35" s="71">
        <v>1</v>
      </c>
      <c r="E35" s="95" t="s">
        <v>73</v>
      </c>
      <c r="F35" s="49">
        <f ca="1">(INDIRECT("'Data'!BL"&amp;($C$1)))</f>
        <v>0</v>
      </c>
      <c r="G35" s="49">
        <f ca="1">(INDIRECT("'Data'!BX"&amp;($C$1)))</f>
        <v>0</v>
      </c>
      <c r="H35" s="58" t="s">
        <v>280</v>
      </c>
      <c r="I35" s="61">
        <v>1</v>
      </c>
      <c r="N35" s="58" t="s">
        <v>218</v>
      </c>
      <c r="O35" s="58" t="s">
        <v>285</v>
      </c>
      <c r="P35" s="58" t="s">
        <v>286</v>
      </c>
      <c r="Q35" s="58" t="s">
        <v>287</v>
      </c>
      <c r="R35" s="58" t="s">
        <v>75</v>
      </c>
      <c r="S35" s="58" t="s">
        <v>219</v>
      </c>
      <c r="T35" s="58" t="s">
        <v>120</v>
      </c>
      <c r="U35" s="58" t="s">
        <v>73</v>
      </c>
      <c r="V35" s="86"/>
    </row>
    <row r="36" spans="1:46" s="150" customFormat="1" ht="6.75">
      <c r="A36" s="150" t="s">
        <v>68</v>
      </c>
      <c r="B36" s="150" t="s">
        <v>455</v>
      </c>
      <c r="C36" s="150" t="s">
        <v>443</v>
      </c>
      <c r="D36" s="150" t="s">
        <v>444</v>
      </c>
      <c r="E36" s="150" t="s">
        <v>493</v>
      </c>
      <c r="F36" s="150" t="s">
        <v>574</v>
      </c>
      <c r="G36" s="150" t="s">
        <v>575</v>
      </c>
      <c r="H36" s="153" t="s">
        <v>491</v>
      </c>
    </row>
    <row r="37" spans="1:46" s="58" customFormat="1" ht="11.25">
      <c r="A37" s="69" t="s">
        <v>71</v>
      </c>
      <c r="B37" s="69" t="s">
        <v>578</v>
      </c>
      <c r="C37" s="70"/>
      <c r="D37" s="71">
        <v>1</v>
      </c>
      <c r="E37" s="95" t="s">
        <v>73</v>
      </c>
      <c r="F37" s="58" t="s">
        <v>120</v>
      </c>
      <c r="G37" s="60" t="s">
        <v>73</v>
      </c>
      <c r="H37" s="86"/>
    </row>
    <row r="38" spans="1:46" s="150" customFormat="1" ht="6.75">
      <c r="A38" s="150" t="s">
        <v>68</v>
      </c>
      <c r="B38" s="150" t="s">
        <v>455</v>
      </c>
      <c r="C38" s="150" t="s">
        <v>443</v>
      </c>
      <c r="D38" s="150" t="s">
        <v>444</v>
      </c>
      <c r="E38" s="150" t="s">
        <v>493</v>
      </c>
      <c r="F38" s="150" t="s">
        <v>579</v>
      </c>
      <c r="G38" s="150" t="s">
        <v>577</v>
      </c>
      <c r="H38" s="150" t="s">
        <v>83</v>
      </c>
      <c r="I38" s="150" t="s">
        <v>584</v>
      </c>
      <c r="J38" s="150" t="s">
        <v>576</v>
      </c>
      <c r="K38" s="150" t="s">
        <v>220</v>
      </c>
      <c r="L38" s="153" t="s">
        <v>491</v>
      </c>
    </row>
    <row r="39" spans="1:46" s="58" customFormat="1" ht="11.25">
      <c r="A39" s="69" t="s">
        <v>71</v>
      </c>
      <c r="B39" s="69" t="s">
        <v>580</v>
      </c>
      <c r="C39" s="70" t="s">
        <v>77</v>
      </c>
      <c r="D39" s="71">
        <v>1</v>
      </c>
      <c r="E39" s="95" t="s">
        <v>73</v>
      </c>
      <c r="F39" s="74" t="s">
        <v>754</v>
      </c>
      <c r="G39" s="74" t="s">
        <v>755</v>
      </c>
      <c r="H39" s="74" t="s">
        <v>756</v>
      </c>
      <c r="I39" s="89"/>
      <c r="J39" s="74" t="s">
        <v>124</v>
      </c>
      <c r="K39" s="75" t="s">
        <v>585</v>
      </c>
      <c r="L39" s="86"/>
    </row>
    <row r="40" spans="1:46" s="150" customFormat="1" ht="6.75">
      <c r="A40" s="150" t="s">
        <v>68</v>
      </c>
      <c r="B40" s="150" t="s">
        <v>455</v>
      </c>
      <c r="C40" s="150" t="s">
        <v>443</v>
      </c>
      <c r="D40" s="150" t="s">
        <v>444</v>
      </c>
      <c r="E40" s="150" t="s">
        <v>493</v>
      </c>
      <c r="F40" s="150" t="s">
        <v>318</v>
      </c>
      <c r="G40" s="150" t="s">
        <v>587</v>
      </c>
      <c r="H40" s="150" t="s">
        <v>319</v>
      </c>
      <c r="I40" s="150" t="s">
        <v>125</v>
      </c>
      <c r="J40" s="150" t="s">
        <v>588</v>
      </c>
      <c r="K40" s="150" t="s">
        <v>589</v>
      </c>
      <c r="L40" s="150" t="s">
        <v>320</v>
      </c>
      <c r="M40" s="150" t="s">
        <v>321</v>
      </c>
      <c r="N40" s="150" t="s">
        <v>89</v>
      </c>
      <c r="O40" s="150" t="s">
        <v>590</v>
      </c>
      <c r="P40" s="150" t="s">
        <v>419</v>
      </c>
      <c r="Q40" s="153" t="s">
        <v>491</v>
      </c>
    </row>
    <row r="41" spans="1:46" s="78" customFormat="1" ht="11.25" customHeight="1">
      <c r="A41" s="69" t="s">
        <v>71</v>
      </c>
      <c r="B41" s="69" t="s">
        <v>586</v>
      </c>
      <c r="C41" s="69"/>
      <c r="D41" s="71">
        <v>1</v>
      </c>
      <c r="E41" s="95" t="s">
        <v>73</v>
      </c>
      <c r="F41" s="76" t="s">
        <v>73</v>
      </c>
      <c r="G41" s="76" t="s">
        <v>73</v>
      </c>
      <c r="H41" s="76" t="s">
        <v>322</v>
      </c>
      <c r="I41" s="76" t="s">
        <v>323</v>
      </c>
      <c r="J41" s="76" t="s">
        <v>73</v>
      </c>
      <c r="K41" s="76" t="s">
        <v>73</v>
      </c>
      <c r="L41" s="78" t="s">
        <v>73</v>
      </c>
      <c r="M41" s="78" t="s">
        <v>73</v>
      </c>
      <c r="N41" s="76" t="s">
        <v>73</v>
      </c>
      <c r="O41" s="78" t="s">
        <v>73</v>
      </c>
      <c r="P41" s="76" t="s">
        <v>73</v>
      </c>
      <c r="Q41" s="86"/>
    </row>
    <row r="42" spans="1:46" s="150" customFormat="1" ht="6.75">
      <c r="A42" s="150" t="s">
        <v>68</v>
      </c>
      <c r="B42" s="150" t="s">
        <v>455</v>
      </c>
      <c r="C42" s="150" t="s">
        <v>443</v>
      </c>
      <c r="D42" s="150" t="s">
        <v>444</v>
      </c>
      <c r="E42" s="150" t="s">
        <v>493</v>
      </c>
      <c r="F42" s="150" t="s">
        <v>591</v>
      </c>
      <c r="G42" s="150" t="s">
        <v>593</v>
      </c>
      <c r="H42" s="150" t="s">
        <v>592</v>
      </c>
      <c r="I42" s="150" t="s">
        <v>302</v>
      </c>
      <c r="J42" s="150" t="s">
        <v>304</v>
      </c>
      <c r="K42" s="150" t="s">
        <v>475</v>
      </c>
      <c r="L42" s="153" t="s">
        <v>491</v>
      </c>
    </row>
    <row r="43" spans="1:46" s="79" customFormat="1" ht="11.25">
      <c r="A43" s="69" t="s">
        <v>71</v>
      </c>
      <c r="B43" s="69" t="s">
        <v>642</v>
      </c>
      <c r="C43" s="70" t="s">
        <v>77</v>
      </c>
      <c r="D43" s="71">
        <v>1</v>
      </c>
      <c r="E43" s="95" t="s">
        <v>73</v>
      </c>
      <c r="F43" s="79" t="s">
        <v>303</v>
      </c>
      <c r="G43" s="79" t="s">
        <v>65</v>
      </c>
      <c r="H43" s="79" t="s">
        <v>53</v>
      </c>
      <c r="I43" s="56"/>
      <c r="J43" s="79" t="s">
        <v>77</v>
      </c>
      <c r="K43" s="48">
        <f ca="1">(INDIRECT("'Data'!CD"&amp;($C$1)))</f>
        <v>0</v>
      </c>
      <c r="L43" s="86"/>
    </row>
    <row r="44" spans="1:46" s="150" customFormat="1" ht="6.75">
      <c r="A44" s="150" t="s">
        <v>68</v>
      </c>
      <c r="B44" s="150" t="s">
        <v>455</v>
      </c>
      <c r="C44" s="150" t="s">
        <v>443</v>
      </c>
      <c r="D44" s="150" t="s">
        <v>444</v>
      </c>
      <c r="E44" s="150" t="s">
        <v>493</v>
      </c>
      <c r="F44" s="150" t="s">
        <v>475</v>
      </c>
      <c r="G44" s="150" t="s">
        <v>789</v>
      </c>
      <c r="H44" s="150" t="s">
        <v>790</v>
      </c>
      <c r="I44" s="150" t="s">
        <v>791</v>
      </c>
      <c r="J44" s="150" t="s">
        <v>793</v>
      </c>
      <c r="K44" s="150" t="s">
        <v>794</v>
      </c>
      <c r="L44" s="150" t="s">
        <v>795</v>
      </c>
      <c r="M44" s="150" t="s">
        <v>796</v>
      </c>
      <c r="N44" s="150" t="s">
        <v>650</v>
      </c>
      <c r="O44" s="150" t="s">
        <v>651</v>
      </c>
      <c r="P44" s="153" t="s">
        <v>491</v>
      </c>
    </row>
    <row r="45" spans="1:46" s="79" customFormat="1" ht="11.25">
      <c r="A45" s="69" t="s">
        <v>71</v>
      </c>
      <c r="B45" s="69" t="s">
        <v>594</v>
      </c>
      <c r="C45" s="70" t="s">
        <v>77</v>
      </c>
      <c r="D45" s="71">
        <v>1</v>
      </c>
      <c r="E45" s="95" t="s">
        <v>73</v>
      </c>
      <c r="F45" s="48">
        <f ca="1">(INDIRECT("'Data'!CD"&amp;($C$1)))</f>
        <v>0</v>
      </c>
      <c r="G45" s="78" t="s">
        <v>73</v>
      </c>
      <c r="H45" s="78" t="s">
        <v>308</v>
      </c>
      <c r="I45" s="78" t="s">
        <v>792</v>
      </c>
      <c r="J45" s="76">
        <v>0</v>
      </c>
      <c r="K45" s="78" t="s">
        <v>231</v>
      </c>
      <c r="L45" s="78" t="s">
        <v>757</v>
      </c>
      <c r="M45" s="78" t="s">
        <v>313</v>
      </c>
      <c r="N45" s="79" t="s">
        <v>315</v>
      </c>
      <c r="O45" s="79" t="s">
        <v>65</v>
      </c>
      <c r="P45" s="86"/>
    </row>
    <row r="46" spans="1:46" s="150" customFormat="1" ht="6.75">
      <c r="A46" s="150" t="s">
        <v>68</v>
      </c>
      <c r="B46" s="150" t="s">
        <v>455</v>
      </c>
      <c r="C46" s="150" t="s">
        <v>443</v>
      </c>
      <c r="D46" s="150" t="s">
        <v>444</v>
      </c>
      <c r="E46" s="150" t="s">
        <v>493</v>
      </c>
      <c r="F46" s="150" t="s">
        <v>235</v>
      </c>
      <c r="G46" s="150" t="s">
        <v>238</v>
      </c>
      <c r="H46" s="150" t="s">
        <v>595</v>
      </c>
      <c r="I46" s="150" t="s">
        <v>596</v>
      </c>
      <c r="J46" s="150" t="s">
        <v>599</v>
      </c>
      <c r="K46" s="150" t="s">
        <v>237</v>
      </c>
      <c r="L46" s="150" t="s">
        <v>597</v>
      </c>
      <c r="M46" s="150" t="s">
        <v>236</v>
      </c>
      <c r="N46" s="153" t="s">
        <v>491</v>
      </c>
    </row>
    <row r="47" spans="1:46" s="79" customFormat="1" ht="11.25">
      <c r="A47" s="69" t="s">
        <v>71</v>
      </c>
      <c r="B47" s="69" t="s">
        <v>598</v>
      </c>
      <c r="C47" s="70"/>
      <c r="D47" s="71">
        <v>1</v>
      </c>
      <c r="E47" s="95" t="s">
        <v>73</v>
      </c>
      <c r="F47" s="56" t="s">
        <v>73</v>
      </c>
      <c r="G47" s="56" t="s">
        <v>238</v>
      </c>
      <c r="H47" s="56" t="s">
        <v>109</v>
      </c>
      <c r="I47" s="56" t="s">
        <v>168</v>
      </c>
      <c r="J47" s="56" t="s">
        <v>73</v>
      </c>
      <c r="K47" s="56" t="s">
        <v>237</v>
      </c>
      <c r="L47" s="56" t="s">
        <v>109</v>
      </c>
      <c r="M47" s="56" t="s">
        <v>236</v>
      </c>
      <c r="N47" s="86"/>
    </row>
    <row r="48" spans="1:46" s="102" customFormat="1" ht="6.75">
      <c r="A48" s="102" t="s">
        <v>68</v>
      </c>
      <c r="B48" s="102" t="s">
        <v>455</v>
      </c>
      <c r="C48" s="102" t="s">
        <v>443</v>
      </c>
      <c r="D48" s="102" t="s">
        <v>444</v>
      </c>
      <c r="E48" s="102" t="s">
        <v>493</v>
      </c>
      <c r="F48" s="147" t="s">
        <v>491</v>
      </c>
    </row>
    <row r="49" spans="1:45" s="79" customFormat="1" ht="11.25">
      <c r="A49" s="69" t="s">
        <v>71</v>
      </c>
      <c r="B49" s="69" t="s">
        <v>600</v>
      </c>
      <c r="C49" s="70"/>
      <c r="D49" s="71">
        <v>1</v>
      </c>
      <c r="E49" s="95" t="s">
        <v>73</v>
      </c>
      <c r="F49" s="86"/>
    </row>
    <row r="50" spans="1:45" s="150" customFormat="1" ht="6.75">
      <c r="A50" s="150" t="s">
        <v>68</v>
      </c>
      <c r="B50" s="150" t="s">
        <v>455</v>
      </c>
      <c r="C50" s="150" t="s">
        <v>443</v>
      </c>
      <c r="D50" s="150" t="s">
        <v>444</v>
      </c>
      <c r="E50" s="150" t="s">
        <v>493</v>
      </c>
      <c r="F50" s="150" t="s">
        <v>797</v>
      </c>
      <c r="G50" s="150" t="s">
        <v>800</v>
      </c>
      <c r="H50" s="150" t="s">
        <v>798</v>
      </c>
      <c r="I50" s="150" t="s">
        <v>815</v>
      </c>
      <c r="J50" s="150" t="s">
        <v>814</v>
      </c>
      <c r="K50" s="153" t="s">
        <v>491</v>
      </c>
    </row>
    <row r="51" spans="1:45" s="79" customFormat="1" ht="11.25">
      <c r="A51" s="69" t="s">
        <v>71</v>
      </c>
      <c r="B51" s="69" t="s">
        <v>799</v>
      </c>
      <c r="C51" s="70"/>
      <c r="D51" s="71">
        <v>1</v>
      </c>
      <c r="E51" s="95" t="s">
        <v>73</v>
      </c>
      <c r="F51" s="79" t="s">
        <v>73</v>
      </c>
      <c r="H51" s="79" t="s">
        <v>73</v>
      </c>
      <c r="K51" s="86"/>
    </row>
    <row r="52" spans="1:45" s="150" customFormat="1" ht="6.75">
      <c r="A52" s="150" t="s">
        <v>68</v>
      </c>
      <c r="B52" s="150" t="s">
        <v>455</v>
      </c>
      <c r="C52" s="150" t="s">
        <v>443</v>
      </c>
      <c r="D52" s="150" t="s">
        <v>444</v>
      </c>
      <c r="E52" s="150" t="s">
        <v>493</v>
      </c>
      <c r="F52" s="150" t="s">
        <v>801</v>
      </c>
      <c r="G52" s="153" t="s">
        <v>491</v>
      </c>
    </row>
    <row r="53" spans="1:45" s="79" customFormat="1" ht="11.25">
      <c r="A53" s="69" t="s">
        <v>71</v>
      </c>
      <c r="B53" s="69" t="s">
        <v>804</v>
      </c>
      <c r="C53" s="70"/>
      <c r="D53" s="71">
        <v>1</v>
      </c>
      <c r="E53" s="95" t="s">
        <v>73</v>
      </c>
      <c r="F53" s="79" t="s">
        <v>758</v>
      </c>
      <c r="G53" s="86"/>
    </row>
    <row r="54" spans="1:45" s="150" customFormat="1" ht="7.5" customHeight="1">
      <c r="A54" s="150" t="s">
        <v>68</v>
      </c>
      <c r="B54" s="150" t="s">
        <v>455</v>
      </c>
      <c r="C54" s="150" t="s">
        <v>443</v>
      </c>
      <c r="D54" s="150" t="s">
        <v>444</v>
      </c>
      <c r="E54" s="150" t="s">
        <v>493</v>
      </c>
      <c r="F54" s="150" t="s">
        <v>802</v>
      </c>
      <c r="G54" s="150" t="s">
        <v>803</v>
      </c>
      <c r="H54" s="153" t="s">
        <v>491</v>
      </c>
    </row>
    <row r="55" spans="1:45" s="58" customFormat="1" ht="11.25" customHeight="1">
      <c r="A55" s="69" t="s">
        <v>71</v>
      </c>
      <c r="B55" s="69" t="s">
        <v>805</v>
      </c>
      <c r="C55" s="70"/>
      <c r="D55" s="71">
        <v>1</v>
      </c>
      <c r="E55" s="95" t="s">
        <v>73</v>
      </c>
      <c r="F55" s="79" t="s">
        <v>73</v>
      </c>
      <c r="G55" s="79" t="s">
        <v>73</v>
      </c>
      <c r="H55" s="86"/>
      <c r="I55" s="79"/>
      <c r="J55" s="79"/>
      <c r="K55" s="79"/>
      <c r="L55" s="79"/>
      <c r="M55" s="79"/>
      <c r="N55" s="79"/>
      <c r="O55" s="79"/>
      <c r="P55" s="79"/>
      <c r="Q55" s="79"/>
      <c r="R55" s="79"/>
      <c r="S55" s="79"/>
      <c r="T55" s="79"/>
      <c r="U55" s="79"/>
      <c r="V55" s="79"/>
      <c r="W55" s="79"/>
      <c r="X55" s="79"/>
      <c r="Y55" s="79"/>
      <c r="Z55" s="79"/>
      <c r="AA55" s="79"/>
      <c r="AB55" s="79"/>
      <c r="AC55" s="79"/>
      <c r="AD55" s="79"/>
      <c r="AE55" s="79"/>
      <c r="AF55" s="79"/>
      <c r="AG55" s="79"/>
      <c r="AH55" s="79"/>
      <c r="AI55" s="79"/>
      <c r="AJ55" s="79"/>
      <c r="AK55" s="79"/>
      <c r="AL55" s="79"/>
      <c r="AM55" s="79"/>
      <c r="AN55" s="79"/>
      <c r="AO55" s="79"/>
      <c r="AP55" s="79"/>
      <c r="AQ55" s="79"/>
      <c r="AR55" s="79"/>
      <c r="AS55" s="79"/>
    </row>
    <row r="56" spans="1:45" s="150" customFormat="1" ht="7.5" customHeight="1">
      <c r="A56" s="150" t="s">
        <v>68</v>
      </c>
      <c r="B56" s="150" t="s">
        <v>69</v>
      </c>
      <c r="C56" s="150" t="s">
        <v>70</v>
      </c>
      <c r="D56" s="150" t="s">
        <v>444</v>
      </c>
      <c r="E56" s="150" t="s">
        <v>493</v>
      </c>
      <c r="F56" s="150" t="s">
        <v>697</v>
      </c>
      <c r="G56" s="150" t="s">
        <v>698</v>
      </c>
      <c r="H56" s="150" t="s">
        <v>699</v>
      </c>
      <c r="I56" s="150" t="s">
        <v>700</v>
      </c>
      <c r="J56" s="150" t="s">
        <v>701</v>
      </c>
      <c r="K56" s="216" t="s">
        <v>838</v>
      </c>
      <c r="L56" s="150" t="s">
        <v>839</v>
      </c>
      <c r="M56" s="150" t="s">
        <v>471</v>
      </c>
      <c r="N56" s="150" t="s">
        <v>475</v>
      </c>
      <c r="O56" s="153" t="s">
        <v>491</v>
      </c>
    </row>
    <row r="57" spans="1:45" s="58" customFormat="1" ht="11.25" customHeight="1">
      <c r="A57" s="119" t="s">
        <v>71</v>
      </c>
      <c r="B57" s="119" t="s">
        <v>144</v>
      </c>
      <c r="C57" s="119"/>
      <c r="D57" s="83">
        <v>1</v>
      </c>
      <c r="E57" s="95" t="s">
        <v>73</v>
      </c>
      <c r="F57" s="61" t="s">
        <v>759</v>
      </c>
      <c r="G57" s="61"/>
      <c r="H57" s="61" t="s">
        <v>73</v>
      </c>
      <c r="I57" s="61" t="s">
        <v>73</v>
      </c>
      <c r="J57" s="61" t="s">
        <v>73</v>
      </c>
      <c r="K57" s="217"/>
      <c r="L57" s="61" t="s">
        <v>73</v>
      </c>
      <c r="M57" s="61" t="s">
        <v>702</v>
      </c>
      <c r="N57" s="48">
        <f ca="1">(INDIRECT("'Data'!CD"&amp;($C$1)))</f>
        <v>0</v>
      </c>
      <c r="O57" s="86"/>
      <c r="P57" s="61"/>
      <c r="Q57" s="61"/>
      <c r="R57" s="61"/>
      <c r="S57" s="61"/>
      <c r="T57" s="61"/>
    </row>
    <row r="58" spans="1:45" s="150" customFormat="1" ht="6" customHeight="1">
      <c r="A58" s="150" t="s">
        <v>68</v>
      </c>
      <c r="B58" s="150" t="s">
        <v>455</v>
      </c>
      <c r="C58" s="150" t="s">
        <v>443</v>
      </c>
      <c r="D58" s="150" t="s">
        <v>444</v>
      </c>
      <c r="E58" s="150" t="s">
        <v>493</v>
      </c>
      <c r="F58" s="150" t="s">
        <v>807</v>
      </c>
      <c r="G58" s="150" t="s">
        <v>808</v>
      </c>
      <c r="H58" s="153" t="s">
        <v>471</v>
      </c>
      <c r="I58" s="153" t="s">
        <v>491</v>
      </c>
    </row>
    <row r="59" spans="1:45" s="58" customFormat="1" ht="11.25" customHeight="1">
      <c r="A59" s="69" t="s">
        <v>71</v>
      </c>
      <c r="B59" s="69" t="s">
        <v>806</v>
      </c>
      <c r="C59" s="70"/>
      <c r="D59" s="71">
        <v>1</v>
      </c>
      <c r="E59" s="95" t="s">
        <v>73</v>
      </c>
      <c r="F59" s="79" t="s">
        <v>73</v>
      </c>
      <c r="G59" s="79" t="s">
        <v>73</v>
      </c>
      <c r="H59" s="86" t="s">
        <v>809</v>
      </c>
      <c r="I59" s="79"/>
      <c r="J59" s="79"/>
      <c r="K59" s="79"/>
      <c r="L59" s="79"/>
      <c r="M59" s="79"/>
      <c r="N59" s="79"/>
      <c r="O59" s="79"/>
      <c r="P59" s="79"/>
      <c r="Q59" s="79"/>
      <c r="R59" s="79"/>
      <c r="S59" s="79"/>
      <c r="T59" s="79"/>
      <c r="U59" s="79"/>
      <c r="V59" s="79"/>
      <c r="W59" s="79"/>
      <c r="X59" s="79"/>
      <c r="Y59" s="79"/>
      <c r="Z59" s="79"/>
      <c r="AA59" s="79"/>
      <c r="AB59" s="79"/>
      <c r="AC59" s="79"/>
      <c r="AD59" s="79"/>
      <c r="AE59" s="79"/>
      <c r="AF59" s="79"/>
      <c r="AG59" s="79"/>
      <c r="AH59" s="79"/>
      <c r="AI59" s="79"/>
      <c r="AJ59" s="79"/>
      <c r="AK59" s="79"/>
      <c r="AL59" s="79"/>
      <c r="AM59" s="79"/>
      <c r="AN59" s="79"/>
      <c r="AO59" s="79"/>
      <c r="AP59" s="79"/>
      <c r="AQ59" s="79"/>
      <c r="AR59" s="79"/>
      <c r="AS59" s="79"/>
    </row>
    <row r="60" spans="1:45" s="150" customFormat="1" ht="6" customHeight="1">
      <c r="A60" s="150" t="s">
        <v>68</v>
      </c>
      <c r="B60" s="150" t="s">
        <v>69</v>
      </c>
      <c r="C60" s="150" t="s">
        <v>70</v>
      </c>
      <c r="D60" s="150" t="s">
        <v>444</v>
      </c>
      <c r="E60" s="150" t="s">
        <v>493</v>
      </c>
      <c r="F60" s="150" t="s">
        <v>475</v>
      </c>
      <c r="G60" s="150" t="s">
        <v>84</v>
      </c>
      <c r="H60" s="150" t="s">
        <v>82</v>
      </c>
      <c r="I60" s="150" t="s">
        <v>145</v>
      </c>
      <c r="J60" s="150" t="s">
        <v>146</v>
      </c>
      <c r="K60" s="150" t="s">
        <v>147</v>
      </c>
      <c r="L60" s="150" t="s">
        <v>148</v>
      </c>
      <c r="M60" s="150" t="s">
        <v>326</v>
      </c>
      <c r="N60" s="150" t="s">
        <v>149</v>
      </c>
      <c r="O60" s="150" t="s">
        <v>840</v>
      </c>
      <c r="P60" s="150" t="s">
        <v>841</v>
      </c>
      <c r="Q60" s="153" t="s">
        <v>491</v>
      </c>
    </row>
    <row r="61" spans="1:45" s="58" customFormat="1" ht="11.25" customHeight="1">
      <c r="A61" s="79" t="s">
        <v>71</v>
      </c>
      <c r="B61" s="79" t="s">
        <v>156</v>
      </c>
      <c r="C61" s="79"/>
      <c r="D61" s="82">
        <v>1</v>
      </c>
      <c r="E61" s="95" t="s">
        <v>73</v>
      </c>
      <c r="F61" s="48">
        <f ca="1">(INDIRECT("'Data'!CD"&amp;($C$1)))</f>
        <v>0</v>
      </c>
      <c r="G61" s="132" t="str">
        <f ca="1">(INDIRECT("'Data'!F"&amp;($C$1)))</f>
        <v>EXCHANGE GAS METER TO SECURE SMART CREDIT</v>
      </c>
      <c r="H61" s="132" t="str">
        <f ca="1">(INDIRECT("'Data'!AW"&amp;($C$1)))</f>
        <v>EXCH1 ROAD</v>
      </c>
      <c r="I61" s="49" t="str">
        <f ca="1">(INDIRECT("'Data'!X"&amp;($C$1)))</f>
        <v>FRST</v>
      </c>
      <c r="J61" s="49">
        <f ca="1">(INDIRECT("'Data'!BG"&amp;($C$1)))</f>
        <v>0</v>
      </c>
      <c r="K61" s="49">
        <f ca="1">(INDIRECT("'Data'!BL"&amp;($C$1)))</f>
        <v>0</v>
      </c>
      <c r="L61" s="60" t="str">
        <f>N35</f>
        <v>12345</v>
      </c>
      <c r="M61" s="59" t="str">
        <f>F39</f>
        <v>Z89K12398</v>
      </c>
      <c r="N61" s="61" t="str">
        <f>M47</f>
        <v>Test Witness name</v>
      </c>
      <c r="O61" s="61" t="s">
        <v>73</v>
      </c>
      <c r="P61" s="60" t="s">
        <v>73</v>
      </c>
      <c r="Q61" s="86"/>
    </row>
    <row r="62" spans="1:45" s="150" customFormat="1" ht="6.75">
      <c r="A62" s="150" t="s">
        <v>68</v>
      </c>
      <c r="B62" s="150" t="s">
        <v>69</v>
      </c>
      <c r="C62" s="150" t="s">
        <v>70</v>
      </c>
      <c r="D62" s="150" t="s">
        <v>444</v>
      </c>
      <c r="E62" s="150" t="s">
        <v>493</v>
      </c>
      <c r="F62" s="150" t="s">
        <v>707</v>
      </c>
      <c r="G62" s="150" t="s">
        <v>708</v>
      </c>
      <c r="H62" s="150" t="s">
        <v>709</v>
      </c>
      <c r="I62" s="150" t="s">
        <v>710</v>
      </c>
      <c r="J62" s="150" t="s">
        <v>711</v>
      </c>
      <c r="K62" s="150" t="s">
        <v>712</v>
      </c>
      <c r="L62" s="150" t="s">
        <v>713</v>
      </c>
      <c r="M62" s="150" t="s">
        <v>475</v>
      </c>
      <c r="N62" s="153" t="s">
        <v>491</v>
      </c>
    </row>
    <row r="63" spans="1:45" s="58" customFormat="1" ht="11.25" customHeight="1">
      <c r="A63" s="58" t="s">
        <v>71</v>
      </c>
      <c r="B63" s="58" t="s">
        <v>706</v>
      </c>
      <c r="D63" s="56">
        <v>1</v>
      </c>
      <c r="E63" s="95" t="s">
        <v>73</v>
      </c>
      <c r="F63" s="61" t="s">
        <v>73</v>
      </c>
      <c r="G63" s="61" t="s">
        <v>75</v>
      </c>
      <c r="H63" s="61" t="s">
        <v>714</v>
      </c>
      <c r="I63" s="61" t="s">
        <v>155</v>
      </c>
      <c r="J63" s="61" t="s">
        <v>75</v>
      </c>
      <c r="K63" s="61" t="s">
        <v>643</v>
      </c>
      <c r="L63" s="61" t="s">
        <v>75</v>
      </c>
      <c r="M63" s="48">
        <f ca="1">(INDIRECT("'Data'!CD"&amp;($C$1)))</f>
        <v>0</v>
      </c>
      <c r="N63" s="86"/>
      <c r="O63" s="61"/>
      <c r="P63" s="61"/>
      <c r="Q63" s="61"/>
      <c r="R63" s="61"/>
      <c r="S63" s="61"/>
    </row>
    <row r="64" spans="1:45" s="150" customFormat="1" ht="6.75">
      <c r="A64" s="150" t="s">
        <v>68</v>
      </c>
      <c r="B64" s="150" t="s">
        <v>69</v>
      </c>
      <c r="C64" s="150" t="s">
        <v>70</v>
      </c>
      <c r="D64" s="150" t="s">
        <v>444</v>
      </c>
      <c r="E64" s="150" t="s">
        <v>493</v>
      </c>
      <c r="F64" s="150" t="s">
        <v>85</v>
      </c>
    </row>
    <row r="65" spans="1:10" s="58" customFormat="1" ht="11.25" customHeight="1">
      <c r="A65" s="58" t="s">
        <v>71</v>
      </c>
      <c r="B65" s="58" t="s">
        <v>76</v>
      </c>
      <c r="D65" s="82">
        <v>1</v>
      </c>
      <c r="E65" s="95" t="s">
        <v>73</v>
      </c>
      <c r="F65" s="61" t="s">
        <v>86</v>
      </c>
      <c r="J65" s="133"/>
    </row>
  </sheetData>
  <dataValidations count="5">
    <dataValidation allowBlank="1" showInputMessage="1" showErrorMessage="1" prompt="Y or N" sqref="F30 WLF30 WVB30 IP30 SL30 ACH30 AMD30 AVZ30 BFV30 BPR30 BZN30 CJJ30 CTF30 DDB30 DMX30 DWT30 EGP30 EQL30 FAH30 FKD30 FTZ30 GDV30 GNR30 GXN30 HHJ30 HRF30 IBB30 IKX30 IUT30 JEP30 JOL30 JYH30 KID30 KRZ30 LBV30 LLR30 LVN30 MFJ30 MPF30 MZB30 NIX30 NST30 OCP30 OML30 OWH30 PGD30 PPZ30 PZV30 QJR30 QTN30 RDJ30 RNF30 RXB30 SGX30 SQT30 TAP30 TKL30 TUH30 UED30 UNZ30 UXV30 VHR30 VRN30 WBJ30 WLD18 WLH22 WBL22 VRP22 VHT22 UXX22 UOB22 UEF22 TUJ22 TKN22 TAR22 SQV22 SGZ22 RXD22 RNH22 RDL22 QTP22 QJT22 PZX22 PQB22 PGF22 OWJ22 OMN22 OCR22 NSV22 NIZ22 MZD22 MPH22 MFL22 LVP22 LLT22 LBX22 KSB22 KIF22 JYJ22 JON22 JER22 IUV22 IKZ22 IBD22 HRH22 HHL22 GXP22 GNT22 GDX22 FUB22 FKF22 FAJ22 EQN22 EGR22 DWV22 DMZ22 DDD22 CTH22 CJL22 BZP22 BPT22 BFX22 AWB22 AMF22 ACJ22 SN22 IR22 WVD22 F16 WTT20 HH20 RD20 AAZ20 AKV20 AUR20 BEN20 BOJ20 BYF20 CIB20 CRX20 DBT20 DLP20 DVL20 EFH20 EPD20 EYZ20 FIV20 FSR20 GCN20 GMJ20 GWF20 HGB20 HPX20 HZT20 IJP20 ITL20 JDH20 JND20 JWZ20 KGV20 KQR20 LAN20 LKJ20 LUF20 MEB20 MNX20 MXT20 NHP20 NRL20 OBH20 OLD20 OUZ20 PEV20 POR20 PYN20 QIJ20 QSF20 RCB20 RLX20 RVT20 SFP20 SPL20 SZH20 TJD20 TSZ20 UCV20 UMR20 UWN20 VGJ20 VQF20 WAB20 WJX20 WLF24 WBJ24 VRN24 VHR24 UXV24 UNZ24 UED24 TUH24 TKL24 TAP24 SQT24 SGX24 RXB24 RNF24 RDJ24 QTN24 QJR24 PZV24 PPZ24 PGD24 OWH24 OML24 OCP24 NST24 NIX24 MZB24 MPF24 MFJ24 LVN24 LLR24 LBV24 KRZ24 KID24 JYH24 JOL24 JEP24 IUT24 IKX24 IBB24 HRF24 HHJ24 GXN24 GNR24 GDV24 FTZ24 FKD24 FAH24 EQL24 EGP24 DWT24 DMX24 DDB24 CTF24 CJJ24 BZN24 BPR24 BFV24 AVZ24 AMD24 ACH24 SL24 IP24 WVB24 F18 WUZ18 IN18 SJ18 ACF18 AMB18 AVX18 BFT18 BPP18 BZL18 CJH18 CTD18 DCZ18 DMV18 DWR18 EGN18 EQJ18 FAF18 FKB18 FTX18 GDT18 GNP18 GXL18 HHH18 HRD18 IAZ18 IKV18 IUR18 JEN18 JOJ18 JYF18 KIB18 KRX18 LBT18 LLP18 LVL18 MFH18 MPD18 MYZ18 NIV18 NSR18 OCN18 OMJ18 OWF18 PGB18 PPX18 PZT18 QJP18 QTL18 RDH18 RND18 RWZ18 SGV18 SQR18 TAN18 TKJ18 TUF18 UEB18 UNX18 UXT18 VHP18 VRL18 WBH18 F22:H22"/>
    <dataValidation allowBlank="1" showInputMessage="1" showErrorMessage="1" promptTitle="Validation" prompt="Y or N" sqref="I2 SZ2 ACV2 AMR2 AWN2 BGJ2 BQF2 CAB2 CJX2 CTT2 DDP2 DNL2 DXH2 EHD2 EQZ2 FAV2 FKR2 FUN2 GEJ2 GOF2 GYB2 HHX2 HRT2 IBP2 ILL2 IVH2 JFD2 JOZ2 JYV2 KIR2 KSN2 LCJ2 LMF2 LWB2 MFX2 MPT2 MZP2 NJL2 NTH2 ODD2 OMZ2 OWV2 PGR2 PQN2 QAJ2 QKF2 QUB2 RDX2 RNT2 RXP2 SHL2 SRH2 TBD2 TKZ2 TUV2 UER2 UON2 UYJ2 VIF2 VSB2 WBX2 WLT2 WVP2 JD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s>
  <pageMargins left="0.7" right="0.7" top="0.75" bottom="0.75" header="0.3" footer="0.3"/>
  <pageSetup paperSize="9" orientation="portrait" r:id="rId1"/>
  <headerFooter>
    <oddFooter>&amp;LUnrestricted</oddFooter>
  </headerFooter>
  <legacyDrawing r:id="rId2"/>
</worksheet>
</file>

<file path=xl/worksheets/sheet7.xml><?xml version="1.0" encoding="utf-8"?>
<worksheet xmlns="http://schemas.openxmlformats.org/spreadsheetml/2006/main" xmlns:r="http://schemas.openxmlformats.org/officeDocument/2006/relationships">
  <sheetPr codeName="Sheet8">
    <tabColor theme="9" tint="-0.499984740745262"/>
  </sheetPr>
  <dimension ref="A1:BG91"/>
  <sheetViews>
    <sheetView zoomScale="130" zoomScaleNormal="130" workbookViewId="0">
      <selection activeCell="H31" sqref="H31"/>
    </sheetView>
  </sheetViews>
  <sheetFormatPr defaultRowHeight="12.75"/>
  <cols>
    <col min="1" max="1" width="4.7109375" bestFit="1" customWidth="1"/>
    <col min="2" max="2" width="20.7109375" bestFit="1" customWidth="1"/>
    <col min="3" max="3" width="5" bestFit="1" customWidth="1"/>
    <col min="4" max="4" width="3.5703125" bestFit="1" customWidth="1"/>
    <col min="5" max="5" width="2.42578125" bestFit="1" customWidth="1"/>
    <col min="6" max="6" width="11.85546875" customWidth="1"/>
  </cols>
  <sheetData>
    <row r="1" spans="1:27" s="150" customFormat="1" ht="6.75">
      <c r="A1" s="150" t="s">
        <v>494</v>
      </c>
      <c r="B1" s="150" t="s">
        <v>95</v>
      </c>
      <c r="C1" s="150" t="s">
        <v>242</v>
      </c>
      <c r="D1" s="150" t="s">
        <v>49</v>
      </c>
      <c r="G1" s="151"/>
      <c r="I1" s="152"/>
    </row>
    <row r="2" spans="1:27" s="150" customFormat="1" ht="6.75">
      <c r="A2" s="150" t="s">
        <v>68</v>
      </c>
      <c r="B2" s="150" t="s">
        <v>455</v>
      </c>
      <c r="C2" s="150" t="s">
        <v>443</v>
      </c>
      <c r="D2" s="150" t="s">
        <v>444</v>
      </c>
      <c r="E2" s="150" t="s">
        <v>493</v>
      </c>
      <c r="F2" s="150" t="s">
        <v>445</v>
      </c>
      <c r="G2" s="150" t="s">
        <v>115</v>
      </c>
      <c r="H2" s="150" t="s">
        <v>436</v>
      </c>
      <c r="I2" s="150" t="s">
        <v>446</v>
      </c>
    </row>
    <row r="3" spans="1:27" s="44" customFormat="1" ht="11.25">
      <c r="A3" s="65" t="s">
        <v>71</v>
      </c>
      <c r="B3" s="65" t="s">
        <v>72</v>
      </c>
      <c r="C3" s="65"/>
      <c r="D3" s="66">
        <v>1</v>
      </c>
      <c r="E3" s="94" t="s">
        <v>73</v>
      </c>
      <c r="F3" s="49">
        <f>'Run Parameters'!B5</f>
        <v>111011</v>
      </c>
      <c r="G3" s="49" t="str">
        <f>'Run Parameters'!B6</f>
        <v>111Siemens</v>
      </c>
      <c r="H3" s="49" t="str">
        <f>'Run Parameters'!B7</f>
        <v>https://siemens-og-bykrw4bu7an2nvbgh7xdzce7-sdg1-dev.mbaas1.sdg.feedhenry.com/#/login</v>
      </c>
      <c r="I3" s="45" t="s">
        <v>73</v>
      </c>
      <c r="J3" s="46"/>
      <c r="K3" s="46"/>
      <c r="L3" s="46"/>
      <c r="M3" s="46"/>
      <c r="N3" s="46"/>
      <c r="O3" s="46"/>
      <c r="P3" s="46"/>
      <c r="Q3" s="46"/>
      <c r="R3" s="47"/>
      <c r="S3" s="46"/>
      <c r="T3" s="46"/>
      <c r="U3" s="46"/>
    </row>
    <row r="4" spans="1:27" s="150" customFormat="1" ht="6.75">
      <c r="A4" s="150" t="s">
        <v>68</v>
      </c>
      <c r="B4" s="150" t="s">
        <v>455</v>
      </c>
      <c r="C4" s="150" t="s">
        <v>443</v>
      </c>
      <c r="D4" s="150" t="s">
        <v>444</v>
      </c>
      <c r="E4" s="150" t="s">
        <v>493</v>
      </c>
      <c r="F4" s="150" t="s">
        <v>454</v>
      </c>
      <c r="G4" s="150" t="s">
        <v>453</v>
      </c>
      <c r="H4" s="150" t="s">
        <v>447</v>
      </c>
      <c r="I4" s="150" t="s">
        <v>448</v>
      </c>
      <c r="J4" s="150" t="s">
        <v>450</v>
      </c>
      <c r="K4" s="150" t="s">
        <v>451</v>
      </c>
      <c r="L4" s="150" t="s">
        <v>452</v>
      </c>
      <c r="M4" s="150" t="s">
        <v>442</v>
      </c>
      <c r="N4" s="150" t="s">
        <v>37</v>
      </c>
      <c r="O4" s="150" t="s">
        <v>441</v>
      </c>
      <c r="P4" s="153" t="s">
        <v>491</v>
      </c>
    </row>
    <row r="5" spans="1:27" s="44" customFormat="1" ht="11.25" customHeight="1">
      <c r="A5" s="65" t="s">
        <v>71</v>
      </c>
      <c r="B5" s="65" t="s">
        <v>495</v>
      </c>
      <c r="C5" s="65"/>
      <c r="D5" s="66">
        <v>1</v>
      </c>
      <c r="E5" s="94" t="s">
        <v>73</v>
      </c>
      <c r="F5" s="49">
        <f ca="1">(INDIRECT("'Data'!C"&amp;($C$1)))</f>
        <v>111011</v>
      </c>
      <c r="G5" s="50" t="s">
        <v>98</v>
      </c>
      <c r="H5" s="49" t="str">
        <f ca="1">(INDIRECT("'Data'!F"&amp;($C$1)))</f>
        <v>EXCHANGE GAS METER TO SECURE SMART CREDIT</v>
      </c>
      <c r="I5" s="48" t="str">
        <f ca="1">(INDIRECT("'Data'!E"&amp;($C$1)))</f>
        <v>S</v>
      </c>
      <c r="J5" s="48">
        <f ca="1">(INDIRECT("'Data'!AS"&amp;($C$1)))</f>
        <v>0</v>
      </c>
      <c r="K5" s="48" t="str">
        <f ca="1">(INDIRECT("'Data'!AT"&amp;($C$1)))</f>
        <v>TPJR00530</v>
      </c>
      <c r="L5" s="48">
        <f ca="1">(INDIRECT("'Data'!AU"&amp;($C$1)))</f>
        <v>0</v>
      </c>
      <c r="M5" s="48">
        <f ca="1">(INDIRECT("'Data'!AV"&amp;($C$1)))</f>
        <v>647</v>
      </c>
      <c r="N5" s="48" t="str">
        <f ca="1">(INDIRECT("'Data'!AW"&amp;($C$1)))</f>
        <v>EXCH1 ROAD</v>
      </c>
      <c r="O5" s="49" t="str">
        <f ca="1">CONCATENATE(RIGHT((INDIRECT("'Data'!X"&amp;($C$1))),5),"-",RIGHT(S7&amp;(INDIRECT("'Data'!Y"&amp;($C$1))),5))</f>
        <v>FRST-d-647</v>
      </c>
      <c r="P5" s="86"/>
      <c r="Q5" s="46"/>
      <c r="R5" s="46"/>
      <c r="S5" s="46"/>
    </row>
    <row r="6" spans="1:27" s="150" customFormat="1" ht="6.75">
      <c r="A6" s="150" t="s">
        <v>68</v>
      </c>
      <c r="B6" s="150" t="s">
        <v>455</v>
      </c>
      <c r="C6" s="150" t="s">
        <v>443</v>
      </c>
      <c r="D6" s="150" t="s">
        <v>444</v>
      </c>
      <c r="E6" s="150" t="s">
        <v>493</v>
      </c>
      <c r="F6" s="150" t="s">
        <v>447</v>
      </c>
      <c r="G6" s="150" t="s">
        <v>450</v>
      </c>
      <c r="H6" s="150" t="s">
        <v>451</v>
      </c>
      <c r="I6" s="150" t="s">
        <v>452</v>
      </c>
      <c r="J6" s="150" t="s">
        <v>442</v>
      </c>
      <c r="K6" s="150" t="s">
        <v>37</v>
      </c>
      <c r="L6" s="150" t="s">
        <v>448</v>
      </c>
      <c r="M6" s="150" t="s">
        <v>449</v>
      </c>
      <c r="N6" s="150" t="s">
        <v>439</v>
      </c>
      <c r="O6" s="150" t="s">
        <v>440</v>
      </c>
      <c r="P6" s="150" t="s">
        <v>78</v>
      </c>
      <c r="Q6" s="150" t="s">
        <v>79</v>
      </c>
      <c r="R6" s="150" t="s">
        <v>87</v>
      </c>
      <c r="S6" s="150" t="s">
        <v>80</v>
      </c>
      <c r="T6" s="150" t="s">
        <v>110</v>
      </c>
      <c r="U6" s="150" t="s">
        <v>114</v>
      </c>
      <c r="V6" s="150" t="s">
        <v>90</v>
      </c>
      <c r="W6" s="150" t="s">
        <v>81</v>
      </c>
      <c r="X6" s="150" t="s">
        <v>88</v>
      </c>
      <c r="Y6" s="150" t="s">
        <v>276</v>
      </c>
      <c r="Z6" s="150" t="s">
        <v>457</v>
      </c>
      <c r="AA6" s="153" t="s">
        <v>491</v>
      </c>
    </row>
    <row r="7" spans="1:27" s="44" customFormat="1" ht="11.25" customHeight="1">
      <c r="A7" s="65" t="s">
        <v>71</v>
      </c>
      <c r="B7" s="65" t="s">
        <v>496</v>
      </c>
      <c r="C7" s="65"/>
      <c r="D7" s="67">
        <v>1</v>
      </c>
      <c r="E7" s="94" t="s">
        <v>73</v>
      </c>
      <c r="F7" s="49" t="str">
        <f ca="1">(INDIRECT("'Data'!F"&amp;($C$1)))</f>
        <v>EXCHANGE GAS METER TO SECURE SMART CREDIT</v>
      </c>
      <c r="G7" s="48">
        <f ca="1">(INDIRECT("'Data'!AS"&amp;($C$1)))</f>
        <v>0</v>
      </c>
      <c r="H7" s="48" t="str">
        <f ca="1">(INDIRECT("'Data'!AT"&amp;($C$1)))</f>
        <v>TPJR00530</v>
      </c>
      <c r="I7" s="48">
        <f ca="1">(INDIRECT("'Data'!AU"&amp;($C$1)))</f>
        <v>0</v>
      </c>
      <c r="J7" s="48">
        <f ca="1">(INDIRECT("'Data'!AV"&amp;($C$1)))</f>
        <v>647</v>
      </c>
      <c r="K7" s="48" t="str">
        <f ca="1">(INDIRECT("'Data'!AW"&amp;($C$1)))</f>
        <v>EXCH1 ROAD</v>
      </c>
      <c r="L7" s="48" t="str">
        <f ca="1">(INDIRECT("'Data'!E"&amp;($C$1)))</f>
        <v>S</v>
      </c>
      <c r="M7" s="48" t="str">
        <f ca="1">(INDIRECT("'Data'!AI"&amp;($C$1)))</f>
        <v>2018-08-13 08:00</v>
      </c>
      <c r="N7" s="49">
        <f ca="1">(INDIRECT("'Data'!BG"&amp;($C$1)))</f>
        <v>0</v>
      </c>
      <c r="O7" s="49" t="str">
        <f ca="1">(INDIRECT("'Data'!CN"&amp;($C$1)))</f>
        <v>EXCHANGE GAS METER TO SECURE SMART CREDIT</v>
      </c>
      <c r="P7" s="49" t="str">
        <f ca="1">(INDIRECT("'Data'!AH"&amp;($C$1)))</f>
        <v>Site_Contact_647</v>
      </c>
      <c r="Q7" s="50" t="str">
        <f ca="1">(INDIRECT("'Data'!AE"&amp;($C$1)))</f>
        <v>LAST_METER-647</v>
      </c>
      <c r="R7" s="50" t="str">
        <f ca="1">(INDIRECT("'Data'!DK"&amp;($C$1)))</f>
        <v>G</v>
      </c>
      <c r="S7" s="50">
        <f ca="1">(INDIRECT("'Data'!D"&amp;($C$1)))</f>
        <v>647</v>
      </c>
      <c r="T7" s="50" t="str">
        <f ca="1">INDIRECT("'Data'!M"&amp;($C$1))</f>
        <v>Q</v>
      </c>
      <c r="U7" s="50" t="str">
        <f ca="1">INDIRECT("'Data'!AM"&amp;($C$1))</f>
        <v>0115647</v>
      </c>
      <c r="V7" s="50" t="str">
        <f ca="1">(INDIRECT("'Data'!N"&amp;($C$1)))</f>
        <v>UK_1_F</v>
      </c>
      <c r="W7" s="50">
        <f ca="1">(INDIRECT("'Data'!O"&amp;($C$1)))</f>
        <v>0</v>
      </c>
      <c r="X7" s="50" t="str">
        <f ca="1">(INDIRECT("'Data'!P"&amp;($C$1)))</f>
        <v>SN-647</v>
      </c>
      <c r="Y7" s="50">
        <f ca="1">(INDIRECT("'Data'!C"&amp;($C$1)))</f>
        <v>111011</v>
      </c>
      <c r="Z7" s="50" t="str">
        <f ca="1">(INDIRECT("'Data'!Q"&amp;($C$1)))</f>
        <v>SI-647</v>
      </c>
      <c r="AA7" s="86"/>
    </row>
    <row r="8" spans="1:27" s="150" customFormat="1" ht="6.75">
      <c r="A8" s="150" t="s">
        <v>68</v>
      </c>
      <c r="B8" s="150" t="s">
        <v>455</v>
      </c>
      <c r="C8" s="150" t="s">
        <v>443</v>
      </c>
      <c r="D8" s="150" t="s">
        <v>444</v>
      </c>
      <c r="E8" s="150" t="s">
        <v>493</v>
      </c>
      <c r="F8" s="150" t="s">
        <v>447</v>
      </c>
      <c r="G8" s="150" t="s">
        <v>37</v>
      </c>
      <c r="H8" s="150" t="s">
        <v>458</v>
      </c>
      <c r="I8" s="150" t="s">
        <v>459</v>
      </c>
      <c r="J8" s="150" t="s">
        <v>261</v>
      </c>
      <c r="K8" s="150" t="s">
        <v>460</v>
      </c>
      <c r="L8" s="103" t="s">
        <v>461</v>
      </c>
      <c r="M8" s="103" t="s">
        <v>260</v>
      </c>
      <c r="N8" s="103" t="s">
        <v>456</v>
      </c>
      <c r="O8" s="153" t="s">
        <v>491</v>
      </c>
    </row>
    <row r="9" spans="1:27" s="44" customFormat="1" ht="11.25" customHeight="1">
      <c r="A9" s="65" t="s">
        <v>71</v>
      </c>
      <c r="B9" s="65" t="s">
        <v>497</v>
      </c>
      <c r="C9" s="65"/>
      <c r="D9" s="67">
        <v>1</v>
      </c>
      <c r="E9" s="94" t="s">
        <v>73</v>
      </c>
      <c r="F9" s="49" t="str">
        <f ca="1">(INDIRECT("'Data'!F"&amp;($C$1)))</f>
        <v>EXCHANGE GAS METER TO SECURE SMART CREDIT</v>
      </c>
      <c r="G9" s="48" t="str">
        <f ca="1">(INDIRECT("'Data'!AW"&amp;($C$1)))</f>
        <v>EXCH1 ROAD</v>
      </c>
      <c r="H9" s="49">
        <f ca="1">(INDIRECT("'Data'!BL"&amp;($C$1)))</f>
        <v>0</v>
      </c>
      <c r="I9" s="49">
        <f ca="1">(INDIRECT("'Data'!BJ"&amp;($C$1)))</f>
        <v>0</v>
      </c>
      <c r="J9" s="49">
        <f ca="1">(INDIRECT("'Data'!BX"&amp;($C$1)))</f>
        <v>0</v>
      </c>
      <c r="K9" s="49">
        <f ca="1">(INDIRECT("'Data'!BO"&amp;($C$1)))</f>
        <v>0</v>
      </c>
      <c r="L9" s="49" t="str">
        <f ca="1">(INDIRECT("'Data'!CQ"&amp;($C$1)))</f>
        <v>10000647</v>
      </c>
      <c r="M9" s="49" t="str">
        <f ca="1">(INDIRECT("'Data'!CO"&amp;($C$1)))</f>
        <v>GAS_JOB_ID-647</v>
      </c>
      <c r="N9" s="49" t="str">
        <f ca="1">(INDIRECT("'Data'!CR"&amp;($C$1)))</f>
        <v>C</v>
      </c>
      <c r="O9" s="86"/>
    </row>
    <row r="10" spans="1:27" s="150" customFormat="1" ht="6.75">
      <c r="A10" s="150" t="s">
        <v>68</v>
      </c>
      <c r="B10" s="150" t="s">
        <v>455</v>
      </c>
      <c r="C10" s="150" t="s">
        <v>443</v>
      </c>
      <c r="D10" s="150" t="s">
        <v>444</v>
      </c>
      <c r="E10" s="150" t="s">
        <v>493</v>
      </c>
      <c r="F10" s="150" t="s">
        <v>262</v>
      </c>
      <c r="G10" s="150" t="s">
        <v>263</v>
      </c>
      <c r="H10" s="150" t="s">
        <v>447</v>
      </c>
      <c r="I10" s="150" t="s">
        <v>37</v>
      </c>
      <c r="J10" s="150" t="s">
        <v>43</v>
      </c>
      <c r="K10" s="150" t="s">
        <v>462</v>
      </c>
      <c r="L10" s="150" t="s">
        <v>465</v>
      </c>
      <c r="M10" s="150" t="s">
        <v>460</v>
      </c>
      <c r="N10" s="150" t="s">
        <v>463</v>
      </c>
      <c r="O10" s="150" t="s">
        <v>466</v>
      </c>
      <c r="P10" s="150" t="s">
        <v>464</v>
      </c>
      <c r="Q10" s="153" t="s">
        <v>491</v>
      </c>
    </row>
    <row r="11" spans="1:27" s="44" customFormat="1" ht="11.25" customHeight="1">
      <c r="A11" s="65" t="s">
        <v>71</v>
      </c>
      <c r="B11" s="65" t="s">
        <v>498</v>
      </c>
      <c r="C11" s="65"/>
      <c r="D11" s="66">
        <v>1</v>
      </c>
      <c r="E11" s="95" t="s">
        <v>73</v>
      </c>
      <c r="F11" s="49">
        <f ca="1">(INDIRECT("'Data'!BG"&amp;($C$1)))</f>
        <v>0</v>
      </c>
      <c r="G11" s="49" t="str">
        <f ca="1">(INDIRECT("'Data'!CN"&amp;($C$1)))</f>
        <v>EXCHANGE GAS METER TO SECURE SMART CREDIT</v>
      </c>
      <c r="H11" s="49" t="str">
        <f ca="1">(INDIRECT("'Data'!F"&amp;($C$1)))</f>
        <v>EXCHANGE GAS METER TO SECURE SMART CREDIT</v>
      </c>
      <c r="I11" s="48" t="str">
        <f ca="1">(INDIRECT("'Data'!AW"&amp;($C$1)))</f>
        <v>EXCH1 ROAD</v>
      </c>
      <c r="J11" s="49" t="str">
        <f ca="1">(INDIRECT("'Data'!AH"&amp;($C$1)))</f>
        <v>Site_Contact_647</v>
      </c>
      <c r="K11" s="49" t="str">
        <f ca="1">(INDIRECT("'Data'!BA"&amp;($C$1)))</f>
        <v>C</v>
      </c>
      <c r="L11" s="49">
        <f ca="1">(INDIRECT("'Data'!BD"&amp;($C$1)))</f>
        <v>0</v>
      </c>
      <c r="M11" s="49">
        <f ca="1">(INDIRECT("'Data'!BO"&amp;($C$1)))</f>
        <v>0</v>
      </c>
      <c r="N11" s="49">
        <f ca="1">(INDIRECT("'Data'!CH"&amp;($C$1)))</f>
        <v>0</v>
      </c>
      <c r="O11" s="49" t="str">
        <f ca="1">(INDIRECT("'Data'!CK"&amp;($C$1)))</f>
        <v>G4</v>
      </c>
      <c r="P11" s="49" t="str">
        <f ca="1">(INDIRECT("'Data'!CR"&amp;($C$1)))</f>
        <v>C</v>
      </c>
      <c r="Q11" s="86"/>
    </row>
    <row r="12" spans="1:27" s="150" customFormat="1" ht="6.75">
      <c r="A12" s="150" t="s">
        <v>68</v>
      </c>
      <c r="B12" s="150" t="s">
        <v>455</v>
      </c>
      <c r="C12" s="150" t="s">
        <v>443</v>
      </c>
      <c r="D12" s="150" t="s">
        <v>444</v>
      </c>
      <c r="E12" s="150" t="s">
        <v>493</v>
      </c>
      <c r="F12" s="150" t="s">
        <v>475</v>
      </c>
      <c r="G12" s="150" t="s">
        <v>439</v>
      </c>
      <c r="H12" s="150" t="s">
        <v>263</v>
      </c>
      <c r="I12" s="150" t="s">
        <v>43</v>
      </c>
      <c r="J12" s="150" t="s">
        <v>447</v>
      </c>
      <c r="K12" s="150" t="s">
        <v>450</v>
      </c>
      <c r="L12" s="150" t="s">
        <v>451</v>
      </c>
      <c r="M12" s="150" t="s">
        <v>452</v>
      </c>
      <c r="N12" s="150" t="s">
        <v>442</v>
      </c>
      <c r="O12" s="150" t="s">
        <v>37</v>
      </c>
      <c r="P12" s="150" t="s">
        <v>468</v>
      </c>
      <c r="Q12" s="154" t="s">
        <v>469</v>
      </c>
      <c r="R12" s="154" t="s">
        <v>471</v>
      </c>
      <c r="S12" s="150" t="s">
        <v>473</v>
      </c>
      <c r="T12" s="154" t="s">
        <v>470</v>
      </c>
      <c r="U12" s="150" t="s">
        <v>472</v>
      </c>
      <c r="V12" s="153" t="s">
        <v>491</v>
      </c>
    </row>
    <row r="13" spans="1:27" s="58" customFormat="1" ht="11.25" customHeight="1">
      <c r="A13" s="65" t="s">
        <v>71</v>
      </c>
      <c r="B13" s="65" t="s">
        <v>467</v>
      </c>
      <c r="C13" s="65"/>
      <c r="D13" s="67">
        <v>1</v>
      </c>
      <c r="E13" s="95" t="s">
        <v>73</v>
      </c>
      <c r="F13" s="48">
        <f ca="1">(INDIRECT("'Data'!CD"&amp;($C$1)))</f>
        <v>0</v>
      </c>
      <c r="G13" s="49">
        <f ca="1">(INDIRECT("'Data'!BG"&amp;($C$1)))</f>
        <v>0</v>
      </c>
      <c r="H13" s="49" t="str">
        <f ca="1">(INDIRECT("'Data'!CN"&amp;($C$1)))</f>
        <v>EXCHANGE GAS METER TO SECURE SMART CREDIT</v>
      </c>
      <c r="I13" s="49" t="str">
        <f ca="1">(INDIRECT("'Data'!AH"&amp;($C$1)))</f>
        <v>Site_Contact_647</v>
      </c>
      <c r="J13" s="49" t="str">
        <f ca="1">(INDIRECT("'Data'!F"&amp;($C$1)))</f>
        <v>EXCHANGE GAS METER TO SECURE SMART CREDIT</v>
      </c>
      <c r="K13" s="48">
        <f ca="1">(INDIRECT("'Data'!AS"&amp;($C$1)))</f>
        <v>0</v>
      </c>
      <c r="L13" s="48" t="str">
        <f ca="1">(INDIRECT("'Data'!AT"&amp;($C$1)))</f>
        <v>TPJR00530</v>
      </c>
      <c r="M13" s="48">
        <f ca="1">(INDIRECT("'Data'!AU"&amp;($C$1)))</f>
        <v>0</v>
      </c>
      <c r="N13" s="48">
        <f ca="1">(INDIRECT("'Data'!AV"&amp;($C$1)))</f>
        <v>647</v>
      </c>
      <c r="O13" s="48" t="str">
        <f ca="1">(INDIRECT("'Data'!AW"&amp;($C$1)))</f>
        <v>EXCH1 ROAD</v>
      </c>
      <c r="P13" s="58" t="s">
        <v>73</v>
      </c>
      <c r="Q13" s="59" t="s">
        <v>73</v>
      </c>
      <c r="R13" s="59" t="s">
        <v>265</v>
      </c>
      <c r="S13" s="60" t="s">
        <v>73</v>
      </c>
      <c r="T13" s="59" t="s">
        <v>75</v>
      </c>
      <c r="U13" s="61" t="s">
        <v>100</v>
      </c>
      <c r="V13" s="86"/>
    </row>
    <row r="14" spans="1:27" s="150" customFormat="1" ht="6.75">
      <c r="A14" s="150" t="s">
        <v>68</v>
      </c>
      <c r="B14" s="150" t="s">
        <v>455</v>
      </c>
      <c r="C14" s="150" t="s">
        <v>443</v>
      </c>
      <c r="D14" s="150" t="s">
        <v>444</v>
      </c>
      <c r="E14" s="150" t="s">
        <v>493</v>
      </c>
      <c r="F14" s="150" t="s">
        <v>475</v>
      </c>
      <c r="G14" s="150" t="s">
        <v>439</v>
      </c>
      <c r="H14" s="150" t="s">
        <v>263</v>
      </c>
      <c r="I14" s="150" t="s">
        <v>447</v>
      </c>
      <c r="J14" s="150" t="s">
        <v>37</v>
      </c>
      <c r="K14" s="150" t="s">
        <v>94</v>
      </c>
      <c r="L14" s="153" t="s">
        <v>491</v>
      </c>
      <c r="M14" s="154" t="s">
        <v>77</v>
      </c>
      <c r="N14" s="154" t="s">
        <v>77</v>
      </c>
      <c r="O14" s="155" t="s">
        <v>77</v>
      </c>
      <c r="P14" s="154"/>
      <c r="Q14" s="154"/>
      <c r="S14" s="154"/>
    </row>
    <row r="15" spans="1:27" s="44" customFormat="1" ht="11.25" customHeight="1">
      <c r="A15" s="65" t="s">
        <v>71</v>
      </c>
      <c r="B15" s="65" t="s">
        <v>474</v>
      </c>
      <c r="C15" s="65"/>
      <c r="D15" s="67">
        <v>1</v>
      </c>
      <c r="E15" s="94" t="s">
        <v>73</v>
      </c>
      <c r="F15" s="48">
        <f ca="1">(INDIRECT("'Data'!CD"&amp;($C$1)))</f>
        <v>0</v>
      </c>
      <c r="G15" s="49">
        <f ca="1">(INDIRECT("'Data'!BG"&amp;($C$1)))</f>
        <v>0</v>
      </c>
      <c r="H15" s="49" t="str">
        <f ca="1">(INDIRECT("'Data'!CN"&amp;($C$1)))</f>
        <v>EXCHANGE GAS METER TO SECURE SMART CREDIT</v>
      </c>
      <c r="I15" s="49" t="str">
        <f ca="1">(INDIRECT("'Data'!F"&amp;($C$1)))</f>
        <v>EXCHANGE GAS METER TO SECURE SMART CREDIT</v>
      </c>
      <c r="J15" s="48" t="str">
        <f ca="1">(INDIRECT("'Data'!AW"&amp;($C$1)))</f>
        <v>EXCH1 ROAD</v>
      </c>
      <c r="K15" s="44" t="s">
        <v>73</v>
      </c>
      <c r="L15" s="86"/>
      <c r="M15" s="62"/>
      <c r="N15" s="62"/>
      <c r="O15" s="63"/>
      <c r="P15" s="62"/>
      <c r="Q15" s="62"/>
      <c r="R15" s="47"/>
      <c r="S15" s="62"/>
    </row>
    <row r="16" spans="1:27" s="150" customFormat="1" ht="6.75">
      <c r="A16" s="150" t="s">
        <v>68</v>
      </c>
      <c r="B16" s="150" t="s">
        <v>455</v>
      </c>
      <c r="C16" s="150" t="s">
        <v>443</v>
      </c>
      <c r="D16" s="150" t="s">
        <v>444</v>
      </c>
      <c r="E16" s="150" t="s">
        <v>493</v>
      </c>
      <c r="F16" s="150" t="s">
        <v>477</v>
      </c>
      <c r="G16" s="150" t="s">
        <v>478</v>
      </c>
      <c r="H16" s="154" t="s">
        <v>480</v>
      </c>
      <c r="I16" s="150" t="s">
        <v>96</v>
      </c>
      <c r="J16" s="154" t="s">
        <v>481</v>
      </c>
      <c r="K16" s="154" t="s">
        <v>482</v>
      </c>
      <c r="L16" s="150" t="s">
        <v>475</v>
      </c>
      <c r="M16" s="150" t="s">
        <v>817</v>
      </c>
      <c r="N16" s="150" t="s">
        <v>479</v>
      </c>
      <c r="O16" s="150" t="s">
        <v>483</v>
      </c>
      <c r="P16" s="153" t="s">
        <v>491</v>
      </c>
    </row>
    <row r="17" spans="1:48" s="58" customFormat="1" ht="11.25" customHeight="1">
      <c r="A17" s="69" t="s">
        <v>71</v>
      </c>
      <c r="B17" s="69" t="s">
        <v>97</v>
      </c>
      <c r="C17" s="70"/>
      <c r="D17" s="71">
        <v>1</v>
      </c>
      <c r="E17" s="95" t="s">
        <v>73</v>
      </c>
      <c r="F17" s="73" t="s">
        <v>73</v>
      </c>
      <c r="G17" s="73" t="s">
        <v>73</v>
      </c>
      <c r="H17" s="74" t="s">
        <v>77</v>
      </c>
      <c r="I17" s="73" t="s">
        <v>77</v>
      </c>
      <c r="J17" s="74" t="s">
        <v>77</v>
      </c>
      <c r="K17" s="74" t="s">
        <v>77</v>
      </c>
      <c r="L17" s="48">
        <f ca="1">(INDIRECT("'Data'!CD"&amp;($C$1)))</f>
        <v>0</v>
      </c>
      <c r="M17" s="75"/>
      <c r="N17" s="73"/>
      <c r="O17" s="75"/>
      <c r="P17" s="86"/>
    </row>
    <row r="18" spans="1:48" s="153" customFormat="1" ht="6.75">
      <c r="A18" s="153" t="s">
        <v>68</v>
      </c>
      <c r="B18" s="153" t="s">
        <v>455</v>
      </c>
      <c r="C18" s="150" t="s">
        <v>443</v>
      </c>
      <c r="D18" s="150" t="s">
        <v>444</v>
      </c>
      <c r="E18" s="153" t="s">
        <v>493</v>
      </c>
      <c r="F18" s="153" t="s">
        <v>501</v>
      </c>
      <c r="G18" s="153" t="s">
        <v>507</v>
      </c>
      <c r="H18" s="153" t="s">
        <v>506</v>
      </c>
      <c r="I18" s="153" t="s">
        <v>724</v>
      </c>
      <c r="J18" s="153" t="s">
        <v>508</v>
      </c>
      <c r="K18" s="153" t="s">
        <v>504</v>
      </c>
      <c r="L18" s="153" t="s">
        <v>722</v>
      </c>
      <c r="M18" s="153" t="s">
        <v>491</v>
      </c>
    </row>
    <row r="19" spans="1:48" s="88" customFormat="1" ht="10.5" customHeight="1">
      <c r="A19" s="134" t="s">
        <v>71</v>
      </c>
      <c r="B19" s="134" t="s">
        <v>720</v>
      </c>
      <c r="C19" s="130"/>
      <c r="D19" s="83">
        <v>1</v>
      </c>
      <c r="E19" s="96" t="s">
        <v>73</v>
      </c>
      <c r="F19" s="86" t="s">
        <v>75</v>
      </c>
      <c r="G19" s="86"/>
      <c r="H19" s="86"/>
      <c r="I19" s="86"/>
      <c r="J19" s="86"/>
      <c r="K19" s="86"/>
      <c r="L19" s="86"/>
      <c r="M19" s="86"/>
      <c r="N19" s="86"/>
      <c r="O19" s="86"/>
      <c r="P19" s="86"/>
      <c r="Q19" s="86"/>
      <c r="R19" s="86"/>
      <c r="S19" s="86"/>
      <c r="T19" s="86"/>
      <c r="U19" s="86"/>
      <c r="V19" s="131"/>
      <c r="W19" s="86"/>
      <c r="X19" s="86"/>
      <c r="AE19" s="86"/>
      <c r="AG19" s="86"/>
    </row>
    <row r="20" spans="1:48" s="153" customFormat="1" ht="6.75">
      <c r="A20" s="153" t="s">
        <v>68</v>
      </c>
      <c r="B20" s="153" t="s">
        <v>455</v>
      </c>
      <c r="C20" s="150" t="s">
        <v>443</v>
      </c>
      <c r="D20" s="150" t="s">
        <v>444</v>
      </c>
      <c r="E20" s="153" t="s">
        <v>493</v>
      </c>
      <c r="F20" s="153" t="s">
        <v>725</v>
      </c>
      <c r="G20" s="153" t="s">
        <v>520</v>
      </c>
      <c r="H20" s="153" t="s">
        <v>726</v>
      </c>
      <c r="I20" s="153" t="s">
        <v>728</v>
      </c>
      <c r="J20" s="153" t="s">
        <v>553</v>
      </c>
      <c r="K20" s="153" t="s">
        <v>729</v>
      </c>
      <c r="L20" s="153" t="s">
        <v>516</v>
      </c>
      <c r="M20" s="153" t="s">
        <v>730</v>
      </c>
      <c r="N20" s="153" t="s">
        <v>524</v>
      </c>
      <c r="O20" s="153" t="s">
        <v>491</v>
      </c>
    </row>
    <row r="21" spans="1:48" s="88" customFormat="1" ht="10.5" customHeight="1">
      <c r="A21" s="84" t="s">
        <v>71</v>
      </c>
      <c r="B21" s="84" t="s">
        <v>723</v>
      </c>
      <c r="C21" s="85"/>
      <c r="D21" s="71">
        <v>1</v>
      </c>
      <c r="E21" s="96" t="s">
        <v>73</v>
      </c>
      <c r="F21" s="86"/>
      <c r="G21" s="86" t="s">
        <v>73</v>
      </c>
      <c r="H21" s="86" t="s">
        <v>727</v>
      </c>
      <c r="I21" s="86"/>
      <c r="J21" s="86"/>
      <c r="K21" s="86"/>
      <c r="L21" s="86"/>
      <c r="M21" s="86"/>
      <c r="N21" s="86"/>
      <c r="O21" s="86"/>
    </row>
    <row r="22" spans="1:48" s="153" customFormat="1" ht="6.75">
      <c r="A22" s="153" t="s">
        <v>68</v>
      </c>
      <c r="B22" s="153" t="s">
        <v>455</v>
      </c>
      <c r="C22" s="150" t="s">
        <v>443</v>
      </c>
      <c r="D22" s="150" t="s">
        <v>444</v>
      </c>
      <c r="E22" s="153" t="s">
        <v>493</v>
      </c>
      <c r="F22" s="153" t="s">
        <v>526</v>
      </c>
      <c r="G22" s="153" t="s">
        <v>811</v>
      </c>
      <c r="H22" s="153" t="s">
        <v>842</v>
      </c>
      <c r="I22" s="153" t="s">
        <v>471</v>
      </c>
      <c r="J22" s="153" t="s">
        <v>491</v>
      </c>
    </row>
    <row r="23" spans="1:48" s="88" customFormat="1" ht="10.5" customHeight="1">
      <c r="A23" s="134" t="s">
        <v>71</v>
      </c>
      <c r="B23" s="134" t="s">
        <v>810</v>
      </c>
      <c r="C23" s="130"/>
      <c r="D23" s="83">
        <v>1</v>
      </c>
      <c r="E23" s="96" t="s">
        <v>73</v>
      </c>
      <c r="F23" s="86" t="s">
        <v>73</v>
      </c>
      <c r="G23" s="86"/>
      <c r="H23" s="86" t="s">
        <v>843</v>
      </c>
      <c r="I23" s="86" t="s">
        <v>812</v>
      </c>
      <c r="J23" s="86"/>
      <c r="K23" s="86"/>
      <c r="L23" s="86"/>
      <c r="M23" s="86"/>
      <c r="N23" s="86"/>
      <c r="O23" s="86"/>
      <c r="P23" s="86"/>
      <c r="Q23" s="86"/>
      <c r="R23" s="86"/>
      <c r="S23" s="86"/>
      <c r="T23" s="86"/>
      <c r="U23" s="86"/>
      <c r="V23" s="86"/>
      <c r="W23" s="86"/>
      <c r="X23" s="86"/>
      <c r="Y23" s="86"/>
      <c r="Z23" s="131"/>
      <c r="AA23" s="86"/>
      <c r="AB23" s="86"/>
      <c r="AI23" s="86"/>
      <c r="AK23" s="86"/>
    </row>
    <row r="24" spans="1:48" s="153" customFormat="1" ht="6.75">
      <c r="A24" s="153" t="s">
        <v>68</v>
      </c>
      <c r="B24" s="153" t="s">
        <v>455</v>
      </c>
      <c r="C24" s="150" t="s">
        <v>443</v>
      </c>
      <c r="D24" s="150" t="s">
        <v>444</v>
      </c>
      <c r="E24" s="153" t="s">
        <v>493</v>
      </c>
      <c r="F24" s="153" t="s">
        <v>491</v>
      </c>
    </row>
    <row r="25" spans="1:48" s="88" customFormat="1" ht="10.5" customHeight="1">
      <c r="A25" s="134" t="s">
        <v>71</v>
      </c>
      <c r="B25" s="134" t="s">
        <v>721</v>
      </c>
      <c r="C25" s="130"/>
      <c r="D25" s="83">
        <v>1</v>
      </c>
      <c r="E25" s="96" t="s">
        <v>73</v>
      </c>
      <c r="F25" s="86"/>
      <c r="G25" s="86"/>
      <c r="H25" s="86"/>
      <c r="I25" s="86"/>
      <c r="J25" s="86"/>
      <c r="K25" s="86"/>
      <c r="L25" s="86"/>
      <c r="M25" s="86"/>
      <c r="N25" s="86"/>
      <c r="O25" s="86"/>
      <c r="P25" s="86"/>
      <c r="Q25" s="86"/>
      <c r="R25" s="86"/>
      <c r="S25" s="86"/>
      <c r="T25" s="86"/>
      <c r="U25" s="86"/>
      <c r="V25" s="86"/>
      <c r="W25" s="86"/>
      <c r="X25" s="131"/>
      <c r="Y25" s="86"/>
      <c r="Z25" s="86"/>
      <c r="AG25" s="86"/>
      <c r="AI25" s="86"/>
    </row>
    <row r="26" spans="1:48" s="150" customFormat="1" ht="6.75">
      <c r="A26" s="150" t="s">
        <v>68</v>
      </c>
      <c r="B26" s="150" t="s">
        <v>455</v>
      </c>
      <c r="C26" s="150" t="s">
        <v>443</v>
      </c>
      <c r="D26" s="150" t="s">
        <v>444</v>
      </c>
      <c r="E26" s="150" t="s">
        <v>493</v>
      </c>
      <c r="F26" s="150" t="s">
        <v>733</v>
      </c>
      <c r="G26" s="150" t="s">
        <v>566</v>
      </c>
      <c r="H26" s="150" t="s">
        <v>538</v>
      </c>
      <c r="I26" s="150" t="s">
        <v>539</v>
      </c>
      <c r="J26" s="150" t="s">
        <v>540</v>
      </c>
      <c r="K26" s="150" t="s">
        <v>734</v>
      </c>
      <c r="L26" s="150" t="s">
        <v>491</v>
      </c>
    </row>
    <row r="27" spans="1:48" s="58" customFormat="1" ht="11.25">
      <c r="A27" s="69" t="s">
        <v>71</v>
      </c>
      <c r="B27" s="69" t="s">
        <v>731</v>
      </c>
      <c r="C27" s="70"/>
      <c r="D27" s="71">
        <v>1</v>
      </c>
      <c r="E27" s="95" t="s">
        <v>73</v>
      </c>
      <c r="F27" s="95" t="s">
        <v>73</v>
      </c>
      <c r="G27" s="95" t="s">
        <v>109</v>
      </c>
      <c r="H27" s="95" t="s">
        <v>108</v>
      </c>
      <c r="I27" s="95" t="s">
        <v>75</v>
      </c>
      <c r="J27" s="95"/>
    </row>
    <row r="28" spans="1:48" s="150" customFormat="1" ht="6.75">
      <c r="A28" s="150" t="s">
        <v>68</v>
      </c>
      <c r="B28" s="150" t="s">
        <v>455</v>
      </c>
      <c r="C28" s="150" t="s">
        <v>443</v>
      </c>
      <c r="D28" s="150" t="s">
        <v>444</v>
      </c>
      <c r="E28" s="150" t="s">
        <v>493</v>
      </c>
      <c r="F28" s="150" t="s">
        <v>547</v>
      </c>
      <c r="G28" s="150" t="s">
        <v>549</v>
      </c>
      <c r="H28" s="150" t="s">
        <v>546</v>
      </c>
      <c r="I28" s="150" t="s">
        <v>735</v>
      </c>
      <c r="J28" s="150" t="s">
        <v>567</v>
      </c>
      <c r="K28" s="150" t="s">
        <v>736</v>
      </c>
      <c r="L28" s="150" t="s">
        <v>737</v>
      </c>
      <c r="M28" s="150" t="s">
        <v>553</v>
      </c>
      <c r="N28" s="150" t="s">
        <v>729</v>
      </c>
      <c r="O28" s="150" t="s">
        <v>516</v>
      </c>
      <c r="P28" s="150" t="s">
        <v>491</v>
      </c>
    </row>
    <row r="29" spans="1:48" s="58" customFormat="1" ht="11.25">
      <c r="A29" s="69" t="s">
        <v>71</v>
      </c>
      <c r="B29" s="69" t="s">
        <v>732</v>
      </c>
      <c r="C29" s="70"/>
      <c r="D29" s="71">
        <v>1</v>
      </c>
      <c r="E29" s="95" t="s">
        <v>73</v>
      </c>
      <c r="F29" s="58" t="s">
        <v>73</v>
      </c>
      <c r="H29" s="58" t="s">
        <v>73</v>
      </c>
    </row>
    <row r="30" spans="1:48" s="153" customFormat="1" ht="6.75">
      <c r="A30" s="153" t="s">
        <v>68</v>
      </c>
      <c r="B30" s="153" t="s">
        <v>455</v>
      </c>
      <c r="C30" s="150" t="s">
        <v>443</v>
      </c>
      <c r="D30" s="150" t="s">
        <v>444</v>
      </c>
      <c r="E30" s="153" t="s">
        <v>493</v>
      </c>
      <c r="F30" s="153" t="s">
        <v>784</v>
      </c>
      <c r="G30" s="153" t="s">
        <v>787</v>
      </c>
      <c r="H30" s="153" t="s">
        <v>404</v>
      </c>
      <c r="I30" s="153" t="s">
        <v>785</v>
      </c>
      <c r="J30" s="153" t="s">
        <v>753</v>
      </c>
      <c r="K30" s="153" t="s">
        <v>786</v>
      </c>
      <c r="L30" s="153" t="s">
        <v>491</v>
      </c>
    </row>
    <row r="31" spans="1:48" s="88" customFormat="1" ht="10.5" customHeight="1">
      <c r="A31" s="84" t="s">
        <v>71</v>
      </c>
      <c r="B31" s="84" t="s">
        <v>788</v>
      </c>
      <c r="C31" s="85"/>
      <c r="D31" s="71">
        <v>1</v>
      </c>
      <c r="E31" s="96" t="s">
        <v>73</v>
      </c>
      <c r="F31" s="86" t="s">
        <v>73</v>
      </c>
      <c r="G31" s="86">
        <v>99</v>
      </c>
      <c r="H31" s="86">
        <v>99</v>
      </c>
      <c r="I31" s="86">
        <v>99</v>
      </c>
      <c r="J31" s="86">
        <v>99</v>
      </c>
      <c r="K31" s="86" t="s">
        <v>73</v>
      </c>
      <c r="L31" s="86"/>
      <c r="M31" s="86"/>
      <c r="N31" s="86"/>
      <c r="O31" s="86"/>
      <c r="P31" s="86"/>
      <c r="Q31" s="86"/>
      <c r="R31" s="86"/>
      <c r="S31" s="86"/>
      <c r="T31" s="86"/>
      <c r="U31" s="86"/>
      <c r="V31" s="86"/>
      <c r="W31" s="86"/>
      <c r="X31" s="131"/>
      <c r="Y31" s="86"/>
      <c r="Z31" s="86"/>
      <c r="AG31" s="86"/>
      <c r="AI31" s="86"/>
    </row>
    <row r="32" spans="1:48" s="156" customFormat="1" ht="6.75">
      <c r="A32" s="156" t="s">
        <v>68</v>
      </c>
      <c r="B32" s="150" t="s">
        <v>455</v>
      </c>
      <c r="C32" s="150" t="s">
        <v>443</v>
      </c>
      <c r="D32" s="150" t="s">
        <v>444</v>
      </c>
      <c r="E32" s="156" t="s">
        <v>493</v>
      </c>
      <c r="F32" s="156" t="s">
        <v>750</v>
      </c>
      <c r="G32" s="156" t="s">
        <v>749</v>
      </c>
      <c r="H32" s="156" t="s">
        <v>747</v>
      </c>
      <c r="I32" s="156" t="s">
        <v>116</v>
      </c>
      <c r="J32" s="156" t="s">
        <v>117</v>
      </c>
      <c r="K32" s="156" t="s">
        <v>118</v>
      </c>
      <c r="L32" s="156" t="s">
        <v>123</v>
      </c>
      <c r="M32" s="156" t="s">
        <v>119</v>
      </c>
      <c r="N32" s="156" t="s">
        <v>221</v>
      </c>
      <c r="O32" s="156" t="s">
        <v>171</v>
      </c>
      <c r="P32" s="156" t="s">
        <v>172</v>
      </c>
      <c r="Q32" s="156" t="s">
        <v>177</v>
      </c>
      <c r="R32" s="156" t="s">
        <v>169</v>
      </c>
      <c r="S32" s="156" t="s">
        <v>170</v>
      </c>
      <c r="T32" s="156" t="s">
        <v>268</v>
      </c>
      <c r="U32" s="156" t="s">
        <v>173</v>
      </c>
      <c r="V32" s="156" t="s">
        <v>174</v>
      </c>
      <c r="W32" s="156" t="s">
        <v>175</v>
      </c>
      <c r="X32" s="156" t="s">
        <v>176</v>
      </c>
      <c r="Y32" s="156" t="s">
        <v>178</v>
      </c>
      <c r="Z32" s="156" t="s">
        <v>179</v>
      </c>
      <c r="AA32" s="156" t="s">
        <v>180</v>
      </c>
      <c r="AB32" s="156" t="s">
        <v>181</v>
      </c>
      <c r="AC32" s="156" t="s">
        <v>182</v>
      </c>
      <c r="AD32" s="156" t="s">
        <v>282</v>
      </c>
      <c r="AE32" s="156" t="s">
        <v>281</v>
      </c>
      <c r="AF32" s="156" t="s">
        <v>281</v>
      </c>
      <c r="AG32" s="156" t="s">
        <v>186</v>
      </c>
      <c r="AH32" s="156" t="s">
        <v>187</v>
      </c>
      <c r="AI32" s="156" t="s">
        <v>192</v>
      </c>
      <c r="AJ32" s="156" t="s">
        <v>188</v>
      </c>
      <c r="AK32" s="156" t="s">
        <v>198</v>
      </c>
      <c r="AL32" s="156" t="s">
        <v>199</v>
      </c>
      <c r="AM32" s="156" t="s">
        <v>200</v>
      </c>
      <c r="AN32" s="156" t="s">
        <v>189</v>
      </c>
      <c r="AO32" s="156" t="s">
        <v>190</v>
      </c>
      <c r="AP32" s="156" t="s">
        <v>191</v>
      </c>
      <c r="AQ32" s="156" t="s">
        <v>193</v>
      </c>
      <c r="AR32" s="156" t="s">
        <v>194</v>
      </c>
      <c r="AS32" s="156" t="s">
        <v>195</v>
      </c>
      <c r="AT32" s="156" t="s">
        <v>196</v>
      </c>
      <c r="AU32" s="156" t="s">
        <v>197</v>
      </c>
      <c r="AV32" s="153" t="s">
        <v>491</v>
      </c>
    </row>
    <row r="33" spans="1:48" s="58" customFormat="1" ht="11.25">
      <c r="A33" s="69" t="s">
        <v>71</v>
      </c>
      <c r="B33" s="69" t="s">
        <v>568</v>
      </c>
      <c r="C33" s="70"/>
      <c r="D33" s="71">
        <v>1</v>
      </c>
      <c r="E33" s="97" t="s">
        <v>73</v>
      </c>
      <c r="F33" s="58" t="s">
        <v>73</v>
      </c>
      <c r="G33" s="61"/>
      <c r="H33" s="61"/>
      <c r="I33" s="61"/>
      <c r="J33" s="61" t="s">
        <v>77</v>
      </c>
      <c r="K33" s="61" t="s">
        <v>77</v>
      </c>
      <c r="L33" s="61"/>
      <c r="M33" s="61"/>
      <c r="N33" s="61"/>
      <c r="O33" s="61">
        <f ca="1">(INDIRECT("'Data'!BQ"&amp;($C$1)))</f>
        <v>0</v>
      </c>
      <c r="P33" s="61"/>
      <c r="Q33" s="61">
        <f ca="1">(INDIRECT("'Data'!CI"&amp;($C$1)))</f>
        <v>1</v>
      </c>
      <c r="R33" s="61">
        <f ca="1">(INDIRECT("'Data'!BX"&amp;($C$1)))</f>
        <v>0</v>
      </c>
      <c r="S33" s="61">
        <f ca="1">(INDIRECT("'Data'!BW"&amp;($C$1)))</f>
        <v>0</v>
      </c>
      <c r="T33" s="61" t="str">
        <f ca="1">(INDIRECT("'Data'!CJ"&amp;($C$1)))</f>
        <v>GAS_ENQ_NO-647</v>
      </c>
      <c r="U33" s="61" t="str">
        <f ca="1">(INDIRECT("'Data'!CK"&amp;($C$1)))</f>
        <v>G4</v>
      </c>
      <c r="V33" s="61"/>
      <c r="W33" s="61"/>
      <c r="X33" s="61"/>
      <c r="Y33" s="61"/>
      <c r="Z33" s="61"/>
      <c r="AA33" s="61"/>
      <c r="AB33" s="60"/>
      <c r="AC33" s="61"/>
      <c r="AD33" s="61"/>
      <c r="AE33" s="61"/>
      <c r="AF33" s="61"/>
      <c r="AV33" s="86"/>
    </row>
    <row r="34" spans="1:48" s="150" customFormat="1" ht="6.75">
      <c r="A34" s="150" t="s">
        <v>68</v>
      </c>
      <c r="B34" s="150" t="s">
        <v>455</v>
      </c>
      <c r="C34" s="150" t="s">
        <v>443</v>
      </c>
      <c r="D34" s="150" t="s">
        <v>444</v>
      </c>
      <c r="E34" s="150" t="s">
        <v>493</v>
      </c>
      <c r="F34" s="150" t="s">
        <v>203</v>
      </c>
      <c r="G34" s="150" t="s">
        <v>204</v>
      </c>
      <c r="H34" s="150" t="s">
        <v>205</v>
      </c>
      <c r="I34" s="150" t="s">
        <v>284</v>
      </c>
      <c r="J34" s="150" t="s">
        <v>206</v>
      </c>
      <c r="K34" s="150" t="s">
        <v>207</v>
      </c>
      <c r="L34" s="150" t="s">
        <v>208</v>
      </c>
      <c r="M34" s="150" t="s">
        <v>209</v>
      </c>
      <c r="N34" s="150" t="s">
        <v>210</v>
      </c>
      <c r="O34" s="150" t="s">
        <v>211</v>
      </c>
      <c r="P34" s="150" t="s">
        <v>212</v>
      </c>
      <c r="Q34" s="150" t="s">
        <v>213</v>
      </c>
      <c r="R34" s="150" t="s">
        <v>214</v>
      </c>
      <c r="S34" s="150" t="s">
        <v>215</v>
      </c>
      <c r="T34" s="150" t="s">
        <v>216</v>
      </c>
      <c r="U34" s="150" t="s">
        <v>217</v>
      </c>
      <c r="V34" s="153" t="s">
        <v>491</v>
      </c>
    </row>
    <row r="35" spans="1:48" s="58" customFormat="1" ht="11.25">
      <c r="A35" s="69" t="s">
        <v>71</v>
      </c>
      <c r="B35" s="69" t="s">
        <v>570</v>
      </c>
      <c r="C35" s="70"/>
      <c r="D35" s="71">
        <v>1</v>
      </c>
      <c r="E35" s="95" t="s">
        <v>73</v>
      </c>
      <c r="F35" s="49">
        <f ca="1">(INDIRECT("'Data'!BL"&amp;($C$1)))</f>
        <v>0</v>
      </c>
      <c r="G35" s="49">
        <f ca="1">(INDIRECT("'Data'!BX"&amp;($C$1)))</f>
        <v>0</v>
      </c>
      <c r="H35" s="58" t="s">
        <v>280</v>
      </c>
      <c r="I35" s="61">
        <v>1</v>
      </c>
      <c r="N35" s="58" t="s">
        <v>218</v>
      </c>
      <c r="O35" s="58" t="s">
        <v>285</v>
      </c>
      <c r="P35" s="58" t="s">
        <v>286</v>
      </c>
      <c r="Q35" s="58" t="s">
        <v>287</v>
      </c>
      <c r="R35" s="58" t="s">
        <v>75</v>
      </c>
      <c r="S35" s="58" t="s">
        <v>219</v>
      </c>
      <c r="T35" s="58" t="s">
        <v>120</v>
      </c>
      <c r="U35" s="58" t="s">
        <v>73</v>
      </c>
      <c r="V35" s="86"/>
    </row>
    <row r="36" spans="1:48" s="150" customFormat="1" ht="6.75">
      <c r="A36" s="150" t="s">
        <v>68</v>
      </c>
      <c r="B36" s="150" t="s">
        <v>455</v>
      </c>
      <c r="C36" s="150" t="s">
        <v>443</v>
      </c>
      <c r="D36" s="150" t="s">
        <v>444</v>
      </c>
      <c r="E36" s="150" t="s">
        <v>493</v>
      </c>
      <c r="F36" s="150" t="s">
        <v>574</v>
      </c>
      <c r="G36" s="150" t="s">
        <v>575</v>
      </c>
      <c r="H36" s="153" t="s">
        <v>491</v>
      </c>
    </row>
    <row r="37" spans="1:48" s="58" customFormat="1" ht="11.25">
      <c r="A37" s="69" t="s">
        <v>71</v>
      </c>
      <c r="B37" s="69" t="s">
        <v>578</v>
      </c>
      <c r="C37" s="70"/>
      <c r="D37" s="71">
        <v>1</v>
      </c>
      <c r="E37" s="95" t="s">
        <v>73</v>
      </c>
      <c r="F37" s="58" t="s">
        <v>120</v>
      </c>
      <c r="G37" s="60" t="s">
        <v>73</v>
      </c>
      <c r="H37" s="86"/>
    </row>
    <row r="38" spans="1:48" s="150" customFormat="1" ht="6.75">
      <c r="A38" s="150" t="s">
        <v>68</v>
      </c>
      <c r="B38" s="150" t="s">
        <v>455</v>
      </c>
      <c r="C38" s="150" t="s">
        <v>443</v>
      </c>
      <c r="D38" s="150" t="s">
        <v>444</v>
      </c>
      <c r="E38" s="150" t="s">
        <v>493</v>
      </c>
      <c r="F38" s="150" t="s">
        <v>579</v>
      </c>
      <c r="G38" s="150" t="s">
        <v>577</v>
      </c>
      <c r="H38" s="150" t="s">
        <v>83</v>
      </c>
      <c r="I38" s="150" t="s">
        <v>584</v>
      </c>
      <c r="J38" s="150" t="s">
        <v>576</v>
      </c>
      <c r="K38" s="150" t="s">
        <v>220</v>
      </c>
      <c r="L38" s="153" t="s">
        <v>491</v>
      </c>
    </row>
    <row r="39" spans="1:48" s="58" customFormat="1" ht="11.25">
      <c r="A39" s="69" t="s">
        <v>71</v>
      </c>
      <c r="B39" s="69" t="s">
        <v>580</v>
      </c>
      <c r="C39" s="70" t="s">
        <v>77</v>
      </c>
      <c r="D39" s="71">
        <v>1</v>
      </c>
      <c r="E39" s="95" t="s">
        <v>73</v>
      </c>
      <c r="F39" s="74" t="s">
        <v>754</v>
      </c>
      <c r="G39" s="74" t="s">
        <v>755</v>
      </c>
      <c r="H39" s="74" t="s">
        <v>756</v>
      </c>
      <c r="I39" s="89"/>
      <c r="J39" s="74" t="s">
        <v>124</v>
      </c>
      <c r="K39" s="75" t="s">
        <v>585</v>
      </c>
      <c r="L39" s="86"/>
    </row>
    <row r="40" spans="1:48" s="150" customFormat="1" ht="6.75">
      <c r="A40" s="150" t="s">
        <v>68</v>
      </c>
      <c r="B40" s="150" t="s">
        <v>455</v>
      </c>
      <c r="C40" s="150" t="s">
        <v>443</v>
      </c>
      <c r="D40" s="150" t="s">
        <v>444</v>
      </c>
      <c r="E40" s="150" t="s">
        <v>493</v>
      </c>
      <c r="F40" s="150" t="s">
        <v>318</v>
      </c>
      <c r="G40" s="150" t="s">
        <v>587</v>
      </c>
      <c r="H40" s="150" t="s">
        <v>319</v>
      </c>
      <c r="I40" s="150" t="s">
        <v>125</v>
      </c>
      <c r="J40" s="150" t="s">
        <v>588</v>
      </c>
      <c r="K40" s="150" t="s">
        <v>589</v>
      </c>
      <c r="L40" s="150" t="s">
        <v>320</v>
      </c>
      <c r="M40" s="150" t="s">
        <v>321</v>
      </c>
      <c r="N40" s="150" t="s">
        <v>89</v>
      </c>
      <c r="O40" s="150" t="s">
        <v>590</v>
      </c>
      <c r="P40" s="150" t="s">
        <v>419</v>
      </c>
      <c r="Q40" s="153" t="s">
        <v>491</v>
      </c>
    </row>
    <row r="41" spans="1:48" s="78" customFormat="1" ht="11.25" customHeight="1">
      <c r="A41" s="69" t="s">
        <v>71</v>
      </c>
      <c r="B41" s="69" t="s">
        <v>586</v>
      </c>
      <c r="C41" s="69"/>
      <c r="D41" s="71">
        <v>1</v>
      </c>
      <c r="E41" s="95" t="s">
        <v>73</v>
      </c>
      <c r="F41" s="76" t="s">
        <v>73</v>
      </c>
      <c r="G41" s="76" t="s">
        <v>73</v>
      </c>
      <c r="H41" s="76" t="s">
        <v>322</v>
      </c>
      <c r="I41" s="76" t="s">
        <v>323</v>
      </c>
      <c r="J41" s="76" t="s">
        <v>73</v>
      </c>
      <c r="K41" s="76" t="s">
        <v>73</v>
      </c>
      <c r="L41" s="78" t="s">
        <v>73</v>
      </c>
      <c r="M41" s="78" t="s">
        <v>73</v>
      </c>
      <c r="N41" s="76" t="s">
        <v>73</v>
      </c>
      <c r="O41" s="78" t="s">
        <v>73</v>
      </c>
      <c r="P41" s="76" t="s">
        <v>73</v>
      </c>
      <c r="Q41" s="86"/>
    </row>
    <row r="42" spans="1:48" s="150" customFormat="1" ht="6.75">
      <c r="A42" s="150" t="s">
        <v>68</v>
      </c>
      <c r="B42" s="150" t="s">
        <v>455</v>
      </c>
      <c r="C42" s="150" t="s">
        <v>443</v>
      </c>
      <c r="D42" s="150" t="s">
        <v>444</v>
      </c>
      <c r="E42" s="150" t="s">
        <v>493</v>
      </c>
      <c r="F42" s="150" t="s">
        <v>591</v>
      </c>
      <c r="G42" s="150" t="s">
        <v>593</v>
      </c>
      <c r="H42" s="150" t="s">
        <v>592</v>
      </c>
      <c r="I42" s="150" t="s">
        <v>302</v>
      </c>
      <c r="J42" s="150" t="s">
        <v>304</v>
      </c>
      <c r="K42" s="150" t="s">
        <v>475</v>
      </c>
      <c r="L42" s="153" t="s">
        <v>491</v>
      </c>
    </row>
    <row r="43" spans="1:48" s="79" customFormat="1" ht="11.25">
      <c r="A43" s="69" t="s">
        <v>71</v>
      </c>
      <c r="B43" s="69" t="s">
        <v>642</v>
      </c>
      <c r="C43" s="70" t="s">
        <v>77</v>
      </c>
      <c r="D43" s="71">
        <v>1</v>
      </c>
      <c r="E43" s="95" t="s">
        <v>73</v>
      </c>
      <c r="F43" s="79" t="s">
        <v>303</v>
      </c>
      <c r="G43" s="79" t="s">
        <v>65</v>
      </c>
      <c r="H43" s="79" t="s">
        <v>53</v>
      </c>
      <c r="I43" s="56"/>
      <c r="J43" s="79" t="s">
        <v>77</v>
      </c>
      <c r="K43" s="48">
        <f ca="1">(INDIRECT("'Data'!CD"&amp;($C$1)))</f>
        <v>0</v>
      </c>
      <c r="L43" s="86"/>
    </row>
    <row r="44" spans="1:48" s="150" customFormat="1" ht="6.75">
      <c r="A44" s="150" t="s">
        <v>68</v>
      </c>
      <c r="B44" s="150" t="s">
        <v>455</v>
      </c>
      <c r="C44" s="150" t="s">
        <v>443</v>
      </c>
      <c r="D44" s="150" t="s">
        <v>444</v>
      </c>
      <c r="E44" s="150" t="s">
        <v>493</v>
      </c>
      <c r="F44" s="150" t="s">
        <v>475</v>
      </c>
      <c r="G44" s="150" t="s">
        <v>789</v>
      </c>
      <c r="H44" s="150" t="s">
        <v>790</v>
      </c>
      <c r="I44" s="150" t="s">
        <v>791</v>
      </c>
      <c r="J44" s="150" t="s">
        <v>793</v>
      </c>
      <c r="K44" s="150" t="s">
        <v>794</v>
      </c>
      <c r="L44" s="150" t="s">
        <v>795</v>
      </c>
      <c r="M44" s="150" t="s">
        <v>796</v>
      </c>
      <c r="N44" s="150" t="s">
        <v>650</v>
      </c>
      <c r="O44" s="150" t="s">
        <v>651</v>
      </c>
      <c r="P44" s="153" t="s">
        <v>491</v>
      </c>
    </row>
    <row r="45" spans="1:48" s="79" customFormat="1" ht="11.25">
      <c r="A45" s="69" t="s">
        <v>71</v>
      </c>
      <c r="B45" s="69" t="s">
        <v>594</v>
      </c>
      <c r="C45" s="70" t="s">
        <v>77</v>
      </c>
      <c r="D45" s="71">
        <v>1</v>
      </c>
      <c r="E45" s="95" t="s">
        <v>73</v>
      </c>
      <c r="F45" s="48">
        <f ca="1">(INDIRECT("'Data'!CD"&amp;($C$1)))</f>
        <v>0</v>
      </c>
      <c r="G45" s="78" t="s">
        <v>73</v>
      </c>
      <c r="H45" s="78" t="s">
        <v>308</v>
      </c>
      <c r="I45" s="78" t="s">
        <v>317</v>
      </c>
      <c r="J45" s="76">
        <v>11</v>
      </c>
      <c r="K45" s="78" t="s">
        <v>231</v>
      </c>
      <c r="L45" s="78" t="s">
        <v>757</v>
      </c>
      <c r="M45" s="78" t="s">
        <v>313</v>
      </c>
      <c r="N45" s="79" t="s">
        <v>315</v>
      </c>
      <c r="O45" s="79" t="s">
        <v>65</v>
      </c>
      <c r="P45" s="86"/>
    </row>
    <row r="46" spans="1:48" s="150" customFormat="1" ht="6.75">
      <c r="A46" s="150" t="s">
        <v>68</v>
      </c>
      <c r="B46" s="150" t="s">
        <v>455</v>
      </c>
      <c r="C46" s="150" t="s">
        <v>443</v>
      </c>
      <c r="D46" s="150" t="s">
        <v>444</v>
      </c>
      <c r="E46" s="150" t="s">
        <v>493</v>
      </c>
      <c r="F46" s="150" t="s">
        <v>235</v>
      </c>
      <c r="G46" s="150" t="s">
        <v>238</v>
      </c>
      <c r="H46" s="150" t="s">
        <v>595</v>
      </c>
      <c r="I46" s="150" t="s">
        <v>596</v>
      </c>
      <c r="J46" s="150" t="s">
        <v>599</v>
      </c>
      <c r="K46" s="150" t="s">
        <v>237</v>
      </c>
      <c r="L46" s="150" t="s">
        <v>597</v>
      </c>
      <c r="M46" s="150" t="s">
        <v>236</v>
      </c>
      <c r="N46" s="153" t="s">
        <v>491</v>
      </c>
    </row>
    <row r="47" spans="1:48" s="79" customFormat="1" ht="11.25">
      <c r="A47" s="69" t="s">
        <v>71</v>
      </c>
      <c r="B47" s="69" t="s">
        <v>598</v>
      </c>
      <c r="C47" s="70"/>
      <c r="D47" s="71">
        <v>1</v>
      </c>
      <c r="E47" s="95" t="s">
        <v>73</v>
      </c>
      <c r="F47" s="56" t="s">
        <v>73</v>
      </c>
      <c r="G47" s="56" t="s">
        <v>238</v>
      </c>
      <c r="H47" s="56" t="s">
        <v>109</v>
      </c>
      <c r="I47" s="56" t="s">
        <v>168</v>
      </c>
      <c r="J47" s="56" t="s">
        <v>73</v>
      </c>
      <c r="K47" s="56" t="s">
        <v>237</v>
      </c>
      <c r="L47" s="56" t="s">
        <v>109</v>
      </c>
      <c r="M47" s="56" t="s">
        <v>236</v>
      </c>
      <c r="N47" s="86"/>
    </row>
    <row r="48" spans="1:48" s="150" customFormat="1" ht="6.75">
      <c r="A48" s="150" t="s">
        <v>68</v>
      </c>
      <c r="B48" s="150" t="s">
        <v>455</v>
      </c>
      <c r="C48" s="150" t="s">
        <v>443</v>
      </c>
      <c r="D48" s="150" t="s">
        <v>444</v>
      </c>
      <c r="E48" s="150" t="s">
        <v>493</v>
      </c>
      <c r="F48" s="153" t="s">
        <v>491</v>
      </c>
    </row>
    <row r="49" spans="1:59" s="79" customFormat="1" ht="11.25">
      <c r="A49" s="69" t="s">
        <v>71</v>
      </c>
      <c r="B49" s="69" t="s">
        <v>600</v>
      </c>
      <c r="C49" s="70"/>
      <c r="D49" s="71">
        <v>1</v>
      </c>
      <c r="E49" s="95" t="s">
        <v>73</v>
      </c>
      <c r="F49" s="86"/>
    </row>
    <row r="50" spans="1:59" s="150" customFormat="1" ht="6.75">
      <c r="A50" s="150" t="s">
        <v>68</v>
      </c>
      <c r="B50" s="150" t="s">
        <v>455</v>
      </c>
      <c r="C50" s="150" t="s">
        <v>443</v>
      </c>
      <c r="D50" s="150" t="s">
        <v>444</v>
      </c>
      <c r="E50" s="150" t="s">
        <v>493</v>
      </c>
      <c r="F50" s="150" t="s">
        <v>485</v>
      </c>
      <c r="G50" s="150" t="s">
        <v>484</v>
      </c>
      <c r="H50" s="150" t="s">
        <v>486</v>
      </c>
      <c r="I50" s="150" t="s">
        <v>487</v>
      </c>
      <c r="J50" s="150" t="s">
        <v>488</v>
      </c>
      <c r="K50" s="150" t="s">
        <v>489</v>
      </c>
      <c r="L50" s="150" t="s">
        <v>490</v>
      </c>
      <c r="M50" s="150" t="s">
        <v>528</v>
      </c>
      <c r="N50" s="150" t="s">
        <v>126</v>
      </c>
      <c r="O50" s="150" t="s">
        <v>127</v>
      </c>
      <c r="P50" s="150" t="s">
        <v>128</v>
      </c>
      <c r="Q50" s="150" t="s">
        <v>129</v>
      </c>
      <c r="R50" s="150" t="s">
        <v>130</v>
      </c>
      <c r="S50" s="150" t="s">
        <v>131</v>
      </c>
      <c r="T50" s="150" t="s">
        <v>132</v>
      </c>
      <c r="U50" s="150" t="s">
        <v>491</v>
      </c>
      <c r="V50" s="150" t="s">
        <v>517</v>
      </c>
      <c r="W50" s="150" t="s">
        <v>107</v>
      </c>
      <c r="X50" s="150" t="s">
        <v>103</v>
      </c>
      <c r="Y50" s="150" t="s">
        <v>104</v>
      </c>
      <c r="Z50" s="150" t="s">
        <v>105</v>
      </c>
      <c r="AA50" s="150" t="s">
        <v>106</v>
      </c>
      <c r="AB50" s="150" t="s">
        <v>760</v>
      </c>
      <c r="AC50" s="150" t="s">
        <v>272</v>
      </c>
      <c r="AD50" s="150" t="s">
        <v>273</v>
      </c>
      <c r="AE50" s="150" t="s">
        <v>274</v>
      </c>
      <c r="AF50" s="150" t="s">
        <v>271</v>
      </c>
      <c r="AG50" s="153" t="s">
        <v>491</v>
      </c>
    </row>
    <row r="51" spans="1:59" s="58" customFormat="1" ht="11.25" customHeight="1">
      <c r="A51" s="69" t="s">
        <v>71</v>
      </c>
      <c r="B51" s="69" t="s">
        <v>500</v>
      </c>
      <c r="C51" s="70" t="s">
        <v>77</v>
      </c>
      <c r="D51" s="71">
        <v>1</v>
      </c>
      <c r="E51" s="95" t="s">
        <v>73</v>
      </c>
      <c r="F51" s="61" t="s">
        <v>135</v>
      </c>
      <c r="G51" s="61"/>
      <c r="H51" s="61" t="s">
        <v>134</v>
      </c>
      <c r="I51" s="61"/>
      <c r="J51" s="61"/>
      <c r="K51" s="61" t="s">
        <v>134</v>
      </c>
      <c r="L51" s="46"/>
      <c r="M51" s="61"/>
      <c r="N51" s="61" t="s">
        <v>134</v>
      </c>
      <c r="O51" s="61"/>
      <c r="P51" s="61"/>
      <c r="Q51" s="61" t="s">
        <v>134</v>
      </c>
      <c r="R51" s="61"/>
      <c r="S51" s="61"/>
      <c r="T51" s="61" t="s">
        <v>73</v>
      </c>
      <c r="U51" s="61"/>
      <c r="V51" s="61"/>
      <c r="W51" s="148"/>
      <c r="X51" s="148"/>
      <c r="Y51" s="148"/>
      <c r="Z51" s="148"/>
      <c r="AA51" s="148"/>
      <c r="AB51" s="148"/>
      <c r="AC51" s="149"/>
      <c r="AD51" s="149"/>
      <c r="AE51" s="149"/>
      <c r="AF51" s="149"/>
      <c r="AG51" s="86"/>
    </row>
    <row r="52" spans="1:59" s="150" customFormat="1" ht="6.75">
      <c r="A52" s="150" t="s">
        <v>68</v>
      </c>
      <c r="B52" s="150" t="s">
        <v>455</v>
      </c>
      <c r="C52" s="150" t="s">
        <v>443</v>
      </c>
      <c r="D52" s="150" t="s">
        <v>444</v>
      </c>
      <c r="E52" s="150" t="s">
        <v>493</v>
      </c>
      <c r="F52" s="150" t="s">
        <v>136</v>
      </c>
      <c r="G52" s="150" t="s">
        <v>137</v>
      </c>
      <c r="H52" s="150" t="s">
        <v>225</v>
      </c>
      <c r="I52" s="150" t="s">
        <v>226</v>
      </c>
      <c r="J52" s="150" t="s">
        <v>222</v>
      </c>
      <c r="K52" s="150" t="s">
        <v>223</v>
      </c>
      <c r="L52" s="150" t="s">
        <v>83</v>
      </c>
      <c r="M52" s="150" t="s">
        <v>101</v>
      </c>
      <c r="N52" s="150" t="s">
        <v>224</v>
      </c>
      <c r="O52" s="150" t="s">
        <v>138</v>
      </c>
      <c r="P52" s="150" t="s">
        <v>139</v>
      </c>
      <c r="Q52" s="150" t="s">
        <v>141</v>
      </c>
      <c r="R52" s="150" t="s">
        <v>227</v>
      </c>
      <c r="S52" s="150" t="s">
        <v>228</v>
      </c>
      <c r="T52" s="150" t="s">
        <v>229</v>
      </c>
      <c r="U52" s="150" t="s">
        <v>142</v>
      </c>
      <c r="V52" s="150" t="s">
        <v>143</v>
      </c>
      <c r="W52" s="150" t="s">
        <v>230</v>
      </c>
      <c r="X52" s="150" t="s">
        <v>491</v>
      </c>
    </row>
    <row r="53" spans="1:59" s="166" customFormat="1" ht="11.25">
      <c r="A53" s="161" t="s">
        <v>68</v>
      </c>
      <c r="B53" s="161" t="s">
        <v>601</v>
      </c>
      <c r="C53" s="162"/>
      <c r="D53" s="163">
        <v>1</v>
      </c>
      <c r="E53" s="164" t="s">
        <v>73</v>
      </c>
      <c r="F53" s="165" t="s">
        <v>73</v>
      </c>
      <c r="G53" s="165" t="str">
        <f ca="1">(INDIRECT("'Data'!S"&amp;($C$1))) &amp; " Smart Notes"</f>
        <v>Prev_RA-647 Smart Notes</v>
      </c>
      <c r="H53" s="165"/>
      <c r="I53" s="165" t="s">
        <v>73</v>
      </c>
      <c r="J53" s="165" t="s">
        <v>75</v>
      </c>
      <c r="K53" s="165"/>
      <c r="L53" s="165"/>
      <c r="M53" s="165" t="s">
        <v>77</v>
      </c>
      <c r="N53" s="165" t="s">
        <v>77</v>
      </c>
      <c r="O53" s="165" t="s">
        <v>77</v>
      </c>
      <c r="P53" s="165" t="s">
        <v>77</v>
      </c>
      <c r="Q53" s="165"/>
      <c r="R53" s="165"/>
      <c r="S53" s="165"/>
      <c r="T53" s="165"/>
      <c r="U53" s="165"/>
      <c r="X53" s="165"/>
    </row>
    <row r="54" spans="1:59" s="153" customFormat="1" ht="6.75">
      <c r="A54" s="153" t="s">
        <v>68</v>
      </c>
      <c r="B54" s="153" t="s">
        <v>455</v>
      </c>
      <c r="C54" s="150" t="s">
        <v>443</v>
      </c>
      <c r="D54" s="150" t="s">
        <v>444</v>
      </c>
      <c r="E54" s="153" t="s">
        <v>493</v>
      </c>
      <c r="F54" s="153" t="s">
        <v>491</v>
      </c>
    </row>
    <row r="55" spans="1:59" s="172" customFormat="1" ht="10.5" customHeight="1">
      <c r="A55" s="173" t="s">
        <v>71</v>
      </c>
      <c r="B55" s="173" t="s">
        <v>761</v>
      </c>
      <c r="C55" s="168"/>
      <c r="D55" s="163">
        <v>1</v>
      </c>
      <c r="E55" s="169" t="s">
        <v>73</v>
      </c>
      <c r="F55" s="170"/>
      <c r="G55" s="170"/>
      <c r="H55" s="170"/>
      <c r="I55" s="170"/>
      <c r="J55" s="170"/>
      <c r="K55" s="170"/>
      <c r="L55" s="170"/>
      <c r="M55" s="170"/>
      <c r="N55" s="170"/>
      <c r="O55" s="170"/>
      <c r="P55" s="170"/>
      <c r="Q55" s="170"/>
      <c r="R55" s="170"/>
      <c r="S55" s="170"/>
      <c r="T55" s="170"/>
      <c r="U55" s="170"/>
      <c r="V55" s="170"/>
      <c r="W55" s="170"/>
      <c r="X55" s="171"/>
      <c r="Y55" s="170"/>
      <c r="Z55" s="170"/>
      <c r="AG55" s="170"/>
      <c r="AI55" s="170"/>
    </row>
    <row r="56" spans="1:59" s="153" customFormat="1" ht="6.75">
      <c r="A56" s="153" t="s">
        <v>68</v>
      </c>
      <c r="B56" s="153" t="s">
        <v>455</v>
      </c>
      <c r="C56" s="150" t="s">
        <v>443</v>
      </c>
      <c r="D56" s="150" t="s">
        <v>444</v>
      </c>
      <c r="E56" s="153" t="s">
        <v>493</v>
      </c>
      <c r="F56" s="108" t="s">
        <v>823</v>
      </c>
      <c r="G56" s="108" t="s">
        <v>824</v>
      </c>
      <c r="H56" s="108" t="s">
        <v>223</v>
      </c>
      <c r="I56" s="108" t="s">
        <v>825</v>
      </c>
      <c r="J56" s="147" t="s">
        <v>491</v>
      </c>
    </row>
    <row r="57" spans="1:59" s="172" customFormat="1" ht="10.5" customHeight="1">
      <c r="A57" s="173" t="s">
        <v>71</v>
      </c>
      <c r="B57" s="173" t="s">
        <v>762</v>
      </c>
      <c r="C57" s="168"/>
      <c r="D57" s="163">
        <v>1</v>
      </c>
      <c r="E57" s="169" t="s">
        <v>73</v>
      </c>
      <c r="F57" s="170" t="s">
        <v>73</v>
      </c>
      <c r="G57" s="170" t="s">
        <v>75</v>
      </c>
      <c r="H57" s="170"/>
      <c r="I57" s="170"/>
      <c r="J57" s="170"/>
      <c r="K57" s="170"/>
      <c r="L57" s="170"/>
      <c r="M57" s="170"/>
      <c r="N57" s="170"/>
      <c r="O57" s="170"/>
      <c r="P57" s="170"/>
      <c r="Q57" s="170"/>
      <c r="R57" s="170"/>
      <c r="S57" s="170"/>
      <c r="T57" s="170"/>
      <c r="U57" s="170"/>
      <c r="V57" s="170"/>
      <c r="W57" s="170"/>
      <c r="X57" s="171"/>
      <c r="Y57" s="170"/>
      <c r="Z57" s="170"/>
      <c r="AG57" s="170"/>
      <c r="AI57" s="170"/>
    </row>
    <row r="58" spans="1:59" s="150" customFormat="1" ht="6.75">
      <c r="A58" s="150" t="s">
        <v>68</v>
      </c>
      <c r="B58" s="150" t="s">
        <v>455</v>
      </c>
      <c r="C58" s="150" t="s">
        <v>443</v>
      </c>
      <c r="D58" s="150" t="s">
        <v>444</v>
      </c>
      <c r="E58" s="150" t="s">
        <v>493</v>
      </c>
      <c r="F58" s="150" t="s">
        <v>569</v>
      </c>
      <c r="G58" s="150" t="s">
        <v>116</v>
      </c>
      <c r="H58" s="150" t="s">
        <v>117</v>
      </c>
      <c r="I58" s="150" t="s">
        <v>118</v>
      </c>
      <c r="J58" s="150" t="s">
        <v>123</v>
      </c>
      <c r="K58" s="150" t="s">
        <v>119</v>
      </c>
      <c r="L58" s="150" t="s">
        <v>221</v>
      </c>
      <c r="M58" s="150" t="s">
        <v>232</v>
      </c>
      <c r="N58" s="150" t="s">
        <v>603</v>
      </c>
      <c r="O58" s="150" t="s">
        <v>177</v>
      </c>
      <c r="P58" s="150" t="s">
        <v>169</v>
      </c>
      <c r="Q58" s="150" t="s">
        <v>170</v>
      </c>
      <c r="R58" s="150" t="s">
        <v>327</v>
      </c>
      <c r="S58" s="150" t="s">
        <v>328</v>
      </c>
      <c r="T58" s="150" t="s">
        <v>329</v>
      </c>
      <c r="U58" s="150" t="s">
        <v>329</v>
      </c>
      <c r="V58" s="150" t="s">
        <v>173</v>
      </c>
      <c r="W58" s="150" t="s">
        <v>174</v>
      </c>
      <c r="X58" s="150" t="s">
        <v>175</v>
      </c>
      <c r="Y58" s="150" t="s">
        <v>176</v>
      </c>
      <c r="Z58" s="150" t="s">
        <v>605</v>
      </c>
      <c r="AA58" s="150" t="s">
        <v>606</v>
      </c>
      <c r="AB58" s="150" t="s">
        <v>609</v>
      </c>
      <c r="AC58" s="150" t="s">
        <v>181</v>
      </c>
      <c r="AD58" s="150" t="s">
        <v>182</v>
      </c>
      <c r="AE58" s="150" t="s">
        <v>183</v>
      </c>
      <c r="AF58" s="150" t="s">
        <v>184</v>
      </c>
      <c r="AG58" s="150" t="s">
        <v>185</v>
      </c>
      <c r="AH58" s="150" t="s">
        <v>604</v>
      </c>
      <c r="AI58" s="150" t="s">
        <v>187</v>
      </c>
      <c r="AJ58" s="150" t="s">
        <v>607</v>
      </c>
      <c r="AK58" s="150" t="s">
        <v>608</v>
      </c>
      <c r="AL58" s="150" t="s">
        <v>198</v>
      </c>
      <c r="AM58" s="150" t="s">
        <v>199</v>
      </c>
      <c r="AN58" s="150" t="s">
        <v>200</v>
      </c>
      <c r="AO58" s="150" t="s">
        <v>610</v>
      </c>
      <c r="AP58" s="150" t="s">
        <v>611</v>
      </c>
      <c r="AQ58" s="150" t="s">
        <v>612</v>
      </c>
      <c r="AR58" s="150" t="s">
        <v>613</v>
      </c>
      <c r="AS58" s="150" t="s">
        <v>194</v>
      </c>
      <c r="AT58" s="150" t="s">
        <v>195</v>
      </c>
      <c r="AU58" s="150" t="s">
        <v>196</v>
      </c>
      <c r="AV58" s="150" t="s">
        <v>197</v>
      </c>
      <c r="AW58" s="150" t="s">
        <v>107</v>
      </c>
      <c r="AX58" s="150" t="s">
        <v>103</v>
      </c>
      <c r="AY58" s="150" t="s">
        <v>104</v>
      </c>
      <c r="AZ58" s="150" t="s">
        <v>105</v>
      </c>
      <c r="BA58" s="150" t="s">
        <v>106</v>
      </c>
      <c r="BB58" s="150" t="s">
        <v>266</v>
      </c>
      <c r="BC58" s="150" t="s">
        <v>272</v>
      </c>
      <c r="BD58" s="150" t="s">
        <v>273</v>
      </c>
      <c r="BE58" s="150" t="s">
        <v>274</v>
      </c>
      <c r="BF58" s="150" t="s">
        <v>271</v>
      </c>
      <c r="BG58" s="153" t="s">
        <v>491</v>
      </c>
    </row>
    <row r="59" spans="1:59" s="58" customFormat="1" ht="11.25">
      <c r="A59" s="69" t="s">
        <v>71</v>
      </c>
      <c r="B59" s="69" t="s">
        <v>602</v>
      </c>
      <c r="C59" s="70"/>
      <c r="D59" s="71">
        <v>1</v>
      </c>
      <c r="E59" s="97" t="s">
        <v>73</v>
      </c>
      <c r="F59" s="90" t="s">
        <v>73</v>
      </c>
      <c r="G59" s="91" t="s">
        <v>75</v>
      </c>
      <c r="H59" s="91" t="s">
        <v>77</v>
      </c>
      <c r="I59" s="91" t="s">
        <v>77</v>
      </c>
      <c r="J59" s="91" t="s">
        <v>73</v>
      </c>
      <c r="K59" s="91" t="s">
        <v>120</v>
      </c>
      <c r="L59" s="91">
        <v>1</v>
      </c>
      <c r="M59" s="91" t="s">
        <v>233</v>
      </c>
      <c r="N59" s="91" t="str">
        <f ca="1">(INDIRECT("'Data'!AZ"&amp;($C$1)))</f>
        <v>LU4 9RY</v>
      </c>
      <c r="O59" s="91" t="str">
        <f ca="1">(INDIRECT("'Data'!CL"&amp;($C$1)))</f>
        <v>false</v>
      </c>
      <c r="P59" s="91">
        <f ca="1">(INDIRECT("'Data'!AS"&amp;($C$1)))</f>
        <v>0</v>
      </c>
      <c r="Q59" s="91">
        <f ca="1">(INDIRECT("'Data'!AR"&amp;($C$1)))</f>
        <v>0</v>
      </c>
      <c r="R59" s="61" t="str">
        <f ca="1">(INDIRECT("'Data'!CM"&amp;($C$1)))</f>
        <v>true</v>
      </c>
      <c r="S59" s="91" t="s">
        <v>77</v>
      </c>
      <c r="T59" s="91"/>
      <c r="U59" s="91"/>
      <c r="V59" s="91" t="str">
        <f ca="1">(INDIRECT("'Data'!CN"&amp;($C$1)))</f>
        <v>EXCHANGE GAS METER TO SECURE SMART CREDIT</v>
      </c>
      <c r="W59" s="91"/>
      <c r="X59" s="91"/>
      <c r="Y59" s="91"/>
      <c r="Z59" s="61">
        <v>12345</v>
      </c>
      <c r="AA59" s="61" t="s">
        <v>164</v>
      </c>
      <c r="AB59" s="61" t="s">
        <v>234</v>
      </c>
      <c r="AC59" s="91" t="s">
        <v>77</v>
      </c>
      <c r="AD59" s="91">
        <v>1</v>
      </c>
      <c r="AE59" s="91"/>
      <c r="AF59" s="91"/>
      <c r="AG59" s="91"/>
      <c r="AH59" s="58" t="s">
        <v>163</v>
      </c>
      <c r="AI59" s="90"/>
      <c r="AJ59" s="58" t="s">
        <v>75</v>
      </c>
      <c r="AL59" s="90"/>
      <c r="AM59" s="90"/>
      <c r="AN59" s="90"/>
      <c r="AS59" s="90"/>
      <c r="AT59" s="90"/>
      <c r="AU59" s="90"/>
      <c r="AV59" s="90" t="s">
        <v>73</v>
      </c>
      <c r="AW59" s="90"/>
      <c r="AX59" s="90"/>
      <c r="AY59" s="90"/>
      <c r="AZ59" s="90"/>
      <c r="BA59" s="90"/>
      <c r="BB59" s="91" t="str">
        <f ca="1">(INDIRECT("'Data'!CO"&amp;($C$1)))</f>
        <v>GAS_JOB_ID-647</v>
      </c>
      <c r="BC59" s="90" t="s">
        <v>73</v>
      </c>
      <c r="BD59" s="90" t="s">
        <v>270</v>
      </c>
      <c r="BE59" s="90" t="s">
        <v>73</v>
      </c>
      <c r="BF59" s="90" t="s">
        <v>73</v>
      </c>
      <c r="BG59" s="86"/>
    </row>
    <row r="60" spans="1:59" s="150" customFormat="1" ht="6.75">
      <c r="A60" s="150" t="s">
        <v>68</v>
      </c>
      <c r="B60" s="150" t="s">
        <v>455</v>
      </c>
      <c r="C60" s="150" t="s">
        <v>443</v>
      </c>
      <c r="D60" s="150" t="s">
        <v>444</v>
      </c>
      <c r="E60" s="150" t="s">
        <v>493</v>
      </c>
      <c r="F60" s="150" t="s">
        <v>616</v>
      </c>
      <c r="G60" s="150" t="s">
        <v>617</v>
      </c>
      <c r="H60" s="150" t="s">
        <v>619</v>
      </c>
      <c r="I60" s="150" t="s">
        <v>622</v>
      </c>
      <c r="J60" s="150" t="s">
        <v>618</v>
      </c>
      <c r="K60" s="150" t="s">
        <v>239</v>
      </c>
      <c r="L60" s="150" t="s">
        <v>615</v>
      </c>
      <c r="M60" s="150" t="s">
        <v>491</v>
      </c>
    </row>
    <row r="61" spans="1:59" s="58" customFormat="1" ht="11.25" customHeight="1">
      <c r="A61" s="69" t="s">
        <v>71</v>
      </c>
      <c r="B61" s="69" t="s">
        <v>614</v>
      </c>
      <c r="C61" s="70"/>
      <c r="D61" s="92">
        <v>1</v>
      </c>
      <c r="E61" s="95" t="s">
        <v>73</v>
      </c>
      <c r="F61" s="48" t="str">
        <f ca="1">(INDIRECT("'Data'!CQ"&amp;($C$1)))</f>
        <v>10000647</v>
      </c>
      <c r="G61" s="48" t="str">
        <f ca="1">(INDIRECT("'Data'!CT"&amp;($C$1)))</f>
        <v>GMETER647</v>
      </c>
      <c r="H61" s="48" t="str">
        <f ca="1">(INDIRECT("'Data'!DB"&amp;($C$1)))</f>
        <v>GAS_INST_ID-647</v>
      </c>
      <c r="I61" s="48" t="str">
        <f ca="1">(INDIRECT("'Data'!DC"&amp;($C$1)))</f>
        <v>H</v>
      </c>
      <c r="J61" s="58" t="s">
        <v>704</v>
      </c>
      <c r="K61" s="58" t="s">
        <v>73</v>
      </c>
      <c r="L61" s="58" t="s">
        <v>623</v>
      </c>
      <c r="M61" s="56" t="s">
        <v>492</v>
      </c>
    </row>
    <row r="62" spans="1:59" s="150" customFormat="1" ht="6.75">
      <c r="A62" s="150" t="s">
        <v>68</v>
      </c>
      <c r="B62" s="150" t="s">
        <v>69</v>
      </c>
      <c r="C62" s="150" t="s">
        <v>70</v>
      </c>
      <c r="D62" s="150" t="s">
        <v>444</v>
      </c>
      <c r="E62" s="150" t="s">
        <v>493</v>
      </c>
      <c r="F62" s="150" t="s">
        <v>633</v>
      </c>
      <c r="G62" s="150" t="s">
        <v>634</v>
      </c>
      <c r="H62" s="153" t="s">
        <v>491</v>
      </c>
      <c r="I62" s="150" t="s">
        <v>77</v>
      </c>
      <c r="J62" s="150" t="s">
        <v>77</v>
      </c>
      <c r="K62" s="150" t="s">
        <v>77</v>
      </c>
      <c r="L62" s="150" t="s">
        <v>77</v>
      </c>
      <c r="M62" s="150" t="s">
        <v>77</v>
      </c>
      <c r="N62" s="150" t="s">
        <v>77</v>
      </c>
    </row>
    <row r="63" spans="1:59" s="58" customFormat="1" ht="11.25" customHeight="1">
      <c r="A63" s="119" t="s">
        <v>71</v>
      </c>
      <c r="B63" s="119" t="s">
        <v>621</v>
      </c>
      <c r="C63" s="120"/>
      <c r="D63" s="83">
        <v>1</v>
      </c>
      <c r="E63" s="95" t="s">
        <v>73</v>
      </c>
      <c r="F63" s="58" t="s">
        <v>120</v>
      </c>
      <c r="G63" s="60" t="s">
        <v>73</v>
      </c>
      <c r="H63" s="86"/>
      <c r="I63" s="61" t="s">
        <v>77</v>
      </c>
      <c r="J63" s="58" t="s">
        <v>77</v>
      </c>
      <c r="K63" s="58" t="s">
        <v>77</v>
      </c>
      <c r="L63" s="58" t="s">
        <v>77</v>
      </c>
      <c r="M63" s="58" t="s">
        <v>77</v>
      </c>
      <c r="N63" s="58" t="s">
        <v>77</v>
      </c>
    </row>
    <row r="64" spans="1:59" s="150" customFormat="1" ht="6.75">
      <c r="A64" s="150" t="s">
        <v>68</v>
      </c>
      <c r="B64" s="150" t="s">
        <v>69</v>
      </c>
      <c r="C64" s="150" t="s">
        <v>70</v>
      </c>
      <c r="D64" s="150" t="s">
        <v>444</v>
      </c>
      <c r="E64" s="150" t="s">
        <v>493</v>
      </c>
      <c r="F64" s="150" t="s">
        <v>636</v>
      </c>
      <c r="G64" s="150" t="s">
        <v>245</v>
      </c>
      <c r="H64" s="150" t="s">
        <v>243</v>
      </c>
      <c r="I64" s="150" t="s">
        <v>244</v>
      </c>
      <c r="J64" s="153" t="s">
        <v>491</v>
      </c>
    </row>
    <row r="65" spans="1:32" s="58" customFormat="1" ht="11.25" customHeight="1">
      <c r="A65" s="119" t="s">
        <v>71</v>
      </c>
      <c r="B65" s="119" t="s">
        <v>635</v>
      </c>
      <c r="C65" s="120" t="s">
        <v>77</v>
      </c>
      <c r="D65" s="83">
        <v>1</v>
      </c>
      <c r="E65" s="95" t="s">
        <v>73</v>
      </c>
      <c r="F65" s="61">
        <v>888888</v>
      </c>
      <c r="G65" s="61"/>
      <c r="H65" s="61"/>
      <c r="I65" s="61"/>
      <c r="J65" s="86"/>
      <c r="K65" s="61"/>
      <c r="L65" s="61"/>
      <c r="M65" s="60"/>
    </row>
    <row r="66" spans="1:32" s="112" customFormat="1" ht="6.75">
      <c r="A66" s="93" t="s">
        <v>68</v>
      </c>
      <c r="B66" s="93" t="s">
        <v>69</v>
      </c>
      <c r="C66" s="93" t="s">
        <v>70</v>
      </c>
      <c r="D66" s="93" t="s">
        <v>444</v>
      </c>
      <c r="E66" s="101" t="s">
        <v>493</v>
      </c>
      <c r="F66" s="112" t="s">
        <v>638</v>
      </c>
      <c r="G66" s="112" t="s">
        <v>639</v>
      </c>
      <c r="H66" s="112" t="s">
        <v>640</v>
      </c>
      <c r="I66" s="112" t="s">
        <v>576</v>
      </c>
      <c r="J66" s="108" t="s">
        <v>491</v>
      </c>
    </row>
    <row r="67" spans="1:32" s="58" customFormat="1" ht="11.25" customHeight="1">
      <c r="A67" s="119" t="s">
        <v>71</v>
      </c>
      <c r="B67" s="119" t="s">
        <v>637</v>
      </c>
      <c r="C67" s="120"/>
      <c r="D67" s="118">
        <v>1</v>
      </c>
      <c r="E67" s="95" t="s">
        <v>73</v>
      </c>
      <c r="F67" s="61" t="str">
        <f ca="1">("G00G"&amp;RIGHT(F11,6))</f>
        <v>G00G0</v>
      </c>
      <c r="G67" s="61" t="s">
        <v>763</v>
      </c>
      <c r="H67" s="61" t="s">
        <v>813</v>
      </c>
      <c r="I67" s="61" t="s">
        <v>324</v>
      </c>
      <c r="J67" s="86"/>
    </row>
    <row r="68" spans="1:32" s="112" customFormat="1" ht="6.75">
      <c r="A68" s="93" t="s">
        <v>68</v>
      </c>
      <c r="B68" s="93" t="s">
        <v>69</v>
      </c>
      <c r="C68" s="93" t="s">
        <v>70</v>
      </c>
      <c r="D68" s="93" t="s">
        <v>444</v>
      </c>
      <c r="E68" s="101" t="s">
        <v>493</v>
      </c>
      <c r="F68" s="112" t="s">
        <v>644</v>
      </c>
      <c r="G68" s="112" t="s">
        <v>645</v>
      </c>
      <c r="H68" s="112" t="s">
        <v>646</v>
      </c>
      <c r="I68" s="108" t="s">
        <v>491</v>
      </c>
    </row>
    <row r="69" spans="1:32" s="58" customFormat="1" ht="11.25" customHeight="1">
      <c r="A69" s="119" t="s">
        <v>71</v>
      </c>
      <c r="B69" s="119" t="s">
        <v>641</v>
      </c>
      <c r="C69" s="120"/>
      <c r="D69" s="83">
        <v>1</v>
      </c>
      <c r="E69" s="95" t="s">
        <v>73</v>
      </c>
      <c r="F69" s="58" t="s">
        <v>705</v>
      </c>
      <c r="I69" s="86"/>
    </row>
    <row r="70" spans="1:32" s="112" customFormat="1" ht="6.75">
      <c r="A70" s="93" t="s">
        <v>68</v>
      </c>
      <c r="B70" s="93" t="s">
        <v>69</v>
      </c>
      <c r="C70" s="93" t="s">
        <v>70</v>
      </c>
      <c r="D70" s="93" t="s">
        <v>444</v>
      </c>
      <c r="E70" s="101" t="s">
        <v>493</v>
      </c>
      <c r="F70" s="112" t="s">
        <v>649</v>
      </c>
      <c r="G70" s="112" t="s">
        <v>650</v>
      </c>
      <c r="H70" s="112" t="s">
        <v>651</v>
      </c>
      <c r="I70" s="108" t="s">
        <v>491</v>
      </c>
    </row>
    <row r="71" spans="1:32" s="58" customFormat="1" ht="11.25" customHeight="1">
      <c r="A71" s="119" t="s">
        <v>71</v>
      </c>
      <c r="B71" s="119" t="s">
        <v>648</v>
      </c>
      <c r="C71" s="120" t="s">
        <v>325</v>
      </c>
      <c r="D71" s="83">
        <v>1</v>
      </c>
      <c r="E71" s="95" t="s">
        <v>73</v>
      </c>
      <c r="F71" s="58" t="s">
        <v>73</v>
      </c>
      <c r="G71" s="58" t="s">
        <v>653</v>
      </c>
      <c r="H71" s="58" t="s">
        <v>65</v>
      </c>
      <c r="I71" s="86"/>
    </row>
    <row r="72" spans="1:32" s="112" customFormat="1" ht="6.75">
      <c r="A72" s="93" t="s">
        <v>68</v>
      </c>
      <c r="B72" s="93" t="s">
        <v>69</v>
      </c>
      <c r="C72" s="93" t="s">
        <v>70</v>
      </c>
      <c r="D72" s="93" t="s">
        <v>444</v>
      </c>
      <c r="E72" s="101" t="s">
        <v>493</v>
      </c>
      <c r="F72" s="112" t="s">
        <v>249</v>
      </c>
      <c r="G72" s="112" t="s">
        <v>250</v>
      </c>
      <c r="H72" s="112" t="s">
        <v>251</v>
      </c>
      <c r="I72" s="112" t="s">
        <v>252</v>
      </c>
      <c r="J72" s="112" t="s">
        <v>654</v>
      </c>
      <c r="K72" s="112" t="s">
        <v>655</v>
      </c>
      <c r="L72" s="112" t="s">
        <v>656</v>
      </c>
      <c r="M72" s="112" t="s">
        <v>553</v>
      </c>
      <c r="N72" s="112" t="s">
        <v>657</v>
      </c>
      <c r="O72" s="112" t="s">
        <v>658</v>
      </c>
      <c r="P72" s="112" t="s">
        <v>659</v>
      </c>
      <c r="Q72" s="112" t="s">
        <v>661</v>
      </c>
      <c r="R72" s="112" t="s">
        <v>662</v>
      </c>
      <c r="S72" s="112" t="s">
        <v>663</v>
      </c>
      <c r="T72" s="112" t="s">
        <v>664</v>
      </c>
      <c r="U72" s="112" t="s">
        <v>223</v>
      </c>
      <c r="V72" s="112" t="s">
        <v>640</v>
      </c>
      <c r="W72" s="112" t="s">
        <v>665</v>
      </c>
      <c r="X72" s="112" t="s">
        <v>666</v>
      </c>
      <c r="Y72" s="112" t="s">
        <v>667</v>
      </c>
      <c r="Z72" s="112" t="s">
        <v>668</v>
      </c>
      <c r="AA72" s="112" t="s">
        <v>669</v>
      </c>
      <c r="AB72" s="112" t="s">
        <v>670</v>
      </c>
      <c r="AC72" s="112" t="s">
        <v>671</v>
      </c>
      <c r="AD72" s="112" t="s">
        <v>672</v>
      </c>
      <c r="AE72" s="112" t="s">
        <v>660</v>
      </c>
      <c r="AF72" s="113" t="s">
        <v>491</v>
      </c>
    </row>
    <row r="73" spans="1:32" s="58" customFormat="1" ht="11.25">
      <c r="A73" s="119" t="s">
        <v>71</v>
      </c>
      <c r="B73" s="119" t="s">
        <v>652</v>
      </c>
      <c r="C73" s="120" t="s">
        <v>77</v>
      </c>
      <c r="D73" s="118">
        <v>1</v>
      </c>
      <c r="E73" s="95" t="s">
        <v>73</v>
      </c>
      <c r="F73" s="61" t="s">
        <v>75</v>
      </c>
      <c r="G73" s="61"/>
      <c r="H73" s="61"/>
      <c r="I73" s="61" t="s">
        <v>253</v>
      </c>
      <c r="J73" s="60" t="s">
        <v>75</v>
      </c>
      <c r="K73" s="60"/>
      <c r="L73" s="60"/>
      <c r="M73" s="60"/>
      <c r="N73" s="60"/>
      <c r="O73" s="60"/>
      <c r="P73" s="61" t="s">
        <v>75</v>
      </c>
      <c r="Q73" s="61"/>
      <c r="R73" s="61"/>
      <c r="S73" s="61" t="s">
        <v>73</v>
      </c>
      <c r="T73" s="61"/>
      <c r="U73" s="61"/>
      <c r="V73" s="61"/>
      <c r="W73" s="61" t="s">
        <v>73</v>
      </c>
      <c r="X73" s="61" t="s">
        <v>259</v>
      </c>
      <c r="Y73" s="61"/>
      <c r="Z73" s="61"/>
      <c r="AA73" s="61"/>
      <c r="AB73" s="61"/>
      <c r="AC73" s="61"/>
      <c r="AD73" s="61"/>
      <c r="AE73" s="61"/>
      <c r="AF73" s="56"/>
    </row>
    <row r="74" spans="1:32" s="112" customFormat="1" ht="6.75">
      <c r="A74" s="93" t="s">
        <v>68</v>
      </c>
      <c r="B74" s="93" t="s">
        <v>69</v>
      </c>
      <c r="C74" s="93" t="s">
        <v>70</v>
      </c>
      <c r="D74" s="93" t="s">
        <v>444</v>
      </c>
      <c r="E74" s="101" t="s">
        <v>493</v>
      </c>
      <c r="F74" s="112" t="s">
        <v>683</v>
      </c>
      <c r="G74" s="112" t="s">
        <v>684</v>
      </c>
      <c r="H74" s="112" t="s">
        <v>685</v>
      </c>
      <c r="I74" s="112" t="s">
        <v>1</v>
      </c>
      <c r="J74" s="112" t="s">
        <v>2</v>
      </c>
      <c r="K74" s="112" t="s">
        <v>3</v>
      </c>
      <c r="L74" s="112" t="s">
        <v>688</v>
      </c>
      <c r="M74" s="112" t="s">
        <v>687</v>
      </c>
      <c r="N74" s="112" t="s">
        <v>686</v>
      </c>
      <c r="O74" s="112" t="s">
        <v>676</v>
      </c>
      <c r="P74" s="112" t="s">
        <v>689</v>
      </c>
      <c r="Q74" s="112" t="s">
        <v>691</v>
      </c>
      <c r="R74" s="112" t="s">
        <v>692</v>
      </c>
      <c r="S74" s="112" t="s">
        <v>693</v>
      </c>
      <c r="T74" s="112" t="s">
        <v>694</v>
      </c>
      <c r="U74" s="112" t="s">
        <v>695</v>
      </c>
      <c r="V74" s="112" t="s">
        <v>696</v>
      </c>
      <c r="W74" s="112" t="s">
        <v>682</v>
      </c>
      <c r="X74" s="112" t="s">
        <v>677</v>
      </c>
      <c r="Y74" s="108" t="s">
        <v>491</v>
      </c>
    </row>
    <row r="75" spans="1:32" s="58" customFormat="1" ht="11.25" customHeight="1">
      <c r="A75" s="119" t="s">
        <v>71</v>
      </c>
      <c r="B75" s="119" t="s">
        <v>675</v>
      </c>
      <c r="C75" s="120"/>
      <c r="D75" s="83">
        <v>1</v>
      </c>
      <c r="E75" s="95" t="s">
        <v>73</v>
      </c>
      <c r="F75" s="58" t="s">
        <v>73</v>
      </c>
      <c r="G75" s="58" t="s">
        <v>75</v>
      </c>
      <c r="O75" s="58" t="s">
        <v>73</v>
      </c>
      <c r="P75" s="58" t="s">
        <v>690</v>
      </c>
      <c r="Q75" s="58" t="s">
        <v>73</v>
      </c>
      <c r="R75" s="58" t="s">
        <v>73</v>
      </c>
      <c r="S75" s="58" t="s">
        <v>254</v>
      </c>
      <c r="T75" s="58" t="s">
        <v>108</v>
      </c>
      <c r="U75" s="58" t="s">
        <v>764</v>
      </c>
      <c r="V75" s="58" t="s">
        <v>73</v>
      </c>
      <c r="W75" s="58" t="s">
        <v>73</v>
      </c>
      <c r="X75" s="58" t="s">
        <v>73</v>
      </c>
      <c r="Y75" s="86"/>
    </row>
    <row r="76" spans="1:32" s="150" customFormat="1" ht="6.75">
      <c r="A76" s="150" t="s">
        <v>68</v>
      </c>
      <c r="B76" s="150" t="s">
        <v>455</v>
      </c>
      <c r="C76" s="150" t="s">
        <v>443</v>
      </c>
      <c r="D76" s="150" t="s">
        <v>444</v>
      </c>
      <c r="E76" s="150" t="s">
        <v>493</v>
      </c>
      <c r="F76" s="150" t="s">
        <v>797</v>
      </c>
      <c r="G76" s="150" t="s">
        <v>800</v>
      </c>
      <c r="H76" s="150" t="s">
        <v>798</v>
      </c>
      <c r="I76" s="150" t="s">
        <v>815</v>
      </c>
      <c r="J76" s="150" t="s">
        <v>814</v>
      </c>
      <c r="K76" s="153" t="s">
        <v>491</v>
      </c>
    </row>
    <row r="77" spans="1:32" s="79" customFormat="1" ht="11.25">
      <c r="A77" s="69" t="s">
        <v>71</v>
      </c>
      <c r="B77" s="69" t="s">
        <v>799</v>
      </c>
      <c r="C77" s="70"/>
      <c r="D77" s="71">
        <v>1</v>
      </c>
      <c r="E77" s="95" t="s">
        <v>73</v>
      </c>
      <c r="F77" s="79" t="s">
        <v>73</v>
      </c>
      <c r="H77" s="79" t="s">
        <v>73</v>
      </c>
      <c r="I77" s="79" t="s">
        <v>73</v>
      </c>
      <c r="J77" s="79" t="s">
        <v>73</v>
      </c>
      <c r="K77" s="86"/>
    </row>
    <row r="78" spans="1:32" s="150" customFormat="1" ht="6.75">
      <c r="A78" s="150" t="s">
        <v>68</v>
      </c>
      <c r="B78" s="150" t="s">
        <v>455</v>
      </c>
      <c r="C78" s="150" t="s">
        <v>443</v>
      </c>
      <c r="D78" s="150" t="s">
        <v>444</v>
      </c>
      <c r="E78" s="150" t="s">
        <v>493</v>
      </c>
      <c r="F78" s="150" t="s">
        <v>801</v>
      </c>
      <c r="G78" s="153" t="s">
        <v>491</v>
      </c>
    </row>
    <row r="79" spans="1:32" s="79" customFormat="1" ht="11.25">
      <c r="A79" s="69" t="s">
        <v>71</v>
      </c>
      <c r="B79" s="69" t="s">
        <v>804</v>
      </c>
      <c r="C79" s="70"/>
      <c r="D79" s="71">
        <v>1</v>
      </c>
      <c r="E79" s="95" t="s">
        <v>73</v>
      </c>
      <c r="F79" s="79" t="s">
        <v>758</v>
      </c>
      <c r="G79" s="86"/>
    </row>
    <row r="80" spans="1:32" s="150" customFormat="1" ht="6.75">
      <c r="A80" s="150" t="s">
        <v>68</v>
      </c>
      <c r="B80" s="150" t="s">
        <v>455</v>
      </c>
      <c r="C80" s="150" t="s">
        <v>443</v>
      </c>
      <c r="D80" s="150" t="s">
        <v>444</v>
      </c>
      <c r="E80" s="150" t="s">
        <v>493</v>
      </c>
      <c r="F80" s="150" t="s">
        <v>802</v>
      </c>
      <c r="G80" s="150" t="s">
        <v>803</v>
      </c>
      <c r="H80" s="153" t="s">
        <v>491</v>
      </c>
    </row>
    <row r="81" spans="1:45" s="58" customFormat="1" ht="11.25">
      <c r="A81" s="69" t="s">
        <v>71</v>
      </c>
      <c r="B81" s="69" t="s">
        <v>805</v>
      </c>
      <c r="C81" s="70"/>
      <c r="D81" s="71">
        <v>1</v>
      </c>
      <c r="E81" s="95" t="s">
        <v>73</v>
      </c>
      <c r="F81" s="79" t="s">
        <v>73</v>
      </c>
      <c r="G81" s="79" t="s">
        <v>73</v>
      </c>
      <c r="H81" s="86"/>
      <c r="I81" s="79"/>
      <c r="J81" s="79"/>
      <c r="K81" s="79"/>
      <c r="L81" s="79"/>
      <c r="M81" s="79"/>
      <c r="N81" s="79"/>
      <c r="O81" s="79"/>
      <c r="P81" s="79"/>
      <c r="Q81" s="79"/>
      <c r="R81" s="79"/>
      <c r="S81" s="79"/>
      <c r="T81" s="79"/>
      <c r="U81" s="79"/>
      <c r="V81" s="79"/>
      <c r="W81" s="79"/>
      <c r="X81" s="79"/>
      <c r="Y81" s="79"/>
      <c r="Z81" s="79"/>
      <c r="AA81" s="79"/>
      <c r="AB81" s="79"/>
      <c r="AC81" s="79"/>
      <c r="AD81" s="79"/>
      <c r="AE81" s="79"/>
      <c r="AF81" s="79"/>
      <c r="AG81" s="79"/>
      <c r="AH81" s="79"/>
      <c r="AI81" s="79"/>
      <c r="AJ81" s="79"/>
      <c r="AK81" s="79"/>
      <c r="AL81" s="79"/>
      <c r="AM81" s="79"/>
      <c r="AN81" s="79"/>
      <c r="AO81" s="79"/>
      <c r="AP81" s="79"/>
      <c r="AQ81" s="79"/>
      <c r="AR81" s="79"/>
      <c r="AS81" s="79"/>
    </row>
    <row r="82" spans="1:45" s="112" customFormat="1" ht="7.5" customHeight="1">
      <c r="A82" s="93" t="s">
        <v>68</v>
      </c>
      <c r="B82" s="93" t="s">
        <v>69</v>
      </c>
      <c r="C82" s="93" t="s">
        <v>70</v>
      </c>
      <c r="D82" s="93" t="s">
        <v>444</v>
      </c>
      <c r="E82" s="101" t="s">
        <v>493</v>
      </c>
      <c r="F82" s="112" t="s">
        <v>697</v>
      </c>
      <c r="G82" s="112" t="s">
        <v>698</v>
      </c>
      <c r="H82" s="112" t="s">
        <v>699</v>
      </c>
      <c r="I82" s="112" t="s">
        <v>700</v>
      </c>
      <c r="J82" s="112" t="s">
        <v>701</v>
      </c>
      <c r="K82" s="216" t="s">
        <v>838</v>
      </c>
      <c r="L82" s="150" t="s">
        <v>839</v>
      </c>
      <c r="M82" s="112" t="s">
        <v>471</v>
      </c>
      <c r="N82" s="103" t="s">
        <v>475</v>
      </c>
      <c r="O82" s="108" t="s">
        <v>491</v>
      </c>
    </row>
    <row r="83" spans="1:45" s="58" customFormat="1" ht="11.25" customHeight="1">
      <c r="A83" s="119" t="s">
        <v>71</v>
      </c>
      <c r="B83" s="119" t="s">
        <v>144</v>
      </c>
      <c r="C83" s="119"/>
      <c r="D83" s="83">
        <v>1</v>
      </c>
      <c r="E83" s="95" t="s">
        <v>73</v>
      </c>
      <c r="F83" s="61" t="s">
        <v>759</v>
      </c>
      <c r="G83" s="61" t="s">
        <v>765</v>
      </c>
      <c r="H83" s="61" t="s">
        <v>73</v>
      </c>
      <c r="I83" s="61" t="s">
        <v>73</v>
      </c>
      <c r="J83" s="61" t="s">
        <v>73</v>
      </c>
      <c r="K83" s="217"/>
      <c r="L83" s="61" t="s">
        <v>73</v>
      </c>
      <c r="M83" s="61" t="s">
        <v>702</v>
      </c>
      <c r="N83" s="48">
        <f ca="1">(INDIRECT("'Data'!CD"&amp;($C$1)))</f>
        <v>0</v>
      </c>
      <c r="O83" s="86"/>
      <c r="P83" s="61"/>
      <c r="Q83" s="61"/>
      <c r="R83" s="61"/>
      <c r="S83" s="61"/>
      <c r="T83" s="61"/>
    </row>
    <row r="84" spans="1:45" s="150" customFormat="1" ht="6" customHeight="1">
      <c r="A84" s="150" t="s">
        <v>68</v>
      </c>
      <c r="B84" s="150" t="s">
        <v>455</v>
      </c>
      <c r="C84" s="150" t="s">
        <v>443</v>
      </c>
      <c r="D84" s="150" t="s">
        <v>444</v>
      </c>
      <c r="E84" s="150" t="s">
        <v>493</v>
      </c>
      <c r="F84" s="150" t="s">
        <v>807</v>
      </c>
      <c r="G84" s="150" t="s">
        <v>808</v>
      </c>
      <c r="H84" s="153" t="s">
        <v>471</v>
      </c>
      <c r="I84" s="153" t="s">
        <v>491</v>
      </c>
    </row>
    <row r="85" spans="1:45" s="58" customFormat="1" ht="11.25" customHeight="1">
      <c r="A85" s="69" t="s">
        <v>71</v>
      </c>
      <c r="B85" s="69" t="s">
        <v>806</v>
      </c>
      <c r="C85" s="70"/>
      <c r="D85" s="71">
        <v>1</v>
      </c>
      <c r="E85" s="95" t="s">
        <v>73</v>
      </c>
      <c r="F85" s="79" t="s">
        <v>73</v>
      </c>
      <c r="G85" s="79" t="s">
        <v>73</v>
      </c>
      <c r="H85" s="86" t="s">
        <v>809</v>
      </c>
      <c r="I85" s="79"/>
      <c r="J85" s="79"/>
      <c r="K85" s="79"/>
      <c r="L85" s="79"/>
      <c r="M85" s="79"/>
      <c r="N85" s="79"/>
      <c r="O85" s="79"/>
      <c r="P85" s="79"/>
      <c r="Q85" s="79"/>
      <c r="R85" s="79"/>
      <c r="S85" s="79"/>
      <c r="T85" s="79"/>
      <c r="U85" s="79"/>
      <c r="V85" s="79"/>
      <c r="W85" s="79"/>
      <c r="X85" s="79"/>
      <c r="Y85" s="79"/>
      <c r="Z85" s="79"/>
      <c r="AA85" s="79"/>
      <c r="AB85" s="79"/>
      <c r="AC85" s="79"/>
      <c r="AD85" s="79"/>
      <c r="AE85" s="79"/>
      <c r="AF85" s="79"/>
      <c r="AG85" s="79"/>
      <c r="AH85" s="79"/>
      <c r="AI85" s="79"/>
      <c r="AJ85" s="79"/>
      <c r="AK85" s="79"/>
      <c r="AL85" s="79"/>
      <c r="AM85" s="79"/>
      <c r="AN85" s="79"/>
      <c r="AO85" s="79"/>
      <c r="AP85" s="79"/>
      <c r="AQ85" s="79"/>
      <c r="AR85" s="79"/>
      <c r="AS85" s="79"/>
    </row>
    <row r="86" spans="1:45" s="102" customFormat="1" ht="6.75">
      <c r="A86" s="102" t="s">
        <v>68</v>
      </c>
      <c r="B86" s="102" t="s">
        <v>69</v>
      </c>
      <c r="C86" s="102" t="s">
        <v>70</v>
      </c>
      <c r="D86" s="102" t="s">
        <v>444</v>
      </c>
      <c r="E86" s="102" t="s">
        <v>493</v>
      </c>
      <c r="F86" s="102" t="s">
        <v>475</v>
      </c>
      <c r="G86" s="102" t="s">
        <v>84</v>
      </c>
      <c r="H86" s="102" t="s">
        <v>82</v>
      </c>
      <c r="I86" s="102" t="s">
        <v>145</v>
      </c>
      <c r="J86" s="102" t="s">
        <v>146</v>
      </c>
      <c r="K86" s="102" t="s">
        <v>147</v>
      </c>
      <c r="L86" s="102" t="s">
        <v>148</v>
      </c>
      <c r="M86" s="102" t="s">
        <v>326</v>
      </c>
      <c r="N86" s="102" t="s">
        <v>149</v>
      </c>
      <c r="O86" s="102" t="s">
        <v>150</v>
      </c>
      <c r="P86" s="102" t="s">
        <v>151</v>
      </c>
      <c r="Q86" s="102" t="s">
        <v>152</v>
      </c>
      <c r="R86" s="102" t="s">
        <v>330</v>
      </c>
      <c r="S86" s="102" t="s">
        <v>153</v>
      </c>
      <c r="T86" s="150" t="s">
        <v>840</v>
      </c>
      <c r="U86" s="150" t="s">
        <v>841</v>
      </c>
      <c r="V86" s="147" t="s">
        <v>491</v>
      </c>
    </row>
    <row r="87" spans="1:45" s="58" customFormat="1" ht="11.25" customHeight="1">
      <c r="A87" s="79" t="s">
        <v>71</v>
      </c>
      <c r="B87" s="79" t="s">
        <v>156</v>
      </c>
      <c r="C87" s="79"/>
      <c r="D87" s="82">
        <v>1</v>
      </c>
      <c r="E87" s="95" t="s">
        <v>73</v>
      </c>
      <c r="F87" s="48">
        <f ca="1">(INDIRECT("'Data'!CD"&amp;($C$1)))</f>
        <v>0</v>
      </c>
      <c r="G87" s="132" t="str">
        <f ca="1">(INDIRECT("'Data'!F"&amp;($C$1)))</f>
        <v>EXCHANGE GAS METER TO SECURE SMART CREDIT</v>
      </c>
      <c r="H87" s="132" t="str">
        <f ca="1">(INDIRECT("'Data'!AW"&amp;($C$1)))</f>
        <v>EXCH1 ROAD</v>
      </c>
      <c r="I87" s="49" t="str">
        <f ca="1">(INDIRECT("'Data'!X"&amp;($C$1)))</f>
        <v>FRST</v>
      </c>
      <c r="J87" s="49">
        <f ca="1">(INDIRECT("'Data'!BG"&amp;($C$1)))</f>
        <v>0</v>
      </c>
      <c r="K87" s="49">
        <f ca="1">(INDIRECT("'Data'!BL"&amp;($C$1)))</f>
        <v>0</v>
      </c>
      <c r="L87" s="49">
        <f ca="1">(INDIRECT("'Data'!BZ"&amp;($C$1)))</f>
        <v>0</v>
      </c>
      <c r="M87" s="59" t="str">
        <f>F39</f>
        <v>Z89K12398</v>
      </c>
      <c r="N87" s="61" t="str">
        <f>M47</f>
        <v>Test Witness name</v>
      </c>
      <c r="O87" s="49" t="str">
        <f ca="1">(INDIRECT("'Data'!CN"&amp;($C$1)))</f>
        <v>EXCHANGE GAS METER TO SECURE SMART CREDIT</v>
      </c>
      <c r="P87" s="49" t="str">
        <f ca="1">(INDIRECT("'Data'!CQ"&amp;($C$1)))</f>
        <v>10000647</v>
      </c>
      <c r="Q87" s="141" t="str">
        <f>J61</f>
        <v>54321</v>
      </c>
      <c r="R87" s="61" t="str">
        <f ca="1">F67</f>
        <v>G00G0</v>
      </c>
      <c r="S87" s="60" t="str">
        <f>F69</f>
        <v>00005</v>
      </c>
      <c r="T87" s="61" t="s">
        <v>73</v>
      </c>
      <c r="U87" s="60" t="s">
        <v>73</v>
      </c>
      <c r="V87" s="86"/>
    </row>
    <row r="88" spans="1:45" s="102" customFormat="1" ht="6.75">
      <c r="A88" s="102" t="s">
        <v>68</v>
      </c>
      <c r="B88" s="102" t="s">
        <v>69</v>
      </c>
      <c r="C88" s="102" t="s">
        <v>70</v>
      </c>
      <c r="D88" s="102" t="s">
        <v>444</v>
      </c>
      <c r="E88" s="102" t="s">
        <v>493</v>
      </c>
      <c r="F88" s="102" t="s">
        <v>707</v>
      </c>
      <c r="G88" s="102" t="s">
        <v>708</v>
      </c>
      <c r="H88" s="102" t="s">
        <v>709</v>
      </c>
      <c r="I88" s="102" t="s">
        <v>710</v>
      </c>
      <c r="J88" s="102" t="s">
        <v>711</v>
      </c>
      <c r="K88" s="102" t="s">
        <v>712</v>
      </c>
      <c r="L88" s="102" t="s">
        <v>713</v>
      </c>
      <c r="M88" s="102" t="s">
        <v>475</v>
      </c>
      <c r="N88" s="147" t="s">
        <v>491</v>
      </c>
    </row>
    <row r="89" spans="1:45" s="58" customFormat="1" ht="11.25" customHeight="1">
      <c r="A89" s="58" t="s">
        <v>71</v>
      </c>
      <c r="B89" s="58" t="s">
        <v>706</v>
      </c>
      <c r="D89" s="56">
        <v>1</v>
      </c>
      <c r="E89" s="95" t="s">
        <v>73</v>
      </c>
      <c r="F89" s="61" t="s">
        <v>73</v>
      </c>
      <c r="G89" s="61" t="s">
        <v>75</v>
      </c>
      <c r="H89" s="61" t="s">
        <v>714</v>
      </c>
      <c r="I89" s="61" t="s">
        <v>155</v>
      </c>
      <c r="J89" s="61" t="s">
        <v>75</v>
      </c>
      <c r="K89" s="61" t="s">
        <v>643</v>
      </c>
      <c r="L89" s="61" t="s">
        <v>75</v>
      </c>
      <c r="M89" s="48">
        <f ca="1">(INDIRECT("'Data'!CD"&amp;($C$1)))</f>
        <v>0</v>
      </c>
      <c r="N89" s="86"/>
      <c r="O89" s="61"/>
      <c r="P89" s="61"/>
      <c r="Q89" s="61"/>
      <c r="R89" s="61"/>
      <c r="S89" s="61"/>
    </row>
    <row r="90" spans="1:45" s="102" customFormat="1" ht="6.75">
      <c r="A90" s="102" t="s">
        <v>68</v>
      </c>
      <c r="B90" s="102" t="s">
        <v>69</v>
      </c>
      <c r="C90" s="102" t="s">
        <v>70</v>
      </c>
      <c r="D90" s="102" t="s">
        <v>444</v>
      </c>
      <c r="E90" s="102" t="s">
        <v>493</v>
      </c>
      <c r="F90" s="102" t="s">
        <v>85</v>
      </c>
      <c r="G90" s="147" t="s">
        <v>491</v>
      </c>
    </row>
    <row r="91" spans="1:45" s="58" customFormat="1" ht="11.25" customHeight="1">
      <c r="A91" s="58" t="s">
        <v>71</v>
      </c>
      <c r="B91" s="58" t="s">
        <v>76</v>
      </c>
      <c r="D91" s="82">
        <v>1</v>
      </c>
      <c r="E91" s="95" t="s">
        <v>73</v>
      </c>
      <c r="F91" s="61" t="s">
        <v>86</v>
      </c>
      <c r="G91" s="86"/>
      <c r="J91" s="133"/>
    </row>
  </sheetData>
  <dataValidations count="6">
    <dataValidation allowBlank="1" showInputMessage="1" showErrorMessage="1" prompt="Y or N" sqref="IB74 F56 ACW72 AMS72 AWO72 BGK72 BQG72 CAC72 CJY72 CTU72 DDQ72 DNM72 DXI72 EHE72 ERA72 FAW72 FKS72 FUO72 GEK72 GOG72 GYC72 HHY72 HRU72 IBQ72 ILM72 IVI72 JFE72 JPA72 JYW72 KIS72 KSO72 LCK72 LMG72 LWC72 MFY72 MPU72 MZQ72 NJM72 NTI72 ODE72 ONA72 OWW72 PGS72 PQO72 QAK72 QKG72 QUC72 RDY72 RNU72 RXQ72 SHM72 SRI72 TBE72 TLA72 TUW72 UES72 UOO72 UYK72 VIG72 VSC72 WBY72 WLU72 WVB56 IP56 SL56 ACH56 AMD56 AVZ56 BFV56 BPR56 BZN56 CJJ56 CTF56 DDB56 DMX56 DWT56 EGP56 EQL56 FAH56 FKD56 FTZ56 GDV56 GNR56 GXN56 HHJ56 HRF56 IBB56 IKX56 IUT56 JEP56 JOL56 JYH56 KID56 KRZ56 LBV56 LLR56 LVN56 MFJ56 MPF56 MZB56 NIX56 NST56 OCP56 OML56 OWH56 PGD56 PPZ56 PZV56 QJR56 QTN56 RDJ56 RNF56 RXB56 SGX56 SQT56 TAP56 TKL56 TUH56 UED56 UNZ56 UXV56 VHR56 VRN56 WBJ56 TA72 WLF56 WVB54 IP54 SL54 ACH54 AMD54 AVZ54 BFV54 BPR54 BZN54 CJJ54 CTF54 DDB54 DMX54 DWT54 EGP54 EQL54 FAH54 FKD54 FTZ54 GDV54 GNR54 GXN54 HHJ54 HRF54 IBB54 IKX54 IUT54 JEP54 JOL54 JYH54 KID54 KRZ54 LBV54 LLR54 LVN54 MFJ54 MPF54 MZB54 NIX54 NST54 OCP54 OML54 OWH54 PGD54 PPZ54 PZV54 QJR54 QTN54 RDJ54 RNF54 RXB54 SGX54 SQT54 TAP54 TKL54 TUH54 UED54 UNZ54 UXV54 VHR54 VRN54 WBJ54 WLF54 WUN74 RX74 ABT74 ALP74 AVL74 BFH74 BPD74 BYZ74 CIV74 CSR74 DCN74 DMJ74 DWF74 EGB74 EPX74 EZT74 FJP74 FTL74 GDH74 GND74 GWZ74 HGV74 HQR74 IAN74 IKJ74 IUF74 JEB74 JNX74 JXT74 KHP74 KRL74 LBH74 LLD74 LUZ74 MEV74 MOR74 MYN74 NIJ74 NSF74 OCB74 OLX74 OVT74 PFP74 PPL74 PZH74 QJD74 QSZ74 RCV74 RMR74 RWN74 SGJ74 SQF74 TAB74 TJX74 TTT74 UDP74 UNL74 UXH74 VHD74 VQZ74 WAV74 WKR74 WVQ72 JE72 JD50 WVP50 WLT50 WBX50 VSB50 VIF50 UYJ50 UON50 UER50 TUV50 TKZ50 TBD50 SRH50 SHL50 RXP50 RNT50 RDX50 QUB50 QKF50 QAJ50 PQN50 PGR50 OWV50 OMZ50 ODD50 NTH50 NJL50 MZP50 MPT50 MFX50 LWB50 LMF50 LCJ50 KSN50 KIR50 JYV50 JOZ50 JFD50 IVH50 ILL50 IBP50 HRT50 HHX50 GYB50 GOF50 GEJ50 FUN50 FKR50 FAV50 EQZ50 EHD50 DXH50 DNL50 DDP50 CTT50 CJX50 CAB50 BQF50 BGJ50 AWN50 AMR50 ACV50 SZ50 F52 IV52 SR52 ACN52 AMJ52 AWF52 BGB52 BPX52 BZT52 CJP52 CTL52 DDH52 DND52 DWZ52 EGV52 EQR52 FAN52 FKJ52 FUF52 GEB52 GNX52 GXT52 HHP52 HRL52 IBH52 ILD52 IUZ52 JEV52 JOR52 JYN52 KIJ52 KSF52 LCB52 LLX52 LVT52 MFP52 MPL52 MZH52 NJD52 NSZ52 OCV52 OMR52 OWN52 PGJ52 PQF52 QAB52 QJX52 QTT52 RDP52 RNL52 RXH52 SHD52 SQZ52 TAV52 TKR52 TUN52 UEJ52 UOF52 UYB52 VHX52 VRT52 WBP52 WLL52 WVH52 F30 WLF30 WVB30 IP30 SL30 ACH30 AMD30 AVZ30 BFV30 BPR30 BZN30 CJJ30 CTF30 DDB30 DMX30 DWT30 EGP30 EQL30 FAH30 FKD30 FTZ30 GDV30 GNR30 GXN30 HHJ30 HRF30 IBB30 IKX30 IUT30 JEP30 JOL30 JYH30 KID30 KRZ30 LBV30 LLR30 LVN30 MFJ30 MPF30 MZB30 NIX30 NST30 OCP30 OML30 OWH30 PGD30 PPZ30 PZV30 QJR30 QTN30 RDJ30 RNF30 RXB30 SGX30 SQT30 TAP30 TKL30 TUH30 UED30 UNZ30 UXV30 VHR30 VRN30 WBJ30 WLH22 WLD18 WBH18 VRL18 VHP18 UXT18 UNX18 UEB18 TUF18 TKJ18 TAN18 SQR18 SGV18 RWZ18 RND18 RDH18 QTL18 QJP18 PZT18 PPX18 PGB18 OWF18 OMJ18 OCN18 NSR18 NIV18 MYZ18 MPD18 MFH18 LVL18 LLP18 LBT18 KRX18 KIB18 JYF18 JOJ18 JEN18 IUR18 IKV18 IAZ18 HRD18 HHH18 GXL18 GNP18 GDT18 FTX18 FKB18 FAF18 EQJ18 EGN18 DWR18 DMV18 DCZ18 CTD18 CJH18 BZL18 BPP18 BFT18 AVX18 AMB18 ACF18 SJ18 IN18 WUZ18 F18 WVB24 IP24 SL24 ACH24 AMD24 AVZ24 BFV24 BPR24 BZN24 CJJ24 CTF24 DDB24 DMX24 DWT24 EGP24 EQL24 FAH24 FKD24 FTZ24 GDV24 GNR24 GXN24 HHJ24 HRF24 IBB24 IKX24 IUT24 JEP24 JOL24 JYH24 KID24 KRZ24 LBV24 LLR24 LVN24 MFJ24 MPF24 MZB24 NIX24 NST24 OCP24 OML24 OWH24 PGD24 PPZ24 PZV24 QJR24 QTN24 RDJ24 RNF24 RXB24 SGX24 SQT24 TAP24 TKL24 TUH24 UED24 UNZ24 UXV24 VHR24 VRN24 WBJ24 WVD22 WLF24 WJX20 WAB20 VQF20 VGJ20 UWN20 UMR20 UCV20 TSZ20 TJD20 SZH20 SPL20 SFP20 RVT20 RLX20 RCB20 QSF20 QIJ20 PYN20 POR20 PEV20 OUZ20 OLD20 OBH20 NRL20 NHP20 MXT20 MNX20 MEB20 LUF20 LKJ20 LAN20 KQR20 KGV20 JWZ20 JND20 JDH20 ITL20 IJP20 HZT20 HPX20 HGB20 GWF20 GMJ20 GCN20 FSR20 FIV20 EYZ20 EPD20 EFH20 DVL20 DLP20 DBT20 CRX20 CIB20 BYF20 BOJ20 BEN20 AUR20 AKV20 AAZ20 RD20 HH20 WTT20 F16 IR22 SN22 ACJ22 AMF22 AWB22 BFX22 BPT22 BZP22 CJL22 CTH22 DDD22 DMZ22 DWV22 EGR22 EQN22 FAJ22 FKF22 FUB22 GDX22 GNT22 GXP22 HHL22 HRH22 IBD22 IKZ22 IUV22 JER22 JON22 JYJ22 KIF22 KSB22 LBX22 LLT22 LVP22 MFL22 MPH22 MZD22 NIZ22 NSV22 OCR22 OMN22 OWJ22 PGF22 PQB22 PZX22 QJT22 QTP22 RDL22 RNH22 RXD22 SGZ22 SQV22 TAR22 TKN22 TUJ22 UEF22 UOB22 UXX22 VHT22 VRP22 WBL22 F22:H22"/>
    <dataValidation allowBlank="1" showInputMessage="1" showErrorMessage="1" prompt="(L)ow or (M)edium" sqref="F50"/>
    <dataValidation allowBlank="1" showInputMessage="1" showErrorMessage="1" promptTitle="Validation" prompt="Y or N" sqref="I2 JD2 WVP2 WLT2 WBX2 VSB2 VIF2 UYJ2 UON2 UER2 TUV2 TKZ2 TBD2 SRH2 SHL2 RXP2 RNT2 RDX2 QUB2 QKF2 QAJ2 PQN2 PGR2 OWV2 OMZ2 ODD2 NTH2 NJL2 MZP2 MPT2 MFX2 LWB2 LMF2 LCJ2 KSN2 KIR2 JYV2 JOZ2 JFD2 IVH2 ILL2 IBP2 HRT2 HHX2 GYB2 GOF2 GEJ2 FUN2 FKR2 FAV2 EQZ2 EHD2 DXH2 DNL2 DDP2 CTT2 CJX2 CAB2 BQF2 BGJ2 AWN2 AMR2 ACV2 SZ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s>
  <pageMargins left="0.7" right="0.7" top="0.75" bottom="0.75" header="0.3" footer="0.3"/>
  <pageSetup paperSize="9" orientation="portrait" r:id="rId1"/>
  <headerFooter>
    <oddFooter>&amp;LUnrestricted</oddFooter>
  </headerFooter>
  <legacyDrawing r:id="rId2"/>
</worksheet>
</file>

<file path=xl/worksheets/sheet8.xml><?xml version="1.0" encoding="utf-8"?>
<worksheet xmlns="http://schemas.openxmlformats.org/spreadsheetml/2006/main" xmlns:r="http://schemas.openxmlformats.org/officeDocument/2006/relationships">
  <sheetPr codeName="Sheet9">
    <tabColor theme="9" tint="-0.499984740745262"/>
  </sheetPr>
  <dimension ref="A1:BG95"/>
  <sheetViews>
    <sheetView zoomScale="130" zoomScaleNormal="130" workbookViewId="0">
      <selection activeCell="K88" sqref="K88"/>
    </sheetView>
  </sheetViews>
  <sheetFormatPr defaultRowHeight="12.75"/>
  <cols>
    <col min="1" max="1" width="5.42578125" bestFit="1" customWidth="1"/>
    <col min="2" max="2" width="20.7109375" bestFit="1" customWidth="1"/>
    <col min="3" max="3" width="4.7109375" customWidth="1"/>
    <col min="4" max="4" width="3.5703125" bestFit="1" customWidth="1"/>
    <col min="5" max="5" width="2.42578125" bestFit="1" customWidth="1"/>
    <col min="6" max="6" width="22.85546875" customWidth="1"/>
  </cols>
  <sheetData>
    <row r="1" spans="1:27" s="103" customFormat="1" ht="6.75">
      <c r="A1" s="103" t="s">
        <v>494</v>
      </c>
      <c r="B1" s="103" t="s">
        <v>95</v>
      </c>
      <c r="C1" s="103" t="s">
        <v>413</v>
      </c>
      <c r="D1" s="103" t="s">
        <v>49</v>
      </c>
      <c r="E1" s="101"/>
      <c r="G1" s="145"/>
      <c r="I1" s="146"/>
    </row>
    <row r="2" spans="1:27" s="103" customFormat="1" ht="6.75">
      <c r="A2" s="103" t="s">
        <v>68</v>
      </c>
      <c r="B2" s="103" t="s">
        <v>455</v>
      </c>
      <c r="C2" s="103" t="s">
        <v>443</v>
      </c>
      <c r="D2" s="103" t="s">
        <v>444</v>
      </c>
      <c r="E2" s="101" t="s">
        <v>493</v>
      </c>
      <c r="F2" s="103" t="s">
        <v>445</v>
      </c>
      <c r="G2" s="103" t="s">
        <v>115</v>
      </c>
      <c r="H2" s="103" t="s">
        <v>436</v>
      </c>
      <c r="I2" s="103" t="s">
        <v>446</v>
      </c>
    </row>
    <row r="3" spans="1:27" s="44" customFormat="1" ht="11.25">
      <c r="A3" s="65" t="s">
        <v>71</v>
      </c>
      <c r="B3" s="65" t="s">
        <v>72</v>
      </c>
      <c r="C3" s="65"/>
      <c r="D3" s="66">
        <v>1</v>
      </c>
      <c r="E3" s="94" t="s">
        <v>73</v>
      </c>
      <c r="F3" s="49">
        <f>'Run Parameters'!B5</f>
        <v>111011</v>
      </c>
      <c r="G3" s="49" t="str">
        <f>'Run Parameters'!B6</f>
        <v>111Siemens</v>
      </c>
      <c r="H3" s="49" t="str">
        <f>'Run Parameters'!B7</f>
        <v>https://siemens-og-bykrw4bu7an2nvbgh7xdzce7-sdg1-dev.mbaas1.sdg.feedhenry.com/#/login</v>
      </c>
      <c r="I3" s="45" t="s">
        <v>73</v>
      </c>
      <c r="J3" s="46"/>
      <c r="K3" s="46"/>
      <c r="L3" s="46"/>
      <c r="M3" s="46"/>
      <c r="N3" s="46"/>
      <c r="O3" s="46"/>
      <c r="P3" s="46"/>
      <c r="Q3" s="46"/>
      <c r="R3" s="47"/>
      <c r="S3" s="46"/>
      <c r="T3" s="46"/>
      <c r="U3" s="46"/>
    </row>
    <row r="4" spans="1:27" s="102" customFormat="1" ht="6.75">
      <c r="A4" s="102" t="s">
        <v>68</v>
      </c>
      <c r="B4" s="102" t="s">
        <v>455</v>
      </c>
      <c r="C4" s="102" t="s">
        <v>443</v>
      </c>
      <c r="D4" s="102" t="s">
        <v>444</v>
      </c>
      <c r="E4" s="102" t="s">
        <v>493</v>
      </c>
      <c r="F4" s="102" t="s">
        <v>454</v>
      </c>
      <c r="G4" s="102" t="s">
        <v>453</v>
      </c>
      <c r="H4" s="102" t="s">
        <v>447</v>
      </c>
      <c r="I4" s="102" t="s">
        <v>448</v>
      </c>
      <c r="J4" s="102" t="s">
        <v>450</v>
      </c>
      <c r="K4" s="102" t="s">
        <v>451</v>
      </c>
      <c r="L4" s="102" t="s">
        <v>452</v>
      </c>
      <c r="M4" s="102" t="s">
        <v>442</v>
      </c>
      <c r="N4" s="102" t="s">
        <v>37</v>
      </c>
      <c r="O4" s="102" t="s">
        <v>441</v>
      </c>
      <c r="P4" s="147" t="s">
        <v>491</v>
      </c>
    </row>
    <row r="5" spans="1:27" s="44" customFormat="1" ht="11.25" customHeight="1">
      <c r="A5" s="65" t="s">
        <v>71</v>
      </c>
      <c r="B5" s="65" t="s">
        <v>495</v>
      </c>
      <c r="C5" s="65"/>
      <c r="D5" s="66">
        <v>1</v>
      </c>
      <c r="E5" s="94" t="s">
        <v>73</v>
      </c>
      <c r="F5" s="49">
        <f ca="1">(INDIRECT("'Data'!C"&amp;($C$1)))</f>
        <v>111011</v>
      </c>
      <c r="G5" s="50" t="s">
        <v>98</v>
      </c>
      <c r="H5" s="49" t="str">
        <f ca="1">(INDIRECT("'Data'!F"&amp;($C$1)))</f>
        <v>EXCHANGE GAS METER TO SECURE SMART CREDIT</v>
      </c>
      <c r="I5" s="48" t="str">
        <f ca="1">(INDIRECT("'Data'!E"&amp;($C$1)))</f>
        <v>S</v>
      </c>
      <c r="J5" s="48">
        <f ca="1">(INDIRECT("'Data'!AS"&amp;($C$1)))</f>
        <v>0</v>
      </c>
      <c r="K5" s="48" t="str">
        <f ca="1">(INDIRECT("'Data'!AT"&amp;($C$1)))</f>
        <v>TPJR00530</v>
      </c>
      <c r="L5" s="48">
        <f ca="1">(INDIRECT("'Data'!AU"&amp;($C$1)))</f>
        <v>0</v>
      </c>
      <c r="M5" s="48">
        <f ca="1">(INDIRECT("'Data'!AV"&amp;($C$1)))</f>
        <v>648</v>
      </c>
      <c r="N5" s="48" t="str">
        <f ca="1">(INDIRECT("'Data'!AW"&amp;($C$1)))</f>
        <v>EXCH1 ROAD</v>
      </c>
      <c r="O5" s="49" t="str">
        <f ca="1">CONCATENATE(RIGHT((INDIRECT("'Data'!X"&amp;($C$1))),5),"-",RIGHT(S7&amp;(INDIRECT("'Data'!Y"&amp;($C$1))),5))</f>
        <v>SPRK-d-648</v>
      </c>
      <c r="P5" s="86"/>
      <c r="Q5" s="46"/>
      <c r="R5" s="46"/>
      <c r="S5" s="46"/>
    </row>
    <row r="6" spans="1:27" s="103" customFormat="1" ht="6.75">
      <c r="A6" s="103" t="s">
        <v>68</v>
      </c>
      <c r="B6" s="103" t="s">
        <v>455</v>
      </c>
      <c r="C6" s="103" t="s">
        <v>443</v>
      </c>
      <c r="D6" s="103" t="s">
        <v>444</v>
      </c>
      <c r="E6" s="101" t="s">
        <v>493</v>
      </c>
      <c r="F6" s="103" t="s">
        <v>447</v>
      </c>
      <c r="G6" s="103" t="s">
        <v>450</v>
      </c>
      <c r="H6" s="103" t="s">
        <v>451</v>
      </c>
      <c r="I6" s="103" t="s">
        <v>452</v>
      </c>
      <c r="J6" s="103" t="s">
        <v>442</v>
      </c>
      <c r="K6" s="103" t="s">
        <v>37</v>
      </c>
      <c r="L6" s="103" t="s">
        <v>448</v>
      </c>
      <c r="M6" s="103" t="s">
        <v>449</v>
      </c>
      <c r="N6" s="103" t="s">
        <v>439</v>
      </c>
      <c r="O6" s="103" t="s">
        <v>440</v>
      </c>
      <c r="P6" s="103" t="s">
        <v>78</v>
      </c>
      <c r="Q6" s="103" t="s">
        <v>79</v>
      </c>
      <c r="R6" s="103" t="s">
        <v>87</v>
      </c>
      <c r="S6" s="103" t="s">
        <v>80</v>
      </c>
      <c r="T6" s="103" t="s">
        <v>110</v>
      </c>
      <c r="U6" s="103" t="s">
        <v>114</v>
      </c>
      <c r="V6" s="103" t="s">
        <v>90</v>
      </c>
      <c r="W6" s="103" t="s">
        <v>81</v>
      </c>
      <c r="X6" s="103" t="s">
        <v>88</v>
      </c>
      <c r="Y6" s="103" t="s">
        <v>276</v>
      </c>
      <c r="Z6" s="103" t="s">
        <v>457</v>
      </c>
      <c r="AA6" s="147" t="s">
        <v>491</v>
      </c>
    </row>
    <row r="7" spans="1:27" s="44" customFormat="1" ht="11.25" customHeight="1">
      <c r="A7" s="65" t="s">
        <v>71</v>
      </c>
      <c r="B7" s="65" t="s">
        <v>496</v>
      </c>
      <c r="C7" s="65"/>
      <c r="D7" s="67">
        <v>1</v>
      </c>
      <c r="E7" s="94" t="s">
        <v>73</v>
      </c>
      <c r="F7" s="49" t="str">
        <f ca="1">(INDIRECT("'Data'!F"&amp;($C$1)))</f>
        <v>EXCHANGE GAS METER TO SECURE SMART CREDIT</v>
      </c>
      <c r="G7" s="48">
        <f ca="1">(INDIRECT("'Data'!AS"&amp;($C$1)))</f>
        <v>0</v>
      </c>
      <c r="H7" s="48" t="str">
        <f ca="1">(INDIRECT("'Data'!AT"&amp;($C$1)))</f>
        <v>TPJR00530</v>
      </c>
      <c r="I7" s="48">
        <f ca="1">(INDIRECT("'Data'!AU"&amp;($C$1)))</f>
        <v>0</v>
      </c>
      <c r="J7" s="48">
        <f ca="1">(INDIRECT("'Data'!AV"&amp;($C$1)))</f>
        <v>648</v>
      </c>
      <c r="K7" s="48" t="str">
        <f ca="1">(INDIRECT("'Data'!AW"&amp;($C$1)))</f>
        <v>EXCH1 ROAD</v>
      </c>
      <c r="L7" s="48" t="str">
        <f ca="1">(INDIRECT("'Data'!E"&amp;($C$1)))</f>
        <v>S</v>
      </c>
      <c r="M7" s="48" t="str">
        <f ca="1">(INDIRECT("'Data'!AI"&amp;($C$1)))</f>
        <v>2018-08-13 08:00</v>
      </c>
      <c r="N7" s="49">
        <f ca="1">(INDIRECT("'Data'!BG"&amp;($C$1)))</f>
        <v>0</v>
      </c>
      <c r="O7" s="49" t="str">
        <f ca="1">(INDIRECT("'Data'!CN"&amp;($C$1)))</f>
        <v>EXCHANGE GAS METER TO SECURE SMART CREDIT</v>
      </c>
      <c r="P7" s="49" t="str">
        <f ca="1">(INDIRECT("'Data'!AH"&amp;($C$1)))</f>
        <v>Site_Contact_648</v>
      </c>
      <c r="Q7" s="50" t="str">
        <f ca="1">(INDIRECT("'Data'!AE"&amp;($C$1)))</f>
        <v>LAST_METER-648</v>
      </c>
      <c r="R7" s="50" t="str">
        <f ca="1">(INDIRECT("'Data'!DK"&amp;($C$1)))</f>
        <v>G</v>
      </c>
      <c r="S7" s="50">
        <f ca="1">(INDIRECT("'Data'!D"&amp;($C$1)))</f>
        <v>648</v>
      </c>
      <c r="T7" s="50" t="str">
        <f ca="1">INDIRECT("'Data'!M"&amp;($C$1))</f>
        <v>Q</v>
      </c>
      <c r="U7" s="50" t="str">
        <f ca="1">INDIRECT("'Data'!AM"&amp;($C$1))</f>
        <v>0115648</v>
      </c>
      <c r="V7" s="50" t="str">
        <f ca="1">(INDIRECT("'Data'!N"&amp;($C$1)))</f>
        <v>UK_1_F</v>
      </c>
      <c r="W7" s="50">
        <f ca="1">(INDIRECT("'Data'!O"&amp;($C$1)))</f>
        <v>0</v>
      </c>
      <c r="X7" s="50" t="str">
        <f ca="1">(INDIRECT("'Data'!P"&amp;($C$1)))</f>
        <v>SN-648</v>
      </c>
      <c r="Y7" s="50">
        <f ca="1">(INDIRECT("'Data'!C"&amp;($C$1)))</f>
        <v>111011</v>
      </c>
      <c r="Z7" s="50" t="str">
        <f ca="1">(INDIRECT("'Data'!Q"&amp;($C$1)))</f>
        <v>SI-648</v>
      </c>
      <c r="AA7" s="86"/>
    </row>
    <row r="8" spans="1:27" s="103" customFormat="1" ht="6.75">
      <c r="A8" s="103" t="s">
        <v>68</v>
      </c>
      <c r="B8" s="103" t="s">
        <v>455</v>
      </c>
      <c r="C8" s="103" t="s">
        <v>443</v>
      </c>
      <c r="D8" s="103" t="s">
        <v>444</v>
      </c>
      <c r="E8" s="101" t="s">
        <v>493</v>
      </c>
      <c r="F8" s="103" t="s">
        <v>447</v>
      </c>
      <c r="G8" s="103" t="s">
        <v>37</v>
      </c>
      <c r="H8" s="103" t="s">
        <v>461</v>
      </c>
      <c r="I8" s="103" t="s">
        <v>260</v>
      </c>
      <c r="J8" s="103" t="s">
        <v>456</v>
      </c>
      <c r="K8" s="103" t="s">
        <v>458</v>
      </c>
      <c r="L8" s="103" t="s">
        <v>459</v>
      </c>
      <c r="M8" s="103" t="s">
        <v>261</v>
      </c>
      <c r="N8" s="103" t="s">
        <v>460</v>
      </c>
      <c r="O8" s="147" t="s">
        <v>491</v>
      </c>
    </row>
    <row r="9" spans="1:27" s="44" customFormat="1" ht="11.25" customHeight="1">
      <c r="A9" s="65" t="s">
        <v>71</v>
      </c>
      <c r="B9" s="65" t="s">
        <v>497</v>
      </c>
      <c r="C9" s="65"/>
      <c r="D9" s="67">
        <v>1</v>
      </c>
      <c r="E9" s="94" t="s">
        <v>73</v>
      </c>
      <c r="F9" s="49" t="str">
        <f ca="1">(INDIRECT("'Data'!F"&amp;($C$1)))</f>
        <v>EXCHANGE GAS METER TO SECURE SMART CREDIT</v>
      </c>
      <c r="G9" s="48" t="str">
        <f ca="1">(INDIRECT("'Data'!AW"&amp;($C$1)))</f>
        <v>EXCH1 ROAD</v>
      </c>
      <c r="H9" s="49" t="str">
        <f ca="1">(INDIRECT("'Data'!CQ"&amp;($C$1)))</f>
        <v>10000648</v>
      </c>
      <c r="I9" s="49" t="str">
        <f ca="1">(INDIRECT("'Data'!CO"&amp;($C$1)))</f>
        <v>GAS_JOB_ID-648</v>
      </c>
      <c r="J9" s="49" t="str">
        <f ca="1">(INDIRECT("'Data'!CR"&amp;($C$1)))</f>
        <v>C</v>
      </c>
      <c r="K9" s="49">
        <f ca="1">(INDIRECT("'Data'!BL"&amp;($C$1)))</f>
        <v>0</v>
      </c>
      <c r="L9" s="49">
        <f ca="1">(INDIRECT("'Data'!BJ"&amp;($C$1)))</f>
        <v>0</v>
      </c>
      <c r="M9" s="49">
        <f ca="1">(INDIRECT("'Data'!BX"&amp;($C$1)))</f>
        <v>0</v>
      </c>
      <c r="N9" s="49">
        <f ca="1">(INDIRECT("'Data'!BO"&amp;($C$1)))</f>
        <v>0</v>
      </c>
      <c r="O9" s="86"/>
    </row>
    <row r="10" spans="1:27" s="103" customFormat="1" ht="6.75">
      <c r="A10" s="103" t="s">
        <v>68</v>
      </c>
      <c r="B10" s="103" t="s">
        <v>455</v>
      </c>
      <c r="C10" s="103" t="s">
        <v>443</v>
      </c>
      <c r="D10" s="103" t="s">
        <v>444</v>
      </c>
      <c r="E10" s="101" t="s">
        <v>493</v>
      </c>
      <c r="F10" s="103" t="s">
        <v>262</v>
      </c>
      <c r="G10" s="103" t="s">
        <v>263</v>
      </c>
      <c r="H10" s="103" t="s">
        <v>447</v>
      </c>
      <c r="I10" s="103" t="s">
        <v>37</v>
      </c>
      <c r="J10" s="103" t="s">
        <v>43</v>
      </c>
      <c r="K10" s="103" t="s">
        <v>462</v>
      </c>
      <c r="L10" s="103" t="s">
        <v>465</v>
      </c>
      <c r="M10" s="103" t="s">
        <v>460</v>
      </c>
      <c r="N10" s="103" t="s">
        <v>463</v>
      </c>
      <c r="O10" s="103" t="s">
        <v>466</v>
      </c>
      <c r="P10" s="103" t="s">
        <v>464</v>
      </c>
      <c r="Q10" s="147" t="s">
        <v>491</v>
      </c>
    </row>
    <row r="11" spans="1:27" s="44" customFormat="1" ht="11.25" customHeight="1">
      <c r="A11" s="65" t="s">
        <v>71</v>
      </c>
      <c r="B11" s="65" t="s">
        <v>498</v>
      </c>
      <c r="C11" s="65"/>
      <c r="D11" s="66">
        <v>1</v>
      </c>
      <c r="E11" s="95" t="s">
        <v>73</v>
      </c>
      <c r="F11" s="49">
        <f ca="1">(INDIRECT("'Data'!BG"&amp;($C$1)))</f>
        <v>0</v>
      </c>
      <c r="G11" s="49" t="str">
        <f ca="1">(INDIRECT("'Data'!CN"&amp;($C$1)))</f>
        <v>EXCHANGE GAS METER TO SECURE SMART CREDIT</v>
      </c>
      <c r="H11" s="49" t="str">
        <f ca="1">(INDIRECT("'Data'!F"&amp;($C$1)))</f>
        <v>EXCHANGE GAS METER TO SECURE SMART CREDIT</v>
      </c>
      <c r="I11" s="48" t="str">
        <f ca="1">(INDIRECT("'Data'!AW"&amp;($C$1)))</f>
        <v>EXCH1 ROAD</v>
      </c>
      <c r="J11" s="49" t="str">
        <f ca="1">(INDIRECT("'Data'!AH"&amp;($C$1)))</f>
        <v>Site_Contact_648</v>
      </c>
      <c r="K11" s="49" t="str">
        <f ca="1">(INDIRECT("'Data'!BA"&amp;($C$1)))</f>
        <v>C</v>
      </c>
      <c r="L11" s="49">
        <f ca="1">(INDIRECT("'Data'!BD"&amp;($C$1)))</f>
        <v>0</v>
      </c>
      <c r="M11" s="49">
        <f ca="1">(INDIRECT("'Data'!BO"&amp;($C$1)))</f>
        <v>0</v>
      </c>
      <c r="N11" s="49">
        <f ca="1">(INDIRECT("'Data'!CH"&amp;($C$1)))</f>
        <v>0</v>
      </c>
      <c r="O11" s="49" t="str">
        <f ca="1">(INDIRECT("'Data'!CK"&amp;($C$1)))</f>
        <v>G4</v>
      </c>
      <c r="P11" s="49" t="str">
        <f ca="1">(INDIRECT("'Data'!CR"&amp;($C$1)))</f>
        <v>C</v>
      </c>
      <c r="Q11" s="86"/>
    </row>
    <row r="12" spans="1:27" s="103" customFormat="1" ht="6.75">
      <c r="A12" s="103" t="s">
        <v>68</v>
      </c>
      <c r="B12" s="103" t="s">
        <v>455</v>
      </c>
      <c r="C12" s="103" t="s">
        <v>443</v>
      </c>
      <c r="D12" s="103" t="s">
        <v>444</v>
      </c>
      <c r="E12" s="101" t="s">
        <v>493</v>
      </c>
      <c r="F12" s="150" t="s">
        <v>475</v>
      </c>
      <c r="G12" s="103" t="s">
        <v>439</v>
      </c>
      <c r="H12" s="103" t="s">
        <v>440</v>
      </c>
      <c r="I12" s="103" t="s">
        <v>43</v>
      </c>
      <c r="J12" s="103" t="s">
        <v>447</v>
      </c>
      <c r="K12" s="103" t="s">
        <v>450</v>
      </c>
      <c r="L12" s="103" t="s">
        <v>451</v>
      </c>
      <c r="M12" s="103" t="s">
        <v>452</v>
      </c>
      <c r="N12" s="103" t="s">
        <v>442</v>
      </c>
      <c r="O12" s="103" t="s">
        <v>37</v>
      </c>
      <c r="P12" s="103" t="s">
        <v>468</v>
      </c>
      <c r="Q12" s="104" t="s">
        <v>469</v>
      </c>
      <c r="R12" s="104" t="s">
        <v>471</v>
      </c>
      <c r="S12" s="103" t="s">
        <v>473</v>
      </c>
      <c r="T12" s="104" t="s">
        <v>470</v>
      </c>
      <c r="U12" s="103" t="s">
        <v>472</v>
      </c>
      <c r="V12" s="147" t="s">
        <v>491</v>
      </c>
    </row>
    <row r="13" spans="1:27" s="58" customFormat="1" ht="11.25" customHeight="1">
      <c r="A13" s="65" t="s">
        <v>71</v>
      </c>
      <c r="B13" s="65" t="s">
        <v>467</v>
      </c>
      <c r="C13" s="65"/>
      <c r="D13" s="67">
        <v>1</v>
      </c>
      <c r="E13" s="95" t="s">
        <v>73</v>
      </c>
      <c r="F13" s="48">
        <f ca="1">(INDIRECT("'Data'!CD"&amp;($C$1)))</f>
        <v>0</v>
      </c>
      <c r="G13" s="49">
        <f ca="1">(INDIRECT("'Data'!BG"&amp;($C$1)))</f>
        <v>0</v>
      </c>
      <c r="H13" s="49" t="str">
        <f ca="1">(INDIRECT("'Data'!CN"&amp;($C$1)))</f>
        <v>EXCHANGE GAS METER TO SECURE SMART CREDIT</v>
      </c>
      <c r="I13" s="49" t="str">
        <f ca="1">(INDIRECT("'Data'!AH"&amp;($C$1)))</f>
        <v>Site_Contact_648</v>
      </c>
      <c r="J13" s="49" t="str">
        <f ca="1">(INDIRECT("'Data'!F"&amp;($C$1)))</f>
        <v>EXCHANGE GAS METER TO SECURE SMART CREDIT</v>
      </c>
      <c r="K13" s="48">
        <f ca="1">(INDIRECT("'Data'!AS"&amp;($C$1)))</f>
        <v>0</v>
      </c>
      <c r="L13" s="48" t="str">
        <f ca="1">(INDIRECT("'Data'!AT"&amp;($C$1)))</f>
        <v>TPJR00530</v>
      </c>
      <c r="M13" s="48">
        <f ca="1">(INDIRECT("'Data'!AU"&amp;($C$1)))</f>
        <v>0</v>
      </c>
      <c r="N13" s="48">
        <f ca="1">(INDIRECT("'Data'!AV"&amp;($C$1)))</f>
        <v>648</v>
      </c>
      <c r="O13" s="48" t="str">
        <f ca="1">(INDIRECT("'Data'!AW"&amp;($C$1)))</f>
        <v>EXCH1 ROAD</v>
      </c>
      <c r="P13" s="58" t="s">
        <v>73</v>
      </c>
      <c r="Q13" s="59" t="s">
        <v>73</v>
      </c>
      <c r="R13" s="59" t="s">
        <v>265</v>
      </c>
      <c r="S13" s="60" t="s">
        <v>73</v>
      </c>
      <c r="T13" s="59" t="s">
        <v>75</v>
      </c>
      <c r="U13" s="61" t="s">
        <v>100</v>
      </c>
      <c r="V13" s="86"/>
    </row>
    <row r="14" spans="1:27" s="103" customFormat="1" ht="6.75">
      <c r="A14" s="103" t="s">
        <v>68</v>
      </c>
      <c r="B14" s="103" t="s">
        <v>455</v>
      </c>
      <c r="C14" s="103" t="s">
        <v>443</v>
      </c>
      <c r="D14" s="103" t="s">
        <v>444</v>
      </c>
      <c r="E14" s="101" t="s">
        <v>493</v>
      </c>
      <c r="F14" s="150" t="s">
        <v>475</v>
      </c>
      <c r="G14" s="103" t="s">
        <v>439</v>
      </c>
      <c r="H14" s="103" t="s">
        <v>440</v>
      </c>
      <c r="I14" s="103" t="s">
        <v>447</v>
      </c>
      <c r="J14" s="103" t="s">
        <v>37</v>
      </c>
      <c r="K14" s="103" t="s">
        <v>94</v>
      </c>
      <c r="L14" s="147" t="s">
        <v>491</v>
      </c>
      <c r="M14" s="104" t="s">
        <v>77</v>
      </c>
      <c r="N14" s="104" t="s">
        <v>77</v>
      </c>
      <c r="O14" s="105" t="s">
        <v>77</v>
      </c>
      <c r="P14" s="104"/>
      <c r="Q14" s="104"/>
      <c r="S14" s="104"/>
    </row>
    <row r="15" spans="1:27" s="44" customFormat="1" ht="11.25" customHeight="1">
      <c r="A15" s="65" t="s">
        <v>71</v>
      </c>
      <c r="B15" s="65" t="s">
        <v>474</v>
      </c>
      <c r="C15" s="65"/>
      <c r="D15" s="67">
        <v>1</v>
      </c>
      <c r="E15" s="94" t="s">
        <v>73</v>
      </c>
      <c r="F15" s="48">
        <f ca="1">(INDIRECT("'Data'!CD"&amp;($C$1)))</f>
        <v>0</v>
      </c>
      <c r="G15" s="49">
        <f ca="1">(INDIRECT("'Data'!BG"&amp;($C$1)))</f>
        <v>0</v>
      </c>
      <c r="H15" s="49" t="str">
        <f ca="1">(INDIRECT("'Data'!CN"&amp;($C$1)))</f>
        <v>EXCHANGE GAS METER TO SECURE SMART CREDIT</v>
      </c>
      <c r="I15" s="49" t="str">
        <f ca="1">(INDIRECT("'Data'!F"&amp;($C$1)))</f>
        <v>EXCHANGE GAS METER TO SECURE SMART CREDIT</v>
      </c>
      <c r="J15" s="48" t="str">
        <f ca="1">(INDIRECT("'Data'!AW"&amp;($C$1)))</f>
        <v>EXCH1 ROAD</v>
      </c>
      <c r="K15" s="44" t="s">
        <v>73</v>
      </c>
      <c r="L15" s="86"/>
      <c r="M15" s="62"/>
      <c r="N15" s="62"/>
      <c r="O15" s="63"/>
      <c r="P15" s="62"/>
      <c r="Q15" s="62"/>
      <c r="R15" s="47"/>
      <c r="S15" s="62"/>
    </row>
    <row r="16" spans="1:27" s="103" customFormat="1" ht="6.75">
      <c r="A16" s="93" t="s">
        <v>68</v>
      </c>
      <c r="B16" s="93" t="s">
        <v>455</v>
      </c>
      <c r="C16" s="93" t="s">
        <v>443</v>
      </c>
      <c r="D16" s="93" t="s">
        <v>444</v>
      </c>
      <c r="E16" s="101" t="s">
        <v>493</v>
      </c>
      <c r="F16" s="103" t="s">
        <v>477</v>
      </c>
      <c r="G16" s="103" t="s">
        <v>478</v>
      </c>
      <c r="H16" s="104" t="s">
        <v>480</v>
      </c>
      <c r="I16" s="103" t="s">
        <v>96</v>
      </c>
      <c r="J16" s="104" t="s">
        <v>481</v>
      </c>
      <c r="K16" s="104" t="s">
        <v>482</v>
      </c>
      <c r="L16" s="103" t="s">
        <v>475</v>
      </c>
      <c r="M16" s="103" t="s">
        <v>817</v>
      </c>
      <c r="N16" s="103" t="s">
        <v>479</v>
      </c>
      <c r="O16" s="103" t="s">
        <v>483</v>
      </c>
      <c r="P16" s="147" t="s">
        <v>491</v>
      </c>
    </row>
    <row r="17" spans="1:46" s="58" customFormat="1" ht="11.25" customHeight="1">
      <c r="A17" s="69" t="s">
        <v>71</v>
      </c>
      <c r="B17" s="69" t="s">
        <v>97</v>
      </c>
      <c r="C17" s="70"/>
      <c r="D17" s="71">
        <v>1</v>
      </c>
      <c r="E17" s="95" t="s">
        <v>73</v>
      </c>
      <c r="F17" s="73" t="s">
        <v>73</v>
      </c>
      <c r="G17" s="73" t="s">
        <v>73</v>
      </c>
      <c r="H17" s="74" t="s">
        <v>77</v>
      </c>
      <c r="I17" s="73" t="s">
        <v>77</v>
      </c>
      <c r="J17" s="74" t="s">
        <v>77</v>
      </c>
      <c r="K17" s="74" t="s">
        <v>77</v>
      </c>
      <c r="L17" s="48">
        <f ca="1">(INDIRECT("'Data'!CD"&amp;($C$1)))</f>
        <v>0</v>
      </c>
      <c r="M17" s="75"/>
      <c r="N17" s="73"/>
      <c r="O17" s="75"/>
      <c r="P17" s="86"/>
    </row>
    <row r="18" spans="1:46" s="108" customFormat="1" ht="6.75">
      <c r="A18" s="106" t="s">
        <v>68</v>
      </c>
      <c r="B18" s="106" t="s">
        <v>455</v>
      </c>
      <c r="C18" s="93" t="s">
        <v>443</v>
      </c>
      <c r="D18" s="93" t="s">
        <v>444</v>
      </c>
      <c r="E18" s="107" t="s">
        <v>493</v>
      </c>
      <c r="F18" s="108" t="s">
        <v>501</v>
      </c>
      <c r="G18" s="108" t="s">
        <v>507</v>
      </c>
      <c r="H18" s="108" t="s">
        <v>506</v>
      </c>
      <c r="I18" s="108" t="s">
        <v>724</v>
      </c>
      <c r="J18" s="108" t="s">
        <v>508</v>
      </c>
      <c r="K18" s="108" t="s">
        <v>504</v>
      </c>
      <c r="L18" s="108" t="s">
        <v>722</v>
      </c>
      <c r="M18" s="147" t="s">
        <v>491</v>
      </c>
    </row>
    <row r="19" spans="1:46" s="88" customFormat="1" ht="10.5" customHeight="1">
      <c r="A19" s="134" t="s">
        <v>71</v>
      </c>
      <c r="B19" s="134" t="s">
        <v>720</v>
      </c>
      <c r="C19" s="130"/>
      <c r="D19" s="83">
        <v>1</v>
      </c>
      <c r="E19" s="96" t="s">
        <v>73</v>
      </c>
      <c r="F19" s="86" t="s">
        <v>75</v>
      </c>
      <c r="G19" s="86"/>
      <c r="H19" s="86"/>
      <c r="I19" s="86"/>
      <c r="J19" s="86"/>
      <c r="K19" s="86"/>
      <c r="L19" s="86"/>
      <c r="M19" s="86"/>
      <c r="N19" s="86"/>
      <c r="O19" s="86"/>
      <c r="P19" s="86"/>
      <c r="Q19" s="86"/>
      <c r="R19" s="86"/>
      <c r="S19" s="86"/>
      <c r="T19" s="86"/>
      <c r="U19" s="86"/>
      <c r="V19" s="131"/>
      <c r="W19" s="86"/>
      <c r="X19" s="86"/>
      <c r="AE19" s="86"/>
      <c r="AG19" s="86"/>
    </row>
    <row r="20" spans="1:46" s="108" customFormat="1" ht="6.75">
      <c r="A20" s="106" t="s">
        <v>68</v>
      </c>
      <c r="B20" s="106" t="s">
        <v>455</v>
      </c>
      <c r="C20" s="93" t="s">
        <v>443</v>
      </c>
      <c r="D20" s="93" t="s">
        <v>444</v>
      </c>
      <c r="E20" s="107" t="s">
        <v>493</v>
      </c>
      <c r="F20" s="108" t="s">
        <v>725</v>
      </c>
      <c r="G20" s="108" t="s">
        <v>520</v>
      </c>
      <c r="H20" s="108" t="s">
        <v>726</v>
      </c>
      <c r="I20" s="108" t="s">
        <v>728</v>
      </c>
      <c r="J20" s="108" t="s">
        <v>553</v>
      </c>
      <c r="K20" s="108" t="s">
        <v>729</v>
      </c>
      <c r="L20" s="108" t="s">
        <v>516</v>
      </c>
      <c r="M20" s="108" t="s">
        <v>730</v>
      </c>
      <c r="N20" s="108" t="s">
        <v>524</v>
      </c>
      <c r="O20" s="147" t="s">
        <v>491</v>
      </c>
    </row>
    <row r="21" spans="1:46" s="88" customFormat="1" ht="10.5" customHeight="1">
      <c r="A21" s="84" t="s">
        <v>71</v>
      </c>
      <c r="B21" s="84" t="s">
        <v>723</v>
      </c>
      <c r="C21" s="85"/>
      <c r="D21" s="71">
        <v>1</v>
      </c>
      <c r="E21" s="96" t="s">
        <v>73</v>
      </c>
      <c r="F21" s="86"/>
      <c r="G21" s="86" t="s">
        <v>73</v>
      </c>
      <c r="H21" s="86" t="s">
        <v>727</v>
      </c>
      <c r="I21" s="86"/>
      <c r="J21" s="86"/>
      <c r="K21" s="86"/>
      <c r="L21" s="86"/>
      <c r="M21" s="86"/>
      <c r="N21" s="86"/>
      <c r="O21" s="86"/>
    </row>
    <row r="22" spans="1:46" s="106" customFormat="1" ht="6.75">
      <c r="A22" s="106" t="s">
        <v>68</v>
      </c>
      <c r="B22" s="106" t="s">
        <v>455</v>
      </c>
      <c r="C22" s="93" t="s">
        <v>443</v>
      </c>
      <c r="D22" s="93" t="s">
        <v>444</v>
      </c>
      <c r="E22" s="106" t="s">
        <v>493</v>
      </c>
      <c r="F22" s="106" t="s">
        <v>819</v>
      </c>
      <c r="G22" s="106" t="s">
        <v>491</v>
      </c>
    </row>
    <row r="23" spans="1:46" s="134" customFormat="1" ht="10.5" customHeight="1">
      <c r="A23" s="134" t="s">
        <v>71</v>
      </c>
      <c r="B23" s="134" t="s">
        <v>818</v>
      </c>
      <c r="C23" s="130"/>
      <c r="D23" s="83">
        <v>1</v>
      </c>
      <c r="E23" s="159" t="s">
        <v>73</v>
      </c>
      <c r="F23" s="159" t="s">
        <v>73</v>
      </c>
      <c r="G23" s="159"/>
      <c r="H23" s="159"/>
      <c r="I23" s="159"/>
      <c r="J23" s="159"/>
      <c r="K23" s="159"/>
      <c r="L23" s="159"/>
      <c r="M23" s="159"/>
      <c r="N23" s="159"/>
      <c r="O23" s="159"/>
      <c r="P23" s="159"/>
      <c r="Q23" s="159"/>
      <c r="R23" s="159"/>
      <c r="S23" s="159"/>
      <c r="T23" s="159"/>
      <c r="U23" s="159"/>
      <c r="V23" s="160"/>
      <c r="W23" s="159"/>
      <c r="X23" s="159"/>
      <c r="AE23" s="159"/>
      <c r="AG23" s="159"/>
    </row>
    <row r="24" spans="1:46" s="147" customFormat="1" ht="6.75">
      <c r="A24" s="147" t="s">
        <v>68</v>
      </c>
      <c r="B24" s="147" t="s">
        <v>455</v>
      </c>
      <c r="C24" s="102" t="s">
        <v>443</v>
      </c>
      <c r="D24" s="102" t="s">
        <v>444</v>
      </c>
      <c r="E24" s="147" t="s">
        <v>493</v>
      </c>
      <c r="F24" s="147" t="s">
        <v>526</v>
      </c>
      <c r="G24" s="153" t="s">
        <v>811</v>
      </c>
      <c r="H24" s="153" t="s">
        <v>842</v>
      </c>
      <c r="I24" s="147" t="s">
        <v>471</v>
      </c>
      <c r="J24" s="147" t="s">
        <v>491</v>
      </c>
    </row>
    <row r="25" spans="1:46" s="88" customFormat="1" ht="10.5" customHeight="1">
      <c r="A25" s="134" t="s">
        <v>71</v>
      </c>
      <c r="B25" s="134" t="s">
        <v>810</v>
      </c>
      <c r="C25" s="130"/>
      <c r="D25" s="83">
        <v>1</v>
      </c>
      <c r="E25" s="96" t="s">
        <v>73</v>
      </c>
      <c r="F25" s="86" t="s">
        <v>73</v>
      </c>
      <c r="G25" s="86"/>
      <c r="H25" s="86" t="s">
        <v>843</v>
      </c>
      <c r="I25" s="86" t="s">
        <v>812</v>
      </c>
      <c r="J25" s="86"/>
      <c r="K25" s="86"/>
      <c r="L25" s="86"/>
      <c r="M25" s="86"/>
      <c r="N25" s="86"/>
      <c r="O25" s="86"/>
      <c r="P25" s="86"/>
      <c r="Q25" s="86"/>
      <c r="R25" s="86"/>
      <c r="S25" s="86"/>
      <c r="T25" s="86"/>
      <c r="U25" s="86"/>
      <c r="V25" s="86"/>
      <c r="W25" s="86"/>
      <c r="X25" s="86"/>
      <c r="Y25" s="86"/>
      <c r="Z25" s="131"/>
      <c r="AA25" s="86"/>
      <c r="AB25" s="86"/>
      <c r="AI25" s="86"/>
      <c r="AK25" s="86"/>
    </row>
    <row r="26" spans="1:46" s="108" customFormat="1" ht="6.75">
      <c r="A26" s="106" t="s">
        <v>68</v>
      </c>
      <c r="B26" s="106" t="s">
        <v>455</v>
      </c>
      <c r="C26" s="93" t="s">
        <v>443</v>
      </c>
      <c r="D26" s="93" t="s">
        <v>444</v>
      </c>
      <c r="E26" s="107" t="s">
        <v>493</v>
      </c>
      <c r="F26" s="147" t="s">
        <v>491</v>
      </c>
    </row>
    <row r="27" spans="1:46" s="88" customFormat="1" ht="10.5" customHeight="1">
      <c r="A27" s="134" t="s">
        <v>71</v>
      </c>
      <c r="B27" s="134" t="s">
        <v>721</v>
      </c>
      <c r="C27" s="130"/>
      <c r="D27" s="83">
        <v>1</v>
      </c>
      <c r="E27" s="96" t="s">
        <v>73</v>
      </c>
      <c r="F27" s="86"/>
      <c r="G27" s="86"/>
      <c r="H27" s="86"/>
      <c r="I27" s="86"/>
      <c r="J27" s="86"/>
      <c r="K27" s="86"/>
      <c r="L27" s="86"/>
      <c r="M27" s="86"/>
      <c r="N27" s="86"/>
      <c r="O27" s="86"/>
      <c r="P27" s="86"/>
      <c r="Q27" s="86"/>
      <c r="R27" s="86"/>
      <c r="S27" s="86"/>
      <c r="T27" s="86"/>
      <c r="U27" s="86"/>
      <c r="V27" s="86"/>
      <c r="W27" s="86"/>
      <c r="X27" s="131"/>
      <c r="Y27" s="86"/>
      <c r="Z27" s="86"/>
      <c r="AG27" s="86"/>
      <c r="AI27" s="86"/>
    </row>
    <row r="28" spans="1:46" s="150" customFormat="1" ht="6.75">
      <c r="A28" s="150" t="s">
        <v>68</v>
      </c>
      <c r="B28" s="150" t="s">
        <v>455</v>
      </c>
      <c r="C28" s="150" t="s">
        <v>443</v>
      </c>
      <c r="D28" s="150" t="s">
        <v>444</v>
      </c>
      <c r="E28" s="150" t="s">
        <v>493</v>
      </c>
      <c r="F28" s="150" t="s">
        <v>733</v>
      </c>
      <c r="G28" s="150" t="s">
        <v>566</v>
      </c>
      <c r="H28" s="150" t="s">
        <v>538</v>
      </c>
      <c r="I28" s="150" t="s">
        <v>539</v>
      </c>
      <c r="J28" s="150" t="s">
        <v>540</v>
      </c>
      <c r="K28" s="150" t="s">
        <v>734</v>
      </c>
      <c r="L28" s="150" t="s">
        <v>491</v>
      </c>
    </row>
    <row r="29" spans="1:46" s="58" customFormat="1" ht="11.25">
      <c r="A29" s="69" t="s">
        <v>71</v>
      </c>
      <c r="B29" s="69" t="s">
        <v>731</v>
      </c>
      <c r="C29" s="70"/>
      <c r="D29" s="71">
        <v>1</v>
      </c>
      <c r="E29" s="95" t="s">
        <v>73</v>
      </c>
      <c r="F29" s="95" t="s">
        <v>73</v>
      </c>
      <c r="G29" s="95" t="s">
        <v>109</v>
      </c>
      <c r="H29" s="95" t="s">
        <v>108</v>
      </c>
      <c r="I29" s="95" t="s">
        <v>75</v>
      </c>
      <c r="J29" s="95"/>
    </row>
    <row r="30" spans="1:46" s="150" customFormat="1" ht="6.75">
      <c r="A30" s="150" t="s">
        <v>68</v>
      </c>
      <c r="B30" s="150" t="s">
        <v>455</v>
      </c>
      <c r="C30" s="150" t="s">
        <v>443</v>
      </c>
      <c r="D30" s="150" t="s">
        <v>444</v>
      </c>
      <c r="E30" s="150" t="s">
        <v>493</v>
      </c>
      <c r="F30" s="150" t="s">
        <v>547</v>
      </c>
      <c r="G30" s="150" t="s">
        <v>549</v>
      </c>
      <c r="H30" s="150" t="s">
        <v>546</v>
      </c>
      <c r="I30" s="150" t="s">
        <v>735</v>
      </c>
      <c r="J30" s="150" t="s">
        <v>567</v>
      </c>
      <c r="K30" s="150" t="s">
        <v>736</v>
      </c>
      <c r="L30" s="150" t="s">
        <v>737</v>
      </c>
      <c r="M30" s="150" t="s">
        <v>553</v>
      </c>
      <c r="N30" s="150" t="s">
        <v>729</v>
      </c>
      <c r="O30" s="150" t="s">
        <v>516</v>
      </c>
      <c r="P30" s="150" t="s">
        <v>491</v>
      </c>
    </row>
    <row r="31" spans="1:46" s="58" customFormat="1" ht="11.25">
      <c r="A31" s="69" t="s">
        <v>71</v>
      </c>
      <c r="B31" s="69" t="s">
        <v>732</v>
      </c>
      <c r="C31" s="70"/>
      <c r="D31" s="71">
        <v>1</v>
      </c>
      <c r="E31" s="95" t="s">
        <v>73</v>
      </c>
      <c r="F31" s="58" t="s">
        <v>73</v>
      </c>
      <c r="H31" s="58" t="s">
        <v>73</v>
      </c>
    </row>
    <row r="32" spans="1:46" s="111" customFormat="1" ht="6.75">
      <c r="A32" s="109" t="s">
        <v>68</v>
      </c>
      <c r="B32" s="93" t="s">
        <v>455</v>
      </c>
      <c r="C32" s="93" t="s">
        <v>443</v>
      </c>
      <c r="D32" s="93" t="s">
        <v>444</v>
      </c>
      <c r="E32" s="110" t="s">
        <v>493</v>
      </c>
      <c r="F32" s="111" t="s">
        <v>750</v>
      </c>
      <c r="G32" s="111" t="s">
        <v>116</v>
      </c>
      <c r="H32" s="111" t="s">
        <v>117</v>
      </c>
      <c r="I32" s="111" t="s">
        <v>118</v>
      </c>
      <c r="J32" s="111" t="s">
        <v>123</v>
      </c>
      <c r="K32" s="111" t="s">
        <v>119</v>
      </c>
      <c r="L32" s="111" t="s">
        <v>221</v>
      </c>
      <c r="M32" s="111" t="s">
        <v>171</v>
      </c>
      <c r="N32" s="111" t="s">
        <v>172</v>
      </c>
      <c r="O32" s="111" t="s">
        <v>177</v>
      </c>
      <c r="P32" s="111" t="s">
        <v>169</v>
      </c>
      <c r="Q32" s="111" t="s">
        <v>170</v>
      </c>
      <c r="R32" s="111" t="s">
        <v>268</v>
      </c>
      <c r="S32" s="111" t="s">
        <v>173</v>
      </c>
      <c r="T32" s="111" t="s">
        <v>174</v>
      </c>
      <c r="U32" s="111" t="s">
        <v>175</v>
      </c>
      <c r="V32" s="111" t="s">
        <v>176</v>
      </c>
      <c r="W32" s="111" t="s">
        <v>178</v>
      </c>
      <c r="X32" s="111" t="s">
        <v>179</v>
      </c>
      <c r="Y32" s="111" t="s">
        <v>180</v>
      </c>
      <c r="Z32" s="111" t="s">
        <v>181</v>
      </c>
      <c r="AA32" s="111" t="s">
        <v>182</v>
      </c>
      <c r="AB32" s="111" t="s">
        <v>282</v>
      </c>
      <c r="AC32" s="111" t="s">
        <v>281</v>
      </c>
      <c r="AD32" s="111" t="s">
        <v>281</v>
      </c>
      <c r="AE32" s="111" t="s">
        <v>186</v>
      </c>
      <c r="AF32" s="111" t="s">
        <v>187</v>
      </c>
      <c r="AG32" s="111" t="s">
        <v>192</v>
      </c>
      <c r="AH32" s="111" t="s">
        <v>188</v>
      </c>
      <c r="AI32" s="111" t="s">
        <v>198</v>
      </c>
      <c r="AJ32" s="111" t="s">
        <v>199</v>
      </c>
      <c r="AK32" s="111" t="s">
        <v>200</v>
      </c>
      <c r="AL32" s="111" t="s">
        <v>189</v>
      </c>
      <c r="AM32" s="111" t="s">
        <v>190</v>
      </c>
      <c r="AN32" s="111" t="s">
        <v>191</v>
      </c>
      <c r="AO32" s="111" t="s">
        <v>193</v>
      </c>
      <c r="AP32" s="111" t="s">
        <v>194</v>
      </c>
      <c r="AQ32" s="111" t="s">
        <v>195</v>
      </c>
      <c r="AR32" s="111" t="s">
        <v>196</v>
      </c>
      <c r="AS32" s="111" t="s">
        <v>197</v>
      </c>
      <c r="AT32" s="147" t="s">
        <v>491</v>
      </c>
    </row>
    <row r="33" spans="1:46" s="58" customFormat="1" ht="11.25">
      <c r="A33" s="69" t="s">
        <v>71</v>
      </c>
      <c r="B33" s="69" t="s">
        <v>568</v>
      </c>
      <c r="C33" s="70"/>
      <c r="D33" s="71">
        <v>1</v>
      </c>
      <c r="E33" s="97" t="s">
        <v>73</v>
      </c>
      <c r="F33" s="58" t="s">
        <v>73</v>
      </c>
      <c r="G33" s="61"/>
      <c r="H33" s="61" t="s">
        <v>77</v>
      </c>
      <c r="I33" s="61" t="s">
        <v>77</v>
      </c>
      <c r="J33" s="61"/>
      <c r="K33" s="61"/>
      <c r="L33" s="61"/>
      <c r="M33" s="61">
        <f ca="1">(INDIRECT("'Data'!BQ"&amp;($C$1)))</f>
        <v>0</v>
      </c>
      <c r="N33" s="61"/>
      <c r="O33" s="61">
        <f ca="1">(INDIRECT("'Data'!CI"&amp;($C$1)))</f>
        <v>1</v>
      </c>
      <c r="P33" s="61">
        <f ca="1">(INDIRECT("'Data'!BX"&amp;($C$1)))</f>
        <v>0</v>
      </c>
      <c r="Q33" s="61">
        <f ca="1">(INDIRECT("'Data'!BW"&amp;($C$1)))</f>
        <v>0</v>
      </c>
      <c r="R33" s="61" t="str">
        <f ca="1">(INDIRECT("'Data'!CJ"&amp;($C$1)))</f>
        <v>GAS_ENQ_NO-648</v>
      </c>
      <c r="S33" s="61" t="str">
        <f ca="1">(INDIRECT("'Data'!CK"&amp;($C$1)))</f>
        <v>G4</v>
      </c>
      <c r="T33" s="61"/>
      <c r="U33" s="61"/>
      <c r="V33" s="61"/>
      <c r="W33" s="61"/>
      <c r="X33" s="61"/>
      <c r="Y33" s="61"/>
      <c r="Z33" s="60"/>
      <c r="AA33" s="61"/>
      <c r="AB33" s="61"/>
      <c r="AC33" s="61"/>
      <c r="AD33" s="61"/>
      <c r="AT33" s="86"/>
    </row>
    <row r="34" spans="1:46" s="102" customFormat="1" ht="6.75">
      <c r="A34" s="93" t="s">
        <v>68</v>
      </c>
      <c r="B34" s="93" t="s">
        <v>455</v>
      </c>
      <c r="C34" s="93" t="s">
        <v>443</v>
      </c>
      <c r="D34" s="93" t="s">
        <v>444</v>
      </c>
      <c r="E34" s="101" t="s">
        <v>493</v>
      </c>
      <c r="F34" s="102" t="s">
        <v>203</v>
      </c>
      <c r="G34" s="102" t="s">
        <v>204</v>
      </c>
      <c r="H34" s="102" t="s">
        <v>205</v>
      </c>
      <c r="I34" s="102" t="s">
        <v>284</v>
      </c>
      <c r="J34" s="102" t="s">
        <v>206</v>
      </c>
      <c r="K34" s="102" t="s">
        <v>207</v>
      </c>
      <c r="L34" s="102" t="s">
        <v>208</v>
      </c>
      <c r="M34" s="102" t="s">
        <v>209</v>
      </c>
      <c r="N34" s="102" t="s">
        <v>210</v>
      </c>
      <c r="O34" s="102" t="s">
        <v>211</v>
      </c>
      <c r="P34" s="102" t="s">
        <v>212</v>
      </c>
      <c r="Q34" s="102" t="s">
        <v>213</v>
      </c>
      <c r="R34" s="102" t="s">
        <v>214</v>
      </c>
      <c r="S34" s="102" t="s">
        <v>215</v>
      </c>
      <c r="T34" s="102" t="s">
        <v>216</v>
      </c>
      <c r="U34" s="102" t="s">
        <v>217</v>
      </c>
      <c r="V34" s="147" t="s">
        <v>491</v>
      </c>
    </row>
    <row r="35" spans="1:46" s="58" customFormat="1" ht="11.25">
      <c r="A35" s="69" t="s">
        <v>71</v>
      </c>
      <c r="B35" s="69" t="s">
        <v>570</v>
      </c>
      <c r="C35" s="70"/>
      <c r="D35" s="71">
        <v>1</v>
      </c>
      <c r="E35" s="95" t="s">
        <v>73</v>
      </c>
      <c r="F35" s="49">
        <f ca="1">(INDIRECT("'Data'!BL"&amp;($C$1)))</f>
        <v>0</v>
      </c>
      <c r="G35" s="49">
        <f ca="1">(INDIRECT("'Data'!BX"&amp;($C$1)))</f>
        <v>0</v>
      </c>
      <c r="H35" s="58" t="s">
        <v>280</v>
      </c>
      <c r="I35" s="61">
        <v>1</v>
      </c>
      <c r="N35" s="58" t="s">
        <v>218</v>
      </c>
      <c r="O35" s="58" t="s">
        <v>285</v>
      </c>
      <c r="P35" s="58" t="s">
        <v>286</v>
      </c>
      <c r="Q35" s="58" t="s">
        <v>287</v>
      </c>
      <c r="R35" s="58" t="s">
        <v>75</v>
      </c>
      <c r="S35" s="58" t="s">
        <v>219</v>
      </c>
      <c r="T35" s="58" t="s">
        <v>120</v>
      </c>
      <c r="U35" s="58" t="s">
        <v>73</v>
      </c>
      <c r="V35" s="86"/>
    </row>
    <row r="36" spans="1:46" s="112" customFormat="1" ht="6.75">
      <c r="A36" s="93" t="s">
        <v>68</v>
      </c>
      <c r="B36" s="93" t="s">
        <v>455</v>
      </c>
      <c r="C36" s="93" t="s">
        <v>443</v>
      </c>
      <c r="D36" s="93" t="s">
        <v>444</v>
      </c>
      <c r="E36" s="101" t="s">
        <v>493</v>
      </c>
      <c r="F36" s="102" t="s">
        <v>574</v>
      </c>
      <c r="G36" s="102" t="s">
        <v>575</v>
      </c>
      <c r="H36" s="147" t="s">
        <v>491</v>
      </c>
    </row>
    <row r="37" spans="1:46" s="58" customFormat="1" ht="11.25">
      <c r="A37" s="69" t="s">
        <v>71</v>
      </c>
      <c r="B37" s="69" t="s">
        <v>578</v>
      </c>
      <c r="C37" s="70"/>
      <c r="D37" s="71">
        <v>1</v>
      </c>
      <c r="E37" s="95" t="s">
        <v>73</v>
      </c>
      <c r="F37" s="58" t="s">
        <v>120</v>
      </c>
      <c r="G37" s="60" t="s">
        <v>73</v>
      </c>
      <c r="H37" s="86"/>
    </row>
    <row r="38" spans="1:46" s="112" customFormat="1" ht="6.75">
      <c r="A38" s="93" t="s">
        <v>68</v>
      </c>
      <c r="B38" s="93" t="s">
        <v>455</v>
      </c>
      <c r="C38" s="93" t="s">
        <v>443</v>
      </c>
      <c r="D38" s="93" t="s">
        <v>444</v>
      </c>
      <c r="E38" s="101" t="s">
        <v>493</v>
      </c>
      <c r="F38" s="102" t="s">
        <v>579</v>
      </c>
      <c r="G38" s="102" t="s">
        <v>577</v>
      </c>
      <c r="H38" s="102" t="s">
        <v>83</v>
      </c>
      <c r="I38" s="102" t="s">
        <v>584</v>
      </c>
      <c r="J38" s="102" t="s">
        <v>576</v>
      </c>
      <c r="K38" s="102" t="s">
        <v>220</v>
      </c>
      <c r="L38" s="147" t="s">
        <v>491</v>
      </c>
    </row>
    <row r="39" spans="1:46" s="58" customFormat="1" ht="11.25">
      <c r="A39" s="69" t="s">
        <v>71</v>
      </c>
      <c r="B39" s="69" t="s">
        <v>580</v>
      </c>
      <c r="C39" s="70" t="s">
        <v>77</v>
      </c>
      <c r="D39" s="71">
        <v>1</v>
      </c>
      <c r="E39" s="95" t="s">
        <v>73</v>
      </c>
      <c r="F39" s="74" t="s">
        <v>754</v>
      </c>
      <c r="G39" s="74" t="s">
        <v>755</v>
      </c>
      <c r="H39" s="74" t="s">
        <v>756</v>
      </c>
      <c r="I39" s="89"/>
      <c r="J39" s="74" t="s">
        <v>124</v>
      </c>
      <c r="K39" s="75" t="s">
        <v>585</v>
      </c>
      <c r="L39" s="86"/>
    </row>
    <row r="40" spans="1:46" s="102" customFormat="1" ht="6.75">
      <c r="A40" s="93" t="s">
        <v>68</v>
      </c>
      <c r="B40" s="93" t="s">
        <v>455</v>
      </c>
      <c r="C40" s="93" t="s">
        <v>443</v>
      </c>
      <c r="D40" s="93" t="s">
        <v>444</v>
      </c>
      <c r="E40" s="101" t="s">
        <v>493</v>
      </c>
      <c r="F40" s="102" t="s">
        <v>318</v>
      </c>
      <c r="G40" s="102" t="s">
        <v>587</v>
      </c>
      <c r="H40" s="102" t="s">
        <v>319</v>
      </c>
      <c r="I40" s="102" t="s">
        <v>125</v>
      </c>
      <c r="J40" s="102" t="s">
        <v>588</v>
      </c>
      <c r="K40" s="102" t="s">
        <v>589</v>
      </c>
      <c r="L40" s="102" t="s">
        <v>320</v>
      </c>
      <c r="M40" s="102" t="s">
        <v>321</v>
      </c>
      <c r="N40" s="102" t="s">
        <v>89</v>
      </c>
      <c r="O40" s="102" t="s">
        <v>590</v>
      </c>
      <c r="P40" s="102" t="s">
        <v>419</v>
      </c>
      <c r="Q40" s="147" t="s">
        <v>491</v>
      </c>
    </row>
    <row r="41" spans="1:46" s="78" customFormat="1" ht="11.25" customHeight="1">
      <c r="A41" s="69" t="s">
        <v>71</v>
      </c>
      <c r="B41" s="69" t="s">
        <v>586</v>
      </c>
      <c r="C41" s="69"/>
      <c r="D41" s="71">
        <v>1</v>
      </c>
      <c r="E41" s="95" t="s">
        <v>73</v>
      </c>
      <c r="F41" s="76" t="s">
        <v>73</v>
      </c>
      <c r="G41" s="76" t="s">
        <v>73</v>
      </c>
      <c r="H41" s="76" t="s">
        <v>322</v>
      </c>
      <c r="I41" s="76" t="s">
        <v>323</v>
      </c>
      <c r="J41" s="76" t="s">
        <v>73</v>
      </c>
      <c r="K41" s="76" t="s">
        <v>73</v>
      </c>
      <c r="L41" s="78" t="s">
        <v>73</v>
      </c>
      <c r="M41" s="78" t="s">
        <v>73</v>
      </c>
      <c r="N41" s="76" t="s">
        <v>73</v>
      </c>
      <c r="O41" s="78" t="s">
        <v>73</v>
      </c>
      <c r="P41" s="76" t="s">
        <v>73</v>
      </c>
      <c r="Q41" s="86"/>
    </row>
    <row r="42" spans="1:46" s="102" customFormat="1" ht="6.75">
      <c r="A42" s="93" t="s">
        <v>68</v>
      </c>
      <c r="B42" s="93" t="s">
        <v>455</v>
      </c>
      <c r="C42" s="93" t="s">
        <v>443</v>
      </c>
      <c r="D42" s="93" t="s">
        <v>444</v>
      </c>
      <c r="E42" s="101" t="s">
        <v>493</v>
      </c>
      <c r="F42" s="102" t="s">
        <v>591</v>
      </c>
      <c r="G42" s="102" t="s">
        <v>593</v>
      </c>
      <c r="H42" s="102" t="s">
        <v>592</v>
      </c>
      <c r="I42" s="102" t="s">
        <v>302</v>
      </c>
      <c r="J42" s="102" t="s">
        <v>304</v>
      </c>
      <c r="K42" s="103" t="s">
        <v>475</v>
      </c>
      <c r="L42" s="147" t="s">
        <v>491</v>
      </c>
    </row>
    <row r="43" spans="1:46" s="79" customFormat="1" ht="11.25">
      <c r="A43" s="69" t="s">
        <v>71</v>
      </c>
      <c r="B43" s="69" t="s">
        <v>642</v>
      </c>
      <c r="C43" s="70" t="s">
        <v>77</v>
      </c>
      <c r="D43" s="71">
        <v>1</v>
      </c>
      <c r="E43" s="95" t="s">
        <v>73</v>
      </c>
      <c r="F43" s="79" t="s">
        <v>303</v>
      </c>
      <c r="G43" s="79" t="s">
        <v>65</v>
      </c>
      <c r="H43" s="79" t="s">
        <v>53</v>
      </c>
      <c r="I43" s="56"/>
      <c r="J43" s="79" t="s">
        <v>77</v>
      </c>
      <c r="K43" s="48">
        <f ca="1">(INDIRECT("'Data'!CD"&amp;($C$1)))</f>
        <v>0</v>
      </c>
      <c r="L43" s="86"/>
    </row>
    <row r="44" spans="1:46" s="150" customFormat="1" ht="6.75">
      <c r="A44" s="150" t="s">
        <v>68</v>
      </c>
      <c r="B44" s="150" t="s">
        <v>455</v>
      </c>
      <c r="C44" s="150" t="s">
        <v>443</v>
      </c>
      <c r="D44" s="150" t="s">
        <v>444</v>
      </c>
      <c r="E44" s="150" t="s">
        <v>493</v>
      </c>
      <c r="F44" s="150" t="s">
        <v>475</v>
      </c>
      <c r="G44" s="150" t="s">
        <v>789</v>
      </c>
      <c r="H44" s="150" t="s">
        <v>790</v>
      </c>
      <c r="I44" s="150" t="s">
        <v>791</v>
      </c>
      <c r="J44" s="150" t="s">
        <v>793</v>
      </c>
      <c r="K44" s="150" t="s">
        <v>794</v>
      </c>
      <c r="L44" s="150" t="s">
        <v>795</v>
      </c>
      <c r="M44" s="150" t="s">
        <v>796</v>
      </c>
      <c r="N44" s="150" t="s">
        <v>650</v>
      </c>
      <c r="O44" s="150" t="s">
        <v>651</v>
      </c>
      <c r="P44" s="153" t="s">
        <v>491</v>
      </c>
    </row>
    <row r="45" spans="1:46" s="79" customFormat="1" ht="11.25">
      <c r="A45" s="69" t="s">
        <v>71</v>
      </c>
      <c r="B45" s="69" t="s">
        <v>594</v>
      </c>
      <c r="C45" s="70" t="s">
        <v>77</v>
      </c>
      <c r="D45" s="71">
        <v>1</v>
      </c>
      <c r="E45" s="95" t="s">
        <v>73</v>
      </c>
      <c r="F45" s="48">
        <f ca="1">(INDIRECT("'Data'!CD"&amp;($C$1)))</f>
        <v>0</v>
      </c>
      <c r="G45" s="78" t="s">
        <v>73</v>
      </c>
      <c r="H45" s="78" t="s">
        <v>308</v>
      </c>
      <c r="I45" s="78" t="s">
        <v>317</v>
      </c>
      <c r="J45" s="76">
        <v>11</v>
      </c>
      <c r="K45" s="78" t="s">
        <v>231</v>
      </c>
      <c r="L45" s="78" t="s">
        <v>757</v>
      </c>
      <c r="M45" s="78" t="s">
        <v>313</v>
      </c>
      <c r="N45" s="79" t="s">
        <v>315</v>
      </c>
      <c r="O45" s="79" t="s">
        <v>65</v>
      </c>
      <c r="P45" s="86"/>
    </row>
    <row r="46" spans="1:46" s="102" customFormat="1" ht="6.75">
      <c r="A46" s="93" t="s">
        <v>68</v>
      </c>
      <c r="B46" s="93" t="s">
        <v>455</v>
      </c>
      <c r="C46" s="93" t="s">
        <v>443</v>
      </c>
      <c r="D46" s="93" t="s">
        <v>444</v>
      </c>
      <c r="E46" s="101" t="s">
        <v>493</v>
      </c>
      <c r="F46" s="102" t="s">
        <v>235</v>
      </c>
      <c r="G46" s="102" t="s">
        <v>238</v>
      </c>
      <c r="H46" s="102" t="s">
        <v>595</v>
      </c>
      <c r="I46" s="102" t="s">
        <v>596</v>
      </c>
      <c r="J46" s="102" t="s">
        <v>599</v>
      </c>
      <c r="K46" s="102" t="s">
        <v>237</v>
      </c>
      <c r="L46" s="102" t="s">
        <v>597</v>
      </c>
      <c r="M46" s="102" t="s">
        <v>236</v>
      </c>
      <c r="N46" s="147" t="s">
        <v>491</v>
      </c>
    </row>
    <row r="47" spans="1:46" s="79" customFormat="1" ht="11.25">
      <c r="A47" s="69" t="s">
        <v>71</v>
      </c>
      <c r="B47" s="69" t="s">
        <v>598</v>
      </c>
      <c r="C47" s="70"/>
      <c r="D47" s="71">
        <v>1</v>
      </c>
      <c r="E47" s="95" t="s">
        <v>73</v>
      </c>
      <c r="F47" s="56" t="s">
        <v>73</v>
      </c>
      <c r="G47" s="56" t="s">
        <v>238</v>
      </c>
      <c r="H47" s="56" t="s">
        <v>109</v>
      </c>
      <c r="I47" s="56" t="s">
        <v>168</v>
      </c>
      <c r="J47" s="56" t="s">
        <v>73</v>
      </c>
      <c r="K47" s="56" t="s">
        <v>237</v>
      </c>
      <c r="L47" s="56" t="s">
        <v>109</v>
      </c>
      <c r="M47" s="56" t="s">
        <v>236</v>
      </c>
      <c r="N47" s="86"/>
    </row>
    <row r="48" spans="1:46" s="102" customFormat="1" ht="6.75">
      <c r="A48" s="93" t="s">
        <v>68</v>
      </c>
      <c r="B48" s="93" t="s">
        <v>455</v>
      </c>
      <c r="C48" s="93" t="s">
        <v>443</v>
      </c>
      <c r="D48" s="93" t="s">
        <v>444</v>
      </c>
      <c r="E48" s="101" t="s">
        <v>493</v>
      </c>
      <c r="F48" s="147" t="s">
        <v>491</v>
      </c>
    </row>
    <row r="49" spans="1:59" s="79" customFormat="1" ht="11.25">
      <c r="A49" s="69" t="s">
        <v>71</v>
      </c>
      <c r="B49" s="69" t="s">
        <v>600</v>
      </c>
      <c r="C49" s="70"/>
      <c r="D49" s="71">
        <v>1</v>
      </c>
      <c r="E49" s="95" t="s">
        <v>73</v>
      </c>
      <c r="F49" s="86"/>
    </row>
    <row r="50" spans="1:59" s="103" customFormat="1" ht="6.75">
      <c r="A50" s="93" t="s">
        <v>68</v>
      </c>
      <c r="B50" s="93" t="s">
        <v>455</v>
      </c>
      <c r="C50" s="93" t="s">
        <v>443</v>
      </c>
      <c r="D50" s="93" t="s">
        <v>444</v>
      </c>
      <c r="E50" s="101" t="s">
        <v>493</v>
      </c>
      <c r="F50" s="103" t="s">
        <v>485</v>
      </c>
      <c r="G50" s="103" t="s">
        <v>484</v>
      </c>
      <c r="H50" s="103" t="s">
        <v>486</v>
      </c>
      <c r="I50" s="103" t="s">
        <v>487</v>
      </c>
      <c r="J50" s="103" t="s">
        <v>488</v>
      </c>
      <c r="K50" s="103" t="s">
        <v>489</v>
      </c>
      <c r="L50" s="103" t="s">
        <v>490</v>
      </c>
      <c r="M50" s="103" t="s">
        <v>528</v>
      </c>
      <c r="N50" s="103" t="s">
        <v>126</v>
      </c>
      <c r="O50" s="103" t="s">
        <v>127</v>
      </c>
      <c r="P50" s="103" t="s">
        <v>128</v>
      </c>
      <c r="Q50" s="103" t="s">
        <v>129</v>
      </c>
      <c r="R50" s="103" t="s">
        <v>130</v>
      </c>
      <c r="S50" s="103" t="s">
        <v>131</v>
      </c>
      <c r="T50" s="103" t="s">
        <v>132</v>
      </c>
      <c r="U50" s="103" t="s">
        <v>491</v>
      </c>
      <c r="V50" s="103" t="s">
        <v>517</v>
      </c>
      <c r="W50" s="103" t="s">
        <v>107</v>
      </c>
      <c r="X50" s="103" t="s">
        <v>103</v>
      </c>
      <c r="Y50" s="103" t="s">
        <v>104</v>
      </c>
      <c r="Z50" s="103" t="s">
        <v>105</v>
      </c>
      <c r="AA50" s="103" t="s">
        <v>106</v>
      </c>
      <c r="AB50" s="103" t="s">
        <v>760</v>
      </c>
      <c r="AC50" s="103" t="s">
        <v>272</v>
      </c>
      <c r="AD50" s="103" t="s">
        <v>273</v>
      </c>
      <c r="AE50" s="103" t="s">
        <v>274</v>
      </c>
      <c r="AF50" s="103" t="s">
        <v>271</v>
      </c>
      <c r="AG50" s="147" t="s">
        <v>491</v>
      </c>
    </row>
    <row r="51" spans="1:59" s="58" customFormat="1" ht="11.25" customHeight="1">
      <c r="A51" s="69" t="s">
        <v>71</v>
      </c>
      <c r="B51" s="69" t="s">
        <v>500</v>
      </c>
      <c r="C51" s="70" t="s">
        <v>77</v>
      </c>
      <c r="D51" s="71">
        <v>1</v>
      </c>
      <c r="E51" s="95" t="s">
        <v>73</v>
      </c>
      <c r="F51" s="61" t="s">
        <v>135</v>
      </c>
      <c r="G51" s="61"/>
      <c r="H51" s="61" t="s">
        <v>134</v>
      </c>
      <c r="I51" s="61"/>
      <c r="J51" s="61"/>
      <c r="K51" s="61" t="s">
        <v>134</v>
      </c>
      <c r="L51" s="46"/>
      <c r="M51" s="61"/>
      <c r="N51" s="61" t="s">
        <v>134</v>
      </c>
      <c r="O51" s="61"/>
      <c r="P51" s="61"/>
      <c r="Q51" s="61" t="s">
        <v>134</v>
      </c>
      <c r="R51" s="61"/>
      <c r="S51" s="61"/>
      <c r="T51" s="61" t="s">
        <v>73</v>
      </c>
      <c r="U51" s="61"/>
      <c r="V51" s="61"/>
      <c r="W51" s="148"/>
      <c r="X51" s="148"/>
      <c r="Y51" s="148"/>
      <c r="Z51" s="148"/>
      <c r="AA51" s="148"/>
      <c r="AB51" s="148"/>
      <c r="AC51" s="149"/>
      <c r="AD51" s="149"/>
      <c r="AE51" s="149"/>
      <c r="AF51" s="149"/>
      <c r="AG51" s="86"/>
    </row>
    <row r="52" spans="1:59" s="108" customFormat="1" ht="6.75">
      <c r="A52" s="106" t="s">
        <v>68</v>
      </c>
      <c r="B52" s="106" t="s">
        <v>455</v>
      </c>
      <c r="C52" s="93" t="s">
        <v>443</v>
      </c>
      <c r="D52" s="93" t="s">
        <v>444</v>
      </c>
      <c r="E52" s="107" t="s">
        <v>493</v>
      </c>
      <c r="F52" s="108" t="s">
        <v>819</v>
      </c>
      <c r="G52" s="108" t="s">
        <v>821</v>
      </c>
      <c r="H52" s="147" t="s">
        <v>491</v>
      </c>
    </row>
    <row r="53" spans="1:59" s="88" customFormat="1" ht="10.5" customHeight="1">
      <c r="A53" s="134" t="s">
        <v>71</v>
      </c>
      <c r="B53" s="134" t="s">
        <v>820</v>
      </c>
      <c r="C53" s="130"/>
      <c r="D53" s="83">
        <v>1</v>
      </c>
      <c r="E53" s="96" t="s">
        <v>73</v>
      </c>
      <c r="F53" s="86" t="s">
        <v>73</v>
      </c>
      <c r="G53" s="86" t="s">
        <v>73</v>
      </c>
      <c r="H53" s="86"/>
      <c r="I53" s="86"/>
      <c r="J53" s="86"/>
      <c r="K53" s="86"/>
      <c r="L53" s="86"/>
      <c r="M53" s="86"/>
      <c r="N53" s="86"/>
      <c r="O53" s="86"/>
      <c r="P53" s="86"/>
      <c r="Q53" s="86"/>
      <c r="R53" s="86"/>
      <c r="S53" s="86"/>
      <c r="T53" s="86"/>
      <c r="U53" s="86"/>
      <c r="V53" s="131"/>
      <c r="W53" s="86"/>
      <c r="X53" s="86"/>
      <c r="AE53" s="86"/>
      <c r="AG53" s="86"/>
    </row>
    <row r="54" spans="1:59" s="147" customFormat="1" ht="6.75">
      <c r="A54" s="147" t="s">
        <v>68</v>
      </c>
      <c r="B54" s="147" t="s">
        <v>455</v>
      </c>
      <c r="C54" s="102" t="s">
        <v>443</v>
      </c>
      <c r="D54" s="102" t="s">
        <v>444</v>
      </c>
      <c r="E54" s="147" t="s">
        <v>493</v>
      </c>
      <c r="F54" s="147" t="s">
        <v>526</v>
      </c>
      <c r="G54" s="153" t="s">
        <v>811</v>
      </c>
      <c r="H54" s="153" t="s">
        <v>842</v>
      </c>
      <c r="I54" s="147" t="s">
        <v>471</v>
      </c>
      <c r="J54" s="147" t="s">
        <v>491</v>
      </c>
    </row>
    <row r="55" spans="1:59" s="88" customFormat="1" ht="10.5" customHeight="1">
      <c r="A55" s="134" t="s">
        <v>71</v>
      </c>
      <c r="B55" s="134" t="s">
        <v>822</v>
      </c>
      <c r="C55" s="130"/>
      <c r="D55" s="83">
        <v>1</v>
      </c>
      <c r="E55" s="96" t="s">
        <v>73</v>
      </c>
      <c r="F55" s="86" t="s">
        <v>73</v>
      </c>
      <c r="G55" s="86"/>
      <c r="H55" s="86" t="s">
        <v>843</v>
      </c>
      <c r="I55" s="86" t="s">
        <v>812</v>
      </c>
      <c r="J55" s="86"/>
      <c r="K55" s="86"/>
      <c r="L55" s="86"/>
      <c r="M55" s="86"/>
      <c r="N55" s="86"/>
      <c r="O55" s="86"/>
      <c r="P55" s="86"/>
      <c r="Q55" s="86"/>
      <c r="R55" s="86"/>
      <c r="S55" s="86"/>
      <c r="T55" s="86"/>
      <c r="U55" s="86"/>
      <c r="V55" s="86"/>
      <c r="W55" s="86"/>
      <c r="X55" s="86"/>
      <c r="Y55" s="86"/>
      <c r="Z55" s="131"/>
      <c r="AA55" s="86"/>
      <c r="AB55" s="86"/>
      <c r="AI55" s="86"/>
      <c r="AK55" s="86"/>
    </row>
    <row r="56" spans="1:59" s="102" customFormat="1" ht="6.75">
      <c r="A56" s="93" t="s">
        <v>68</v>
      </c>
      <c r="B56" s="93" t="s">
        <v>455</v>
      </c>
      <c r="C56" s="93" t="s">
        <v>443</v>
      </c>
      <c r="D56" s="93" t="s">
        <v>444</v>
      </c>
      <c r="E56" s="101" t="s">
        <v>493</v>
      </c>
      <c r="F56" s="102" t="s">
        <v>136</v>
      </c>
      <c r="G56" s="102" t="s">
        <v>137</v>
      </c>
      <c r="H56" s="102" t="s">
        <v>225</v>
      </c>
      <c r="I56" s="102" t="s">
        <v>226</v>
      </c>
      <c r="J56" s="102" t="s">
        <v>222</v>
      </c>
      <c r="K56" s="102" t="s">
        <v>223</v>
      </c>
      <c r="L56" s="102" t="s">
        <v>83</v>
      </c>
      <c r="M56" s="102" t="s">
        <v>101</v>
      </c>
      <c r="N56" s="102" t="s">
        <v>224</v>
      </c>
      <c r="O56" s="102" t="s">
        <v>138</v>
      </c>
      <c r="P56" s="102" t="s">
        <v>139</v>
      </c>
      <c r="Q56" s="102" t="s">
        <v>141</v>
      </c>
      <c r="R56" s="102" t="s">
        <v>227</v>
      </c>
      <c r="S56" s="102" t="s">
        <v>228</v>
      </c>
      <c r="T56" s="102" t="s">
        <v>229</v>
      </c>
      <c r="U56" s="102" t="s">
        <v>142</v>
      </c>
      <c r="V56" s="102" t="s">
        <v>143</v>
      </c>
      <c r="W56" s="102" t="s">
        <v>230</v>
      </c>
      <c r="X56" s="103" t="s">
        <v>491</v>
      </c>
    </row>
    <row r="57" spans="1:59" s="166" customFormat="1" ht="11.25">
      <c r="A57" s="161" t="s">
        <v>68</v>
      </c>
      <c r="B57" s="161" t="s">
        <v>601</v>
      </c>
      <c r="C57" s="162"/>
      <c r="D57" s="163">
        <v>1</v>
      </c>
      <c r="E57" s="164" t="s">
        <v>73</v>
      </c>
      <c r="F57" s="165" t="s">
        <v>73</v>
      </c>
      <c r="G57" s="165" t="str">
        <f ca="1">(INDIRECT("'Data'!S"&amp;($C$1))) &amp; " Smart Notes"</f>
        <v>Prev_RA-648 Smart Notes</v>
      </c>
      <c r="H57" s="165"/>
      <c r="I57" s="165"/>
      <c r="J57" s="165"/>
      <c r="K57" s="165"/>
      <c r="L57" s="165"/>
      <c r="M57" s="165" t="s">
        <v>77</v>
      </c>
      <c r="N57" s="165" t="s">
        <v>77</v>
      </c>
      <c r="O57" s="165" t="s">
        <v>77</v>
      </c>
      <c r="P57" s="165" t="s">
        <v>77</v>
      </c>
      <c r="Q57" s="165"/>
      <c r="R57" s="165"/>
      <c r="S57" s="165"/>
      <c r="T57" s="165"/>
      <c r="U57" s="165"/>
      <c r="X57" s="165"/>
    </row>
    <row r="58" spans="1:59" s="108" customFormat="1" ht="6.75">
      <c r="A58" s="144" t="s">
        <v>68</v>
      </c>
      <c r="B58" s="144" t="s">
        <v>455</v>
      </c>
      <c r="C58" s="93" t="s">
        <v>443</v>
      </c>
      <c r="D58" s="93" t="s">
        <v>444</v>
      </c>
      <c r="E58" s="107" t="s">
        <v>493</v>
      </c>
      <c r="F58" s="147" t="s">
        <v>491</v>
      </c>
    </row>
    <row r="59" spans="1:59" s="172" customFormat="1" ht="10.5" customHeight="1">
      <c r="A59" s="167" t="s">
        <v>71</v>
      </c>
      <c r="B59" s="167" t="s">
        <v>761</v>
      </c>
      <c r="C59" s="168"/>
      <c r="D59" s="163">
        <v>1</v>
      </c>
      <c r="E59" s="169" t="s">
        <v>73</v>
      </c>
      <c r="F59" s="170"/>
      <c r="G59" s="170"/>
      <c r="H59" s="170"/>
      <c r="I59" s="170"/>
      <c r="J59" s="170"/>
      <c r="K59" s="170"/>
      <c r="L59" s="170"/>
      <c r="M59" s="170"/>
      <c r="N59" s="170"/>
      <c r="O59" s="170"/>
      <c r="P59" s="170"/>
      <c r="Q59" s="170"/>
      <c r="R59" s="170"/>
      <c r="S59" s="170"/>
      <c r="T59" s="170"/>
      <c r="U59" s="170"/>
      <c r="V59" s="170"/>
      <c r="W59" s="170"/>
      <c r="X59" s="171"/>
      <c r="Y59" s="170"/>
      <c r="Z59" s="170"/>
      <c r="AG59" s="170"/>
      <c r="AI59" s="170"/>
    </row>
    <row r="60" spans="1:59" s="108" customFormat="1" ht="6.75">
      <c r="A60" s="144" t="s">
        <v>68</v>
      </c>
      <c r="B60" s="144" t="s">
        <v>455</v>
      </c>
      <c r="C60" s="93" t="s">
        <v>443</v>
      </c>
      <c r="D60" s="93" t="s">
        <v>444</v>
      </c>
      <c r="E60" s="107" t="s">
        <v>493</v>
      </c>
      <c r="F60" s="108" t="s">
        <v>823</v>
      </c>
      <c r="G60" s="108" t="s">
        <v>824</v>
      </c>
      <c r="H60" s="108" t="s">
        <v>223</v>
      </c>
      <c r="I60" s="108" t="s">
        <v>825</v>
      </c>
      <c r="J60" s="147" t="s">
        <v>491</v>
      </c>
    </row>
    <row r="61" spans="1:59" s="172" customFormat="1" ht="10.5" customHeight="1">
      <c r="A61" s="167" t="s">
        <v>71</v>
      </c>
      <c r="B61" s="167" t="s">
        <v>762</v>
      </c>
      <c r="C61" s="168"/>
      <c r="D61" s="163">
        <v>1</v>
      </c>
      <c r="E61" s="169" t="s">
        <v>73</v>
      </c>
      <c r="F61" s="170" t="s">
        <v>73</v>
      </c>
      <c r="G61" s="170" t="s">
        <v>75</v>
      </c>
      <c r="H61" s="170"/>
      <c r="I61" s="170"/>
      <c r="J61" s="170"/>
      <c r="K61" s="170"/>
      <c r="L61" s="170"/>
      <c r="M61" s="170"/>
      <c r="N61" s="170"/>
      <c r="O61" s="170"/>
      <c r="P61" s="170"/>
      <c r="Q61" s="170"/>
      <c r="R61" s="170"/>
      <c r="S61" s="170"/>
      <c r="T61" s="170"/>
      <c r="U61" s="170"/>
      <c r="V61" s="170"/>
      <c r="W61" s="170"/>
      <c r="X61" s="170"/>
      <c r="Y61" s="170"/>
      <c r="Z61" s="171"/>
      <c r="AA61" s="170"/>
      <c r="AB61" s="170"/>
      <c r="AI61" s="170"/>
      <c r="AK61" s="170"/>
    </row>
    <row r="62" spans="1:59" s="112" customFormat="1" ht="6.75">
      <c r="A62" s="93" t="s">
        <v>68</v>
      </c>
      <c r="B62" s="93" t="s">
        <v>455</v>
      </c>
      <c r="C62" s="93" t="s">
        <v>443</v>
      </c>
      <c r="D62" s="93" t="s">
        <v>444</v>
      </c>
      <c r="E62" s="101" t="s">
        <v>493</v>
      </c>
      <c r="F62" s="112" t="s">
        <v>569</v>
      </c>
      <c r="G62" s="112" t="s">
        <v>116</v>
      </c>
      <c r="H62" s="112" t="s">
        <v>117</v>
      </c>
      <c r="I62" s="112" t="s">
        <v>118</v>
      </c>
      <c r="J62" s="112" t="s">
        <v>123</v>
      </c>
      <c r="K62" s="112" t="s">
        <v>119</v>
      </c>
      <c r="L62" s="112" t="s">
        <v>221</v>
      </c>
      <c r="M62" s="112" t="s">
        <v>232</v>
      </c>
      <c r="N62" s="112" t="s">
        <v>603</v>
      </c>
      <c r="O62" s="112" t="s">
        <v>177</v>
      </c>
      <c r="P62" s="112" t="s">
        <v>169</v>
      </c>
      <c r="Q62" s="112" t="s">
        <v>170</v>
      </c>
      <c r="R62" s="112" t="s">
        <v>327</v>
      </c>
      <c r="S62" s="112" t="s">
        <v>328</v>
      </c>
      <c r="T62" s="112" t="s">
        <v>329</v>
      </c>
      <c r="U62" s="112" t="s">
        <v>329</v>
      </c>
      <c r="V62" s="112" t="s">
        <v>173</v>
      </c>
      <c r="W62" s="112" t="s">
        <v>174</v>
      </c>
      <c r="X62" s="112" t="s">
        <v>175</v>
      </c>
      <c r="Y62" s="112" t="s">
        <v>176</v>
      </c>
      <c r="Z62" s="112" t="s">
        <v>605</v>
      </c>
      <c r="AA62" s="112" t="s">
        <v>606</v>
      </c>
      <c r="AB62" s="112" t="s">
        <v>609</v>
      </c>
      <c r="AC62" s="112" t="s">
        <v>181</v>
      </c>
      <c r="AD62" s="112" t="s">
        <v>182</v>
      </c>
      <c r="AE62" s="112" t="s">
        <v>183</v>
      </c>
      <c r="AF62" s="112" t="s">
        <v>184</v>
      </c>
      <c r="AG62" s="112" t="s">
        <v>185</v>
      </c>
      <c r="AH62" s="112" t="s">
        <v>604</v>
      </c>
      <c r="AI62" s="112" t="s">
        <v>187</v>
      </c>
      <c r="AJ62" s="112" t="s">
        <v>607</v>
      </c>
      <c r="AK62" s="112" t="s">
        <v>608</v>
      </c>
      <c r="AL62" s="112" t="s">
        <v>198</v>
      </c>
      <c r="AM62" s="112" t="s">
        <v>199</v>
      </c>
      <c r="AN62" s="112" t="s">
        <v>200</v>
      </c>
      <c r="AO62" s="112" t="s">
        <v>610</v>
      </c>
      <c r="AP62" s="112" t="s">
        <v>611</v>
      </c>
      <c r="AQ62" s="112" t="s">
        <v>612</v>
      </c>
      <c r="AR62" s="112" t="s">
        <v>613</v>
      </c>
      <c r="AS62" s="112" t="s">
        <v>194</v>
      </c>
      <c r="AT62" s="112" t="s">
        <v>195</v>
      </c>
      <c r="AU62" s="112" t="s">
        <v>196</v>
      </c>
      <c r="AV62" s="112" t="s">
        <v>197</v>
      </c>
      <c r="AW62" s="112" t="s">
        <v>107</v>
      </c>
      <c r="AX62" s="112" t="s">
        <v>103</v>
      </c>
      <c r="AY62" s="112" t="s">
        <v>104</v>
      </c>
      <c r="AZ62" s="112" t="s">
        <v>105</v>
      </c>
      <c r="BA62" s="112" t="s">
        <v>106</v>
      </c>
      <c r="BB62" s="112" t="s">
        <v>266</v>
      </c>
      <c r="BC62" s="112" t="s">
        <v>272</v>
      </c>
      <c r="BD62" s="112" t="s">
        <v>273</v>
      </c>
      <c r="BE62" s="112" t="s">
        <v>274</v>
      </c>
      <c r="BF62" s="112" t="s">
        <v>271</v>
      </c>
      <c r="BG62" s="147" t="s">
        <v>491</v>
      </c>
    </row>
    <row r="63" spans="1:59" s="58" customFormat="1" ht="11.25">
      <c r="A63" s="69" t="s">
        <v>71</v>
      </c>
      <c r="B63" s="69" t="s">
        <v>602</v>
      </c>
      <c r="C63" s="70"/>
      <c r="D63" s="71">
        <v>1</v>
      </c>
      <c r="E63" s="97" t="s">
        <v>73</v>
      </c>
      <c r="F63" s="90" t="s">
        <v>73</v>
      </c>
      <c r="G63" s="91" t="s">
        <v>75</v>
      </c>
      <c r="H63" s="91" t="s">
        <v>77</v>
      </c>
      <c r="I63" s="91" t="s">
        <v>77</v>
      </c>
      <c r="J63" s="91" t="s">
        <v>73</v>
      </c>
      <c r="K63" s="91" t="s">
        <v>120</v>
      </c>
      <c r="L63" s="91">
        <v>1</v>
      </c>
      <c r="M63" s="91" t="s">
        <v>233</v>
      </c>
      <c r="N63" s="91" t="str">
        <f ca="1">(INDIRECT("'Data'!AZ"&amp;($C$1)))</f>
        <v>LU4 9RY</v>
      </c>
      <c r="O63" s="91" t="str">
        <f ca="1">(INDIRECT("'Data'!CL"&amp;($C$1)))</f>
        <v>false</v>
      </c>
      <c r="P63" s="91">
        <f ca="1">(INDIRECT("'Data'!AS"&amp;($C$1)))</f>
        <v>0</v>
      </c>
      <c r="Q63" s="91">
        <f ca="1">(INDIRECT("'Data'!AR"&amp;($C$1)))</f>
        <v>0</v>
      </c>
      <c r="R63" s="61" t="str">
        <f ca="1">(INDIRECT("'Data'!CM"&amp;($C$1)))</f>
        <v>true</v>
      </c>
      <c r="S63" s="91" t="s">
        <v>77</v>
      </c>
      <c r="T63" s="91"/>
      <c r="U63" s="91"/>
      <c r="V63" s="91" t="str">
        <f ca="1">(INDIRECT("'Data'!CN"&amp;($C$1)))</f>
        <v>EXCHANGE GAS METER TO SECURE SMART CREDIT</v>
      </c>
      <c r="W63" s="91"/>
      <c r="X63" s="91"/>
      <c r="Y63" s="91"/>
      <c r="Z63" s="61">
        <v>12345</v>
      </c>
      <c r="AA63" s="61" t="s">
        <v>164</v>
      </c>
      <c r="AB63" s="61" t="s">
        <v>234</v>
      </c>
      <c r="AC63" s="91" t="s">
        <v>77</v>
      </c>
      <c r="AD63" s="91">
        <v>1</v>
      </c>
      <c r="AE63" s="91"/>
      <c r="AF63" s="91"/>
      <c r="AG63" s="91"/>
      <c r="AH63" s="58" t="s">
        <v>163</v>
      </c>
      <c r="AI63" s="90"/>
      <c r="AJ63" s="58" t="s">
        <v>75</v>
      </c>
      <c r="AL63" s="90"/>
      <c r="AM63" s="90"/>
      <c r="AN63" s="90"/>
      <c r="AS63" s="90"/>
      <c r="AT63" s="90"/>
      <c r="AU63" s="90"/>
      <c r="AV63" s="90" t="s">
        <v>73</v>
      </c>
      <c r="AW63" s="90"/>
      <c r="AX63" s="90"/>
      <c r="AY63" s="90"/>
      <c r="AZ63" s="90"/>
      <c r="BA63" s="90"/>
      <c r="BB63" s="91" t="str">
        <f ca="1">(INDIRECT("'Data'!CO"&amp;($C$1)))</f>
        <v>GAS_JOB_ID-648</v>
      </c>
      <c r="BC63" s="90" t="s">
        <v>73</v>
      </c>
      <c r="BD63" s="90" t="s">
        <v>270</v>
      </c>
      <c r="BE63" s="90" t="s">
        <v>73</v>
      </c>
      <c r="BF63" s="90" t="s">
        <v>73</v>
      </c>
      <c r="BG63" s="86"/>
    </row>
    <row r="64" spans="1:59" s="112" customFormat="1" ht="6.75">
      <c r="A64" s="93" t="s">
        <v>68</v>
      </c>
      <c r="B64" s="93" t="s">
        <v>455</v>
      </c>
      <c r="C64" s="93" t="s">
        <v>443</v>
      </c>
      <c r="D64" s="93" t="s">
        <v>444</v>
      </c>
      <c r="E64" s="101" t="s">
        <v>493</v>
      </c>
      <c r="F64" s="112" t="s">
        <v>616</v>
      </c>
      <c r="G64" s="112" t="s">
        <v>617</v>
      </c>
      <c r="H64" s="112" t="s">
        <v>619</v>
      </c>
      <c r="I64" s="112" t="s">
        <v>622</v>
      </c>
      <c r="J64" s="112" t="s">
        <v>618</v>
      </c>
      <c r="K64" s="112" t="s">
        <v>239</v>
      </c>
      <c r="L64" s="112" t="s">
        <v>615</v>
      </c>
      <c r="M64" s="113" t="s">
        <v>491</v>
      </c>
    </row>
    <row r="65" spans="1:32" s="58" customFormat="1" ht="11.25" customHeight="1">
      <c r="A65" s="69" t="s">
        <v>71</v>
      </c>
      <c r="B65" s="69" t="s">
        <v>614</v>
      </c>
      <c r="C65" s="70"/>
      <c r="D65" s="92">
        <v>1</v>
      </c>
      <c r="E65" s="95" t="s">
        <v>73</v>
      </c>
      <c r="F65" s="48" t="str">
        <f ca="1">(INDIRECT("'Data'!CQ"&amp;($C$1)))</f>
        <v>10000648</v>
      </c>
      <c r="G65" s="48" t="str">
        <f ca="1">(INDIRECT("'Data'!CT"&amp;($C$1)))</f>
        <v>GMETER648</v>
      </c>
      <c r="H65" s="48" t="str">
        <f ca="1">(INDIRECT("'Data'!DB"&amp;($C$1)))</f>
        <v>GAS_INST_ID-648</v>
      </c>
      <c r="I65" s="48" t="str">
        <f ca="1">(INDIRECT("'Data'!DC"&amp;($C$1)))</f>
        <v>H</v>
      </c>
      <c r="J65" s="58" t="s">
        <v>704</v>
      </c>
      <c r="K65" s="58" t="s">
        <v>73</v>
      </c>
      <c r="L65" s="58" t="s">
        <v>623</v>
      </c>
      <c r="M65" s="56" t="s">
        <v>492</v>
      </c>
    </row>
    <row r="66" spans="1:32" s="112" customFormat="1" ht="6.75">
      <c r="A66" s="93" t="s">
        <v>68</v>
      </c>
      <c r="B66" s="93" t="s">
        <v>69</v>
      </c>
      <c r="C66" s="93" t="s">
        <v>70</v>
      </c>
      <c r="D66" s="93" t="s">
        <v>444</v>
      </c>
      <c r="E66" s="101" t="s">
        <v>493</v>
      </c>
      <c r="F66" s="112" t="s">
        <v>633</v>
      </c>
      <c r="G66" s="112" t="s">
        <v>634</v>
      </c>
      <c r="H66" s="147" t="s">
        <v>491</v>
      </c>
      <c r="I66" s="112" t="s">
        <v>77</v>
      </c>
      <c r="J66" s="112" t="s">
        <v>77</v>
      </c>
      <c r="K66" s="112" t="s">
        <v>77</v>
      </c>
      <c r="L66" s="112" t="s">
        <v>77</v>
      </c>
      <c r="M66" s="112" t="s">
        <v>77</v>
      </c>
      <c r="N66" s="112" t="s">
        <v>77</v>
      </c>
    </row>
    <row r="67" spans="1:32" s="58" customFormat="1" ht="11.25" customHeight="1">
      <c r="A67" s="119" t="s">
        <v>71</v>
      </c>
      <c r="B67" s="119" t="s">
        <v>621</v>
      </c>
      <c r="C67" s="120"/>
      <c r="D67" s="83">
        <v>1</v>
      </c>
      <c r="E67" s="95" t="s">
        <v>73</v>
      </c>
      <c r="F67" s="58" t="s">
        <v>120</v>
      </c>
      <c r="G67" s="60" t="s">
        <v>73</v>
      </c>
      <c r="H67" s="86"/>
      <c r="I67" s="61" t="s">
        <v>77</v>
      </c>
      <c r="J67" s="58" t="s">
        <v>77</v>
      </c>
      <c r="K67" s="58" t="s">
        <v>77</v>
      </c>
      <c r="L67" s="58" t="s">
        <v>77</v>
      </c>
      <c r="M67" s="58" t="s">
        <v>77</v>
      </c>
      <c r="N67" s="58" t="s">
        <v>77</v>
      </c>
    </row>
    <row r="68" spans="1:32" s="112" customFormat="1" ht="6.75">
      <c r="A68" s="93" t="s">
        <v>68</v>
      </c>
      <c r="B68" s="174" t="s">
        <v>69</v>
      </c>
      <c r="C68" s="93" t="s">
        <v>70</v>
      </c>
      <c r="D68" s="93" t="s">
        <v>444</v>
      </c>
      <c r="E68" s="101" t="s">
        <v>493</v>
      </c>
      <c r="F68" s="112" t="s">
        <v>636</v>
      </c>
      <c r="G68" s="112" t="s">
        <v>245</v>
      </c>
      <c r="H68" s="112" t="s">
        <v>243</v>
      </c>
      <c r="I68" s="112" t="s">
        <v>244</v>
      </c>
      <c r="J68" s="147" t="s">
        <v>491</v>
      </c>
    </row>
    <row r="69" spans="1:32" s="58" customFormat="1" ht="11.25" customHeight="1">
      <c r="A69" s="119" t="s">
        <v>71</v>
      </c>
      <c r="B69" s="119" t="s">
        <v>635</v>
      </c>
      <c r="C69" s="120" t="s">
        <v>77</v>
      </c>
      <c r="D69" s="83">
        <v>1</v>
      </c>
      <c r="E69" s="95" t="s">
        <v>73</v>
      </c>
      <c r="F69" s="61">
        <v>888888</v>
      </c>
      <c r="G69" s="61"/>
      <c r="H69" s="61"/>
      <c r="I69" s="61"/>
      <c r="J69" s="86"/>
      <c r="K69" s="61"/>
      <c r="L69" s="61"/>
      <c r="M69" s="60"/>
    </row>
    <row r="70" spans="1:32" s="112" customFormat="1" ht="6.75">
      <c r="A70" s="93" t="s">
        <v>68</v>
      </c>
      <c r="B70" s="93" t="s">
        <v>69</v>
      </c>
      <c r="C70" s="93" t="s">
        <v>70</v>
      </c>
      <c r="D70" s="93" t="s">
        <v>444</v>
      </c>
      <c r="E70" s="101" t="s">
        <v>493</v>
      </c>
      <c r="F70" s="112" t="s">
        <v>638</v>
      </c>
      <c r="G70" s="112" t="s">
        <v>639</v>
      </c>
      <c r="H70" s="112" t="s">
        <v>640</v>
      </c>
      <c r="I70" s="112" t="s">
        <v>576</v>
      </c>
      <c r="J70" s="147" t="s">
        <v>491</v>
      </c>
    </row>
    <row r="71" spans="1:32" s="58" customFormat="1" ht="11.25" customHeight="1">
      <c r="A71" s="119" t="s">
        <v>71</v>
      </c>
      <c r="B71" s="119" t="s">
        <v>637</v>
      </c>
      <c r="C71" s="120"/>
      <c r="D71" s="118">
        <v>1</v>
      </c>
      <c r="E71" s="95" t="s">
        <v>73</v>
      </c>
      <c r="F71" s="61" t="str">
        <f ca="1">("G00G"&amp;RIGHT(F11,6))</f>
        <v>G00G0</v>
      </c>
      <c r="G71" s="61" t="s">
        <v>763</v>
      </c>
      <c r="H71" s="61" t="s">
        <v>813</v>
      </c>
      <c r="I71" s="61" t="s">
        <v>324</v>
      </c>
      <c r="J71" s="86"/>
    </row>
    <row r="72" spans="1:32" s="112" customFormat="1" ht="6.75">
      <c r="A72" s="93" t="s">
        <v>68</v>
      </c>
      <c r="B72" s="93" t="s">
        <v>69</v>
      </c>
      <c r="C72" s="93" t="s">
        <v>70</v>
      </c>
      <c r="D72" s="93" t="s">
        <v>444</v>
      </c>
      <c r="E72" s="101" t="s">
        <v>493</v>
      </c>
      <c r="F72" s="112" t="s">
        <v>644</v>
      </c>
      <c r="G72" s="112" t="s">
        <v>645</v>
      </c>
      <c r="H72" s="112" t="s">
        <v>646</v>
      </c>
      <c r="I72" s="147" t="s">
        <v>491</v>
      </c>
    </row>
    <row r="73" spans="1:32" s="58" customFormat="1" ht="11.25" customHeight="1">
      <c r="A73" s="119" t="s">
        <v>71</v>
      </c>
      <c r="B73" s="119" t="s">
        <v>641</v>
      </c>
      <c r="C73" s="120"/>
      <c r="D73" s="83">
        <v>1</v>
      </c>
      <c r="E73" s="95" t="s">
        <v>73</v>
      </c>
      <c r="F73" s="58" t="s">
        <v>705</v>
      </c>
      <c r="I73" s="86"/>
    </row>
    <row r="74" spans="1:32" s="102" customFormat="1" ht="6.75">
      <c r="A74" s="102" t="s">
        <v>68</v>
      </c>
      <c r="B74" s="102" t="s">
        <v>69</v>
      </c>
      <c r="C74" s="102" t="s">
        <v>70</v>
      </c>
      <c r="D74" s="102" t="s">
        <v>444</v>
      </c>
      <c r="E74" s="102" t="s">
        <v>493</v>
      </c>
      <c r="F74" s="102" t="s">
        <v>649</v>
      </c>
      <c r="G74" s="102" t="s">
        <v>650</v>
      </c>
      <c r="H74" s="102" t="s">
        <v>651</v>
      </c>
      <c r="I74" s="102" t="s">
        <v>491</v>
      </c>
    </row>
    <row r="75" spans="1:32" s="58" customFormat="1" ht="11.25" customHeight="1">
      <c r="A75" s="119" t="s">
        <v>71</v>
      </c>
      <c r="B75" s="119" t="s">
        <v>648</v>
      </c>
      <c r="C75" s="120" t="s">
        <v>325</v>
      </c>
      <c r="D75" s="83">
        <v>1</v>
      </c>
      <c r="E75" s="95" t="s">
        <v>73</v>
      </c>
      <c r="F75" s="58" t="s">
        <v>73</v>
      </c>
      <c r="G75" s="58" t="s">
        <v>653</v>
      </c>
      <c r="H75" s="58" t="s">
        <v>65</v>
      </c>
      <c r="I75" s="56"/>
    </row>
    <row r="76" spans="1:32" s="102" customFormat="1" ht="6.75">
      <c r="A76" s="102" t="s">
        <v>68</v>
      </c>
      <c r="B76" s="102" t="s">
        <v>69</v>
      </c>
      <c r="C76" s="102" t="s">
        <v>70</v>
      </c>
      <c r="D76" s="102" t="s">
        <v>444</v>
      </c>
      <c r="E76" s="102" t="s">
        <v>493</v>
      </c>
      <c r="F76" s="102" t="s">
        <v>249</v>
      </c>
      <c r="G76" s="102" t="s">
        <v>250</v>
      </c>
      <c r="H76" s="102" t="s">
        <v>251</v>
      </c>
      <c r="I76" s="102" t="s">
        <v>252</v>
      </c>
      <c r="J76" s="102" t="s">
        <v>654</v>
      </c>
      <c r="K76" s="102" t="s">
        <v>655</v>
      </c>
      <c r="L76" s="102" t="s">
        <v>656</v>
      </c>
      <c r="M76" s="102" t="s">
        <v>553</v>
      </c>
      <c r="N76" s="102" t="s">
        <v>657</v>
      </c>
      <c r="O76" s="102" t="s">
        <v>658</v>
      </c>
      <c r="P76" s="102" t="s">
        <v>659</v>
      </c>
      <c r="Q76" s="102" t="s">
        <v>661</v>
      </c>
      <c r="R76" s="102" t="s">
        <v>662</v>
      </c>
      <c r="S76" s="102" t="s">
        <v>663</v>
      </c>
      <c r="T76" s="102" t="s">
        <v>664</v>
      </c>
      <c r="U76" s="102" t="s">
        <v>223</v>
      </c>
      <c r="V76" s="102" t="s">
        <v>640</v>
      </c>
      <c r="W76" s="102" t="s">
        <v>665</v>
      </c>
      <c r="X76" s="102" t="s">
        <v>666</v>
      </c>
      <c r="Y76" s="102" t="s">
        <v>667</v>
      </c>
      <c r="Z76" s="102" t="s">
        <v>668</v>
      </c>
      <c r="AA76" s="102" t="s">
        <v>669</v>
      </c>
      <c r="AB76" s="102" t="s">
        <v>670</v>
      </c>
      <c r="AC76" s="102" t="s">
        <v>671</v>
      </c>
      <c r="AD76" s="102" t="s">
        <v>672</v>
      </c>
      <c r="AE76" s="102" t="s">
        <v>660</v>
      </c>
      <c r="AF76" s="147" t="s">
        <v>491</v>
      </c>
    </row>
    <row r="77" spans="1:32" s="58" customFormat="1" ht="11.25">
      <c r="A77" s="119" t="s">
        <v>71</v>
      </c>
      <c r="B77" s="119" t="s">
        <v>652</v>
      </c>
      <c r="C77" s="120" t="s">
        <v>77</v>
      </c>
      <c r="D77" s="118">
        <v>1</v>
      </c>
      <c r="E77" s="95" t="s">
        <v>73</v>
      </c>
      <c r="F77" s="61" t="s">
        <v>75</v>
      </c>
      <c r="G77" s="61"/>
      <c r="H77" s="61"/>
      <c r="I77" s="61" t="s">
        <v>253</v>
      </c>
      <c r="J77" s="60" t="s">
        <v>75</v>
      </c>
      <c r="K77" s="60"/>
      <c r="L77" s="60"/>
      <c r="M77" s="60"/>
      <c r="N77" s="60"/>
      <c r="O77" s="60"/>
      <c r="P77" s="61" t="s">
        <v>75</v>
      </c>
      <c r="Q77" s="61"/>
      <c r="R77" s="61"/>
      <c r="S77" s="61" t="s">
        <v>73</v>
      </c>
      <c r="T77" s="61"/>
      <c r="U77" s="61"/>
      <c r="V77" s="61"/>
      <c r="W77" s="61" t="s">
        <v>73</v>
      </c>
      <c r="X77" s="61" t="s">
        <v>259</v>
      </c>
      <c r="Y77" s="61"/>
      <c r="Z77" s="61"/>
      <c r="AA77" s="61"/>
      <c r="AB77" s="61"/>
      <c r="AC77" s="61"/>
      <c r="AD77" s="61"/>
      <c r="AE77" s="61"/>
      <c r="AF77" s="86"/>
    </row>
    <row r="78" spans="1:32" s="102" customFormat="1" ht="6.75">
      <c r="A78" s="102" t="s">
        <v>68</v>
      </c>
      <c r="B78" s="102" t="s">
        <v>69</v>
      </c>
      <c r="C78" s="102" t="s">
        <v>70</v>
      </c>
      <c r="D78" s="102" t="s">
        <v>444</v>
      </c>
      <c r="E78" s="102" t="s">
        <v>493</v>
      </c>
      <c r="F78" s="102" t="s">
        <v>683</v>
      </c>
      <c r="G78" s="102" t="s">
        <v>684</v>
      </c>
      <c r="H78" s="102" t="s">
        <v>685</v>
      </c>
      <c r="I78" s="102" t="s">
        <v>1</v>
      </c>
      <c r="J78" s="102" t="s">
        <v>2</v>
      </c>
      <c r="K78" s="102" t="s">
        <v>3</v>
      </c>
      <c r="L78" s="102" t="s">
        <v>688</v>
      </c>
      <c r="M78" s="102" t="s">
        <v>687</v>
      </c>
      <c r="N78" s="102" t="s">
        <v>686</v>
      </c>
      <c r="O78" s="102" t="s">
        <v>676</v>
      </c>
      <c r="P78" s="102" t="s">
        <v>689</v>
      </c>
      <c r="Q78" s="102" t="s">
        <v>691</v>
      </c>
      <c r="R78" s="102" t="s">
        <v>692</v>
      </c>
      <c r="S78" s="102" t="s">
        <v>693</v>
      </c>
      <c r="T78" s="102" t="s">
        <v>694</v>
      </c>
      <c r="U78" s="102" t="s">
        <v>695</v>
      </c>
      <c r="V78" s="102" t="s">
        <v>696</v>
      </c>
      <c r="W78" s="102" t="s">
        <v>682</v>
      </c>
      <c r="X78" s="102" t="s">
        <v>491</v>
      </c>
      <c r="Y78" s="102" t="s">
        <v>677</v>
      </c>
      <c r="Z78" s="147" t="s">
        <v>491</v>
      </c>
    </row>
    <row r="79" spans="1:32" s="58" customFormat="1" ht="11.25" customHeight="1">
      <c r="A79" s="119" t="s">
        <v>71</v>
      </c>
      <c r="B79" s="119" t="s">
        <v>675</v>
      </c>
      <c r="C79" s="120"/>
      <c r="D79" s="83">
        <v>1</v>
      </c>
      <c r="E79" s="95" t="s">
        <v>73</v>
      </c>
      <c r="F79" s="58" t="s">
        <v>73</v>
      </c>
      <c r="G79" s="58" t="s">
        <v>75</v>
      </c>
      <c r="O79" s="58" t="s">
        <v>73</v>
      </c>
      <c r="P79" s="58" t="s">
        <v>690</v>
      </c>
      <c r="Q79" s="58" t="s">
        <v>73</v>
      </c>
      <c r="R79" s="58" t="s">
        <v>73</v>
      </c>
      <c r="S79" s="58" t="s">
        <v>254</v>
      </c>
      <c r="T79" s="58" t="s">
        <v>108</v>
      </c>
      <c r="U79" s="58" t="s">
        <v>764</v>
      </c>
      <c r="V79" s="58" t="s">
        <v>73</v>
      </c>
      <c r="W79" s="58" t="s">
        <v>73</v>
      </c>
      <c r="X79" s="56"/>
      <c r="Y79" s="58" t="s">
        <v>73</v>
      </c>
      <c r="Z79" s="86"/>
    </row>
    <row r="80" spans="1:32" s="150" customFormat="1" ht="6.75">
      <c r="A80" s="150" t="s">
        <v>68</v>
      </c>
      <c r="B80" s="150" t="s">
        <v>455</v>
      </c>
      <c r="C80" s="150" t="s">
        <v>443</v>
      </c>
      <c r="D80" s="150" t="s">
        <v>444</v>
      </c>
      <c r="E80" s="150" t="s">
        <v>493</v>
      </c>
      <c r="F80" s="150" t="s">
        <v>797</v>
      </c>
      <c r="G80" s="150" t="s">
        <v>800</v>
      </c>
      <c r="H80" s="150" t="s">
        <v>798</v>
      </c>
      <c r="I80" s="150" t="s">
        <v>815</v>
      </c>
      <c r="J80" s="150" t="s">
        <v>814</v>
      </c>
      <c r="K80" s="153" t="s">
        <v>491</v>
      </c>
    </row>
    <row r="81" spans="1:45" s="79" customFormat="1" ht="11.25">
      <c r="A81" s="69" t="s">
        <v>71</v>
      </c>
      <c r="B81" s="69" t="s">
        <v>799</v>
      </c>
      <c r="C81" s="70"/>
      <c r="D81" s="71">
        <v>1</v>
      </c>
      <c r="E81" s="95" t="s">
        <v>73</v>
      </c>
      <c r="F81" s="79" t="s">
        <v>73</v>
      </c>
      <c r="H81" s="79" t="s">
        <v>73</v>
      </c>
      <c r="I81" s="79" t="s">
        <v>73</v>
      </c>
      <c r="J81" s="79" t="s">
        <v>73</v>
      </c>
      <c r="K81" s="86"/>
    </row>
    <row r="82" spans="1:45" s="150" customFormat="1" ht="6.75">
      <c r="A82" s="150" t="s">
        <v>68</v>
      </c>
      <c r="B82" s="150" t="s">
        <v>455</v>
      </c>
      <c r="C82" s="150" t="s">
        <v>443</v>
      </c>
      <c r="D82" s="150" t="s">
        <v>444</v>
      </c>
      <c r="E82" s="150" t="s">
        <v>493</v>
      </c>
      <c r="F82" s="150" t="s">
        <v>801</v>
      </c>
      <c r="G82" s="153" t="s">
        <v>491</v>
      </c>
    </row>
    <row r="83" spans="1:45" s="79" customFormat="1" ht="11.25">
      <c r="A83" s="69" t="s">
        <v>71</v>
      </c>
      <c r="B83" s="69" t="s">
        <v>804</v>
      </c>
      <c r="C83" s="70"/>
      <c r="D83" s="71">
        <v>1</v>
      </c>
      <c r="E83" s="95" t="s">
        <v>73</v>
      </c>
      <c r="F83" s="79" t="s">
        <v>758</v>
      </c>
      <c r="G83" s="86"/>
    </row>
    <row r="84" spans="1:45" s="150" customFormat="1" ht="6.75">
      <c r="A84" s="150" t="s">
        <v>68</v>
      </c>
      <c r="B84" s="150" t="s">
        <v>455</v>
      </c>
      <c r="C84" s="150" t="s">
        <v>443</v>
      </c>
      <c r="D84" s="150" t="s">
        <v>444</v>
      </c>
      <c r="E84" s="150" t="s">
        <v>493</v>
      </c>
      <c r="F84" s="150" t="s">
        <v>802</v>
      </c>
      <c r="G84" s="150" t="s">
        <v>803</v>
      </c>
      <c r="H84" s="153" t="s">
        <v>491</v>
      </c>
    </row>
    <row r="85" spans="1:45" s="58" customFormat="1" ht="11.25">
      <c r="A85" s="69" t="s">
        <v>71</v>
      </c>
      <c r="B85" s="69" t="s">
        <v>805</v>
      </c>
      <c r="C85" s="70"/>
      <c r="D85" s="71">
        <v>1</v>
      </c>
      <c r="E85" s="95" t="s">
        <v>73</v>
      </c>
      <c r="F85" s="79" t="s">
        <v>73</v>
      </c>
      <c r="G85" s="79" t="s">
        <v>73</v>
      </c>
      <c r="H85" s="86"/>
      <c r="I85" s="79"/>
      <c r="J85" s="79"/>
      <c r="K85" s="79"/>
      <c r="L85" s="79"/>
      <c r="M85" s="79"/>
      <c r="N85" s="79"/>
      <c r="O85" s="79"/>
      <c r="P85" s="79"/>
      <c r="Q85" s="79"/>
      <c r="R85" s="79"/>
      <c r="S85" s="79"/>
      <c r="T85" s="79"/>
      <c r="U85" s="79"/>
      <c r="V85" s="79"/>
      <c r="W85" s="79"/>
      <c r="X85" s="79"/>
      <c r="Y85" s="79"/>
      <c r="Z85" s="79"/>
      <c r="AA85" s="79"/>
      <c r="AB85" s="79"/>
      <c r="AC85" s="79"/>
      <c r="AD85" s="79"/>
      <c r="AE85" s="79"/>
      <c r="AF85" s="79"/>
      <c r="AG85" s="79"/>
      <c r="AH85" s="79"/>
      <c r="AI85" s="79"/>
      <c r="AJ85" s="79"/>
      <c r="AK85" s="79"/>
      <c r="AL85" s="79"/>
      <c r="AM85" s="79"/>
      <c r="AN85" s="79"/>
      <c r="AO85" s="79"/>
      <c r="AP85" s="79"/>
      <c r="AQ85" s="79"/>
      <c r="AR85" s="79"/>
      <c r="AS85" s="79"/>
    </row>
    <row r="86" spans="1:45" s="102" customFormat="1" ht="7.5" customHeight="1">
      <c r="A86" s="102" t="s">
        <v>68</v>
      </c>
      <c r="B86" s="102" t="s">
        <v>69</v>
      </c>
      <c r="C86" s="102" t="s">
        <v>70</v>
      </c>
      <c r="D86" s="102" t="s">
        <v>444</v>
      </c>
      <c r="E86" s="102" t="s">
        <v>493</v>
      </c>
      <c r="F86" s="102" t="s">
        <v>697</v>
      </c>
      <c r="G86" s="102" t="s">
        <v>698</v>
      </c>
      <c r="H86" s="102" t="s">
        <v>699</v>
      </c>
      <c r="I86" s="102" t="s">
        <v>700</v>
      </c>
      <c r="J86" s="102" t="s">
        <v>701</v>
      </c>
      <c r="K86" s="216" t="s">
        <v>838</v>
      </c>
      <c r="L86" s="150" t="s">
        <v>839</v>
      </c>
      <c r="M86" s="102" t="s">
        <v>471</v>
      </c>
      <c r="N86" s="102" t="s">
        <v>475</v>
      </c>
      <c r="O86" s="102" t="s">
        <v>491</v>
      </c>
    </row>
    <row r="87" spans="1:45" s="58" customFormat="1" ht="11.25" customHeight="1">
      <c r="A87" s="119" t="s">
        <v>71</v>
      </c>
      <c r="B87" s="119" t="s">
        <v>144</v>
      </c>
      <c r="C87" s="119"/>
      <c r="D87" s="83">
        <v>1</v>
      </c>
      <c r="E87" s="95" t="s">
        <v>73</v>
      </c>
      <c r="F87" s="61" t="s">
        <v>759</v>
      </c>
      <c r="G87" s="61" t="s">
        <v>765</v>
      </c>
      <c r="H87" s="61" t="s">
        <v>73</v>
      </c>
      <c r="I87" s="61" t="s">
        <v>73</v>
      </c>
      <c r="J87" s="61" t="s">
        <v>73</v>
      </c>
      <c r="K87" s="217"/>
      <c r="L87" s="61" t="s">
        <v>73</v>
      </c>
      <c r="M87" s="61" t="s">
        <v>702</v>
      </c>
      <c r="N87" s="48">
        <f ca="1">(INDIRECT("'Data'!CD"&amp;($C$1)))</f>
        <v>0</v>
      </c>
      <c r="O87" s="56"/>
      <c r="P87" s="61"/>
      <c r="Q87" s="61"/>
      <c r="R87" s="61"/>
      <c r="S87" s="61"/>
      <c r="T87" s="61"/>
    </row>
    <row r="88" spans="1:45" s="150" customFormat="1" ht="6" customHeight="1">
      <c r="A88" s="150" t="s">
        <v>68</v>
      </c>
      <c r="B88" s="150" t="s">
        <v>455</v>
      </c>
      <c r="C88" s="150" t="s">
        <v>443</v>
      </c>
      <c r="D88" s="150" t="s">
        <v>444</v>
      </c>
      <c r="E88" s="150" t="s">
        <v>493</v>
      </c>
      <c r="F88" s="150" t="s">
        <v>807</v>
      </c>
      <c r="G88" s="150" t="s">
        <v>808</v>
      </c>
      <c r="H88" s="153" t="s">
        <v>471</v>
      </c>
      <c r="I88" s="153" t="s">
        <v>491</v>
      </c>
    </row>
    <row r="89" spans="1:45" s="58" customFormat="1" ht="11.25" customHeight="1">
      <c r="A89" s="69" t="s">
        <v>71</v>
      </c>
      <c r="B89" s="69" t="s">
        <v>806</v>
      </c>
      <c r="C89" s="70"/>
      <c r="D89" s="71">
        <v>1</v>
      </c>
      <c r="E89" s="95" t="s">
        <v>73</v>
      </c>
      <c r="F89" s="79" t="s">
        <v>73</v>
      </c>
      <c r="G89" s="79" t="s">
        <v>73</v>
      </c>
      <c r="H89" s="86" t="s">
        <v>809</v>
      </c>
      <c r="I89" s="79"/>
      <c r="J89" s="79"/>
      <c r="K89" s="79"/>
      <c r="L89" s="79"/>
      <c r="M89" s="79"/>
      <c r="N89" s="79"/>
      <c r="O89" s="79"/>
      <c r="P89" s="79"/>
      <c r="Q89" s="79"/>
      <c r="R89" s="79"/>
      <c r="S89" s="79"/>
      <c r="T89" s="79"/>
      <c r="U89" s="79"/>
      <c r="V89" s="79"/>
      <c r="W89" s="79"/>
      <c r="X89" s="79"/>
      <c r="Y89" s="79"/>
      <c r="Z89" s="79"/>
      <c r="AA89" s="79"/>
      <c r="AB89" s="79"/>
      <c r="AC89" s="79"/>
      <c r="AD89" s="79"/>
      <c r="AE89" s="79"/>
      <c r="AF89" s="79"/>
      <c r="AG89" s="79"/>
      <c r="AH89" s="79"/>
      <c r="AI89" s="79"/>
      <c r="AJ89" s="79"/>
      <c r="AK89" s="79"/>
      <c r="AL89" s="79"/>
      <c r="AM89" s="79"/>
      <c r="AN89" s="79"/>
      <c r="AO89" s="79"/>
      <c r="AP89" s="79"/>
      <c r="AQ89" s="79"/>
      <c r="AR89" s="79"/>
      <c r="AS89" s="79"/>
    </row>
    <row r="90" spans="1:45" s="102" customFormat="1" ht="6.75">
      <c r="A90" s="102" t="s">
        <v>68</v>
      </c>
      <c r="B90" s="102" t="s">
        <v>69</v>
      </c>
      <c r="C90" s="102" t="s">
        <v>70</v>
      </c>
      <c r="D90" s="102" t="s">
        <v>444</v>
      </c>
      <c r="E90" s="102" t="s">
        <v>493</v>
      </c>
      <c r="F90" s="102" t="s">
        <v>475</v>
      </c>
      <c r="G90" s="102" t="s">
        <v>84</v>
      </c>
      <c r="H90" s="102" t="s">
        <v>82</v>
      </c>
      <c r="I90" s="102" t="s">
        <v>145</v>
      </c>
      <c r="J90" s="102" t="s">
        <v>146</v>
      </c>
      <c r="K90" s="102" t="s">
        <v>147</v>
      </c>
      <c r="L90" s="102" t="s">
        <v>148</v>
      </c>
      <c r="M90" s="102" t="s">
        <v>326</v>
      </c>
      <c r="N90" s="102" t="s">
        <v>149</v>
      </c>
      <c r="O90" s="102" t="s">
        <v>150</v>
      </c>
      <c r="P90" s="102" t="s">
        <v>151</v>
      </c>
      <c r="Q90" s="102" t="s">
        <v>152</v>
      </c>
      <c r="R90" s="102" t="s">
        <v>330</v>
      </c>
      <c r="S90" s="102" t="s">
        <v>153</v>
      </c>
      <c r="T90" s="150" t="s">
        <v>840</v>
      </c>
      <c r="U90" s="150" t="s">
        <v>841</v>
      </c>
      <c r="V90" s="147" t="s">
        <v>491</v>
      </c>
    </row>
    <row r="91" spans="1:45" s="58" customFormat="1" ht="11.25" customHeight="1">
      <c r="A91" s="119" t="s">
        <v>71</v>
      </c>
      <c r="B91" s="119" t="s">
        <v>156</v>
      </c>
      <c r="C91" s="119"/>
      <c r="D91" s="83">
        <v>1</v>
      </c>
      <c r="E91" s="95" t="s">
        <v>73</v>
      </c>
      <c r="F91" s="48">
        <f ca="1">(INDIRECT("'Data'!CD"&amp;($C$1)))</f>
        <v>0</v>
      </c>
      <c r="G91" s="132" t="str">
        <f ca="1">(INDIRECT("'Data'!F"&amp;($C$1)))</f>
        <v>EXCHANGE GAS METER TO SECURE SMART CREDIT</v>
      </c>
      <c r="H91" s="132" t="str">
        <f ca="1">(INDIRECT("'Data'!AW"&amp;($C$1)))</f>
        <v>EXCH1 ROAD</v>
      </c>
      <c r="I91" s="49" t="str">
        <f ca="1">(INDIRECT("'Data'!X"&amp;($C$1)))</f>
        <v>SPRK</v>
      </c>
      <c r="J91" s="49">
        <f ca="1">(INDIRECT("'Data'!BG"&amp;($C$1)))</f>
        <v>0</v>
      </c>
      <c r="K91" s="49">
        <f ca="1">(INDIRECT("'Data'!BL"&amp;($C$1)))</f>
        <v>0</v>
      </c>
      <c r="L91" s="60" t="str">
        <f>F43</f>
        <v>123456</v>
      </c>
      <c r="M91" s="59" t="str">
        <f>F39</f>
        <v>Z89K12398</v>
      </c>
      <c r="N91" s="61" t="str">
        <f>M47</f>
        <v>Test Witness name</v>
      </c>
      <c r="O91" s="49" t="str">
        <f ca="1">(INDIRECT("'Data'!CN"&amp;($C$1)))</f>
        <v>EXCHANGE GAS METER TO SECURE SMART CREDIT</v>
      </c>
      <c r="P91" s="49" t="str">
        <f ca="1">(INDIRECT("'Data'!CQ"&amp;($C$1)))</f>
        <v>10000648</v>
      </c>
      <c r="Q91" s="141" t="str">
        <f>J65</f>
        <v>54321</v>
      </c>
      <c r="R91" s="61" t="str">
        <f ca="1">F71</f>
        <v>G00G0</v>
      </c>
      <c r="S91" s="60" t="str">
        <f>F73</f>
        <v>00005</v>
      </c>
      <c r="T91" s="61" t="s">
        <v>73</v>
      </c>
      <c r="U91" s="60" t="s">
        <v>73</v>
      </c>
      <c r="V91" s="86"/>
    </row>
    <row r="92" spans="1:45" s="102" customFormat="1" ht="6.75">
      <c r="A92" s="102" t="s">
        <v>68</v>
      </c>
      <c r="B92" s="102" t="s">
        <v>69</v>
      </c>
      <c r="C92" s="102" t="s">
        <v>70</v>
      </c>
      <c r="D92" s="102" t="s">
        <v>444</v>
      </c>
      <c r="E92" s="102" t="s">
        <v>493</v>
      </c>
      <c r="F92" s="102" t="s">
        <v>707</v>
      </c>
      <c r="G92" s="102" t="s">
        <v>708</v>
      </c>
      <c r="H92" s="102" t="s">
        <v>709</v>
      </c>
      <c r="I92" s="102" t="s">
        <v>710</v>
      </c>
      <c r="J92" s="102" t="s">
        <v>711</v>
      </c>
      <c r="K92" s="102" t="s">
        <v>712</v>
      </c>
      <c r="L92" s="102" t="s">
        <v>713</v>
      </c>
      <c r="M92" s="102" t="s">
        <v>475</v>
      </c>
      <c r="N92" s="102" t="s">
        <v>491</v>
      </c>
    </row>
    <row r="93" spans="1:45" s="58" customFormat="1" ht="11.25" customHeight="1">
      <c r="A93" s="119" t="s">
        <v>71</v>
      </c>
      <c r="B93" s="119" t="s">
        <v>706</v>
      </c>
      <c r="C93" s="119"/>
      <c r="D93" s="118">
        <v>1</v>
      </c>
      <c r="E93" s="118" t="s">
        <v>73</v>
      </c>
      <c r="F93" s="61" t="s">
        <v>73</v>
      </c>
      <c r="G93" s="61" t="s">
        <v>75</v>
      </c>
      <c r="H93" s="61" t="s">
        <v>714</v>
      </c>
      <c r="I93" s="61" t="s">
        <v>155</v>
      </c>
      <c r="J93" s="61" t="s">
        <v>75</v>
      </c>
      <c r="K93" s="61" t="s">
        <v>643</v>
      </c>
      <c r="L93" s="61" t="s">
        <v>75</v>
      </c>
      <c r="M93" s="48">
        <f ca="1">(INDIRECT("'Data'!CD"&amp;($C$1)))</f>
        <v>0</v>
      </c>
      <c r="N93" s="56"/>
      <c r="O93" s="61"/>
      <c r="P93" s="61"/>
      <c r="Q93" s="61"/>
      <c r="R93" s="61"/>
      <c r="S93" s="61"/>
    </row>
    <row r="94" spans="1:45" s="102" customFormat="1" ht="6.75">
      <c r="A94" s="102" t="s">
        <v>68</v>
      </c>
      <c r="B94" s="102" t="s">
        <v>69</v>
      </c>
      <c r="C94" s="102" t="s">
        <v>70</v>
      </c>
      <c r="D94" s="102" t="s">
        <v>444</v>
      </c>
      <c r="E94" s="102" t="s">
        <v>493</v>
      </c>
      <c r="F94" s="102" t="s">
        <v>85</v>
      </c>
      <c r="G94" s="147"/>
    </row>
    <row r="95" spans="1:45" s="58" customFormat="1" ht="11.25" customHeight="1">
      <c r="A95" s="58" t="s">
        <v>71</v>
      </c>
      <c r="B95" s="58" t="s">
        <v>76</v>
      </c>
      <c r="D95" s="82">
        <v>1</v>
      </c>
      <c r="E95" s="95" t="s">
        <v>73</v>
      </c>
      <c r="F95" s="61" t="s">
        <v>86</v>
      </c>
      <c r="G95" s="86"/>
      <c r="J95" s="133"/>
    </row>
  </sheetData>
  <dataValidations count="6">
    <dataValidation allowBlank="1" showInputMessage="1" showErrorMessage="1" prompt="Y or N" sqref="IC78 F22 WUZ22 IN22 SJ22 ACF22 AMB22 AVX22 BFT22 BPP22 BZL22 CJH22 CTD22 DCZ22 DMV22 DWR22 EGN22 EQJ22 FAF22 FKB22 FTX22 GDT22 GNP22 GXL22 HHH22 HRD22 IAZ22 IKV22 IUR22 JEN22 JOJ22 JYF22 KIB22 KRX22 LBT22 LLP22 LVL22 MFH22 MPD22 MYZ22 NIV22 NSR22 OCN22 OMJ22 OWF22 PGB22 PPX22 PZT22 QJP22 QTL22 RDH22 RND22 RWZ22 SGV22 SQR22 TAN22 TKJ22 TUF22 UEB22 UNX22 UXT22 VHP22 VRL22 WBH22 WLD22 WBH18 WLD18 WTT20 HH20 RD20 AAZ20 AKV20 AUR20 BEN20 BOJ20 BYF20 CIB20 CRX20 DBT20 DLP20 DVL20 EFH20 EPD20 EYZ20 FIV20 FSR20 GCN20 GMJ20 GWF20 HGB20 HPX20 HZT20 IJP20 ITL20 JDH20 JND20 JWZ20 KGV20 KQR20 LAN20 LKJ20 LUF20 MEB20 MNX20 MXT20 NHP20 NRL20 OBH20 OLD20 OUZ20 PEV20 POR20 PYN20 QIJ20 QSF20 RCB20 RLX20 RVT20 SFP20 SPL20 SZH20 TJD20 TSZ20 UCV20 UMR20 UWN20 VGJ20 VQF20 WAB20 WJX20 WLF26 WBJ26 VRN26 VHR26 UXV26 UNZ26 UED26 TUH26 TKL26 TAP26 SQT26 SGX26 RXB26 RNF26 RDJ26 QTN26 QJR26 PZV26 PPZ26 PGD26 OWH26 OML26 OCP26 NST26 NIX26 MZB26 MPF26 MFJ26 LVN26 LLR26 LBV26 KRZ26 KID26 JYH26 JOL26 JEP26 IUT26 IKX26 IBB26 HRF26 HHJ26 GXN26 GNR26 GDV26 FTZ26 FKD26 FAH26 EQL26 EGP26 DWT26 DMX26 DDB26 CTF26 CJJ26 BZN26 BPR26 BFV26 AVZ26 AMD26 ACH26 SL26 IP26 WVB26 F18 WUZ18 IN18 SJ18 ACF18 AMB18 AVX18 BFT18 BPP18 BZL18 CJH18 CTD18 DCZ18 DMV18 DWR18 EGN18 EQJ18 FAF18 FKB18 FTX18 GDT18 GNP18 GXL18 HHH18 HRD18 IAZ18 IKV18 IUR18 JEN18 JOJ18 JYF18 KIB18 KRX18 LBT18 LLP18 LVL18 MFH18 MPD18 MYZ18 NIV18 NSR18 OCN18 OMJ18 OWF18 PGB18 PPX18 PZT18 QJP18 QTL18 RDH18 RND18 RWZ18 SGV18 SQR18 TAN18 TKJ18 TUF18 UEB18 UNX18 UXT18 VHP18 VRL18 WLH24 WBL24 VRP24 VHT24 UXX24 UOB24 UEF24 TUJ24 TKN24 TAR24 SQV24 SGZ24 RXD24 RNH24 RDL24 QTP24 QJT24 PZX24 PQB24 PGF24 OWJ24 OMN24 OCR24 NSV24 NIZ24 MZD24 MPH24 MFL24 LVP24 LLT24 LBX24 KSB24 KIF24 JYJ24 JON24 JER24 IUV24 IKZ24 IBD24 HRH24 HHL24 GXP24 GNT24 GDX24 FUB24 FKF24 FAJ24 EQN24 EGR24 DWV24 DMZ24 DDD24 CTH24 CJL24 BZP24 BPT24 BFX24 AWB24 AMF24 ACJ24 SN24 IR24 WVD24 WLD52 F16 WVD54 IR54 SN54 ACJ54 AMF54 AWB54 BFX54 BPT54 BZP54 CJL54 CTH54 DDD54 DMZ54 DWV54 EGR54 EQN54 FAJ54 FKF54 FUB54 GDX54 GNT54 GXP54 HHL54 HRH54 IBD54 IKZ54 IUV54 JER54 JON54 JYJ54 KIF54 KSB54 LBX54 LLT54 LVP54 MFL54 MPH54 MZD54 NIZ54 NSV54 OCR54 OMN54 OWJ54 PGF54 PQB54 PZX54 QJT54 QTP54 RDL54 RNH54 RXD54 SGZ54 SQV54 TAR54 TKN54 TUJ54 UEF54 UOB54 UXX54 VHT54 VRP54 WBL54 WLH54 WKS78 WAW78 VRA78 VHE78 UXI78 UNM78 UDQ78 TTU78 TJY78 TAC78 SQG78 SGK78 RWO78 RMS78 RCW78 QTA78 QJE78 PZI78 PPM78 PFQ78 OVU78 OLY78 OCC78 NSG78 NIK78 MYO78 MOS78 MEW78 LVA78 LLE78 LBI78 KRM78 KHQ78 JXU78 JNY78 JEC78 IUG78 IKK78 IAO78 HQS78 HGW78 GXA78 GNE78 GDI78 FTM78 FJQ78 EZU78 EPY78 EGC78 DWG78 DMK78 DCO78 CSS78 CIW78 BZA78 BPE78 BFI78 AVM78 ALQ78 ABU78 RY78 WVQ76 JE76 TA76 ACW76 AMS76 AWO76 BGK76 BQG76 CAC76 CJY76 CTU76 DDQ76 DNM76 DXI76 EHE76 ERA76 FAW76 FKS76 FUO76 GEK76 GOG76 GYC76 HHY76 HRU76 IBQ76 ILM76 IVI76 JFE76 JPA76 JYW76 KIS76 KSO76 LCK76 LMG76 LWC76 MFY76 MPU76 MZQ76 NJM76 NTI76 ODE76 ONA76 OWW76 PGS76 PQO76 QAK76 QKG76 QUC76 RDY76 RNU76 RXQ76 SHM76 SRI76 TBE76 TLA76 TUW76 UES76 UOO76 UYK76 VIG76 VSC76 WBY76 WLU76 WUO78 WVD60 IR60 SN60 ACJ60 AMF60 AWB60 BFX60 BPT60 BZP60 CJL60 CTH60 DDD60 DMZ60 DWV60 EGR60 EQN60 FAJ60 FKF60 FUB60 GDX60 GNT60 GXP60 HHL60 HRH60 IBD60 IKZ60 IUV60 JER60 JON60 JYJ60 KIF60 KSB60 LBX60 LLT60 LVP60 MFL60 MPH60 MZD60 NIZ60 NSV60 OCR60 OMN60 OWJ60 PGF60 PQB60 PZX60 QJT60 QTP60 RDL60 RNH60 RXD60 SGZ60 SQV60 TAR60 TKN60 TUJ60 UEF60 UOB60 UXX60 VHT60 VRP60 WBL60 F60 WLH60 WVB58 IP58 SL58 ACH58 AMD58 AVZ58 BFV58 BPR58 BZN58 CJJ58 CTF58 DDB58 DMX58 DWT58 EGP58 EQL58 FAH58 FKD58 FTZ58 GDV58 GNR58 GXN58 HHJ58 HRF58 IBB58 IKX58 IUT58 JEP58 JOL58 JYH58 KID58 KRZ58 LBV58 LLR58 LVN58 MFJ58 MPF58 MZB58 NIX58 NST58 OCP58 OML58 OWH58 PGD58 PPZ58 PZV58 QJR58 QTN58 RDJ58 RNF58 RXB58 SGX58 SQT58 TAP58 TKL58 TUH58 UED58 UNZ58 UXV58 VHR58 VRN58 WBJ58 WBH52 WLF58 WVH56 WLL56 WBP56 VRT56 VHX56 UYB56 UOF56 UEJ56 TUN56 TKR56 TAV56 SQZ56 SHD56 RXH56 RNL56 RDP56 QTT56 QJX56 QAB56 PQF56 PGJ56 OWN56 OMR56 OCV56 NSZ56 NJD56 MZH56 MPL56 MFP56 LVT56 LLX56 LCB56 KSF56 KIJ56 JYN56 JOR56 JEV56 IUZ56 ILD56 IBH56 HRL56 HHP56 GXT56 GNX56 GEB56 FUF56 FKJ56 FAN56 EQR56 EGV56 DWZ56 DND56 DDH56 CTL56 CJP56 BZT56 BPX56 BGB56 AWF56 AMJ56 ACN56 SR56 IV56 F56 SZ50 ACV50 AMR50 AWN50 BGJ50 BQF50 CAB50 CJX50 CTT50 DDP50 DNL50 DXH50 EHD50 EQZ50 FAV50 FKR50 FUN50 GEJ50 GOF50 GYB50 HHX50 HRT50 IBP50 ILL50 IVH50 JFD50 JOZ50 JYV50 KIR50 KSN50 LCJ50 LMF50 LWB50 MFX50 MPT50 MZP50 NJL50 NTH50 ODD50 OMZ50 OWV50 PGR50 PQN50 QAJ50 QKF50 QUB50 RDX50 RNT50 RXP50 SHL50 SRH50 TBD50 TKZ50 TUV50 UER50 UON50 UYJ50 VIF50 VSB50 WBX50 WLT50 WVP50 JD50 F52 WUZ52 IN52 SJ52 ACF52 AMB52 AVX52 BFT52 BPP52 BZL52 CJH52 CTD52 DCZ52 DMV52 DWR52 EGN52 EQJ52 FAF52 FKB52 FTX52 GDT52 GNP52 GXL52 HHH52 HRD52 IAZ52 IKV52 IUR52 JEN52 JOJ52 JYF52 KIB52 KRX52 LBT52 LLP52 LVL52 MFH52 MPD52 MYZ52 NIV52 NSR52 OCN52 OMJ52 OWF52 PGB52 PPX52 PZT52 QJP52 QTL52 RDH52 RND52 RWZ52 SGV52 SQR52 TAN52 TKJ52 TUF52 UEB52 UNX52 UXT52 VHP52 VRL52 F24:H24 F54:H54"/>
    <dataValidation allowBlank="1" showInputMessage="1" showErrorMessage="1" prompt="(L)ow or (M)edium" sqref="F50"/>
    <dataValidation allowBlank="1" showInputMessage="1" showErrorMessage="1" promptTitle="Validation" prompt="Y or N" sqref="I2 JD2 WVP2 WLT2 WBX2 VSB2 VIF2 UYJ2 UON2 UER2 TUV2 TKZ2 TBD2 SRH2 SHL2 RXP2 RNT2 RDX2 QUB2 QKF2 QAJ2 PQN2 PGR2 OWV2 OMZ2 ODD2 NTH2 NJL2 MZP2 MPT2 MFX2 LWB2 LMF2 LCJ2 KSN2 KIR2 JYV2 JOZ2 JFD2 IVH2 ILL2 IBP2 HRT2 HHX2 GYB2 GOF2 GEJ2 FUN2 FKR2 FAV2 EQZ2 EHD2 DXH2 DNL2 DDP2 CTT2 CJX2 CAB2 BQF2 BGJ2 AWN2 AMR2 ACV2 SZ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s>
  <pageMargins left="0.7" right="0.7" top="0.75" bottom="0.75" header="0.3" footer="0.3"/>
  <pageSetup paperSize="9" orientation="portrait" r:id="rId1"/>
  <headerFooter>
    <oddFooter>&amp;LUnrestricted</oddFooter>
  </headerFooter>
  <legacyDrawing r:id="rId2"/>
</worksheet>
</file>

<file path=xl/worksheets/sheet9.xml><?xml version="1.0" encoding="utf-8"?>
<worksheet xmlns="http://schemas.openxmlformats.org/spreadsheetml/2006/main" xmlns:r="http://schemas.openxmlformats.org/officeDocument/2006/relationships">
  <sheetPr codeName="Sheet3">
    <tabColor theme="4" tint="-0.249977111117893"/>
  </sheetPr>
  <dimension ref="A1:BF94"/>
  <sheetViews>
    <sheetView zoomScale="120" zoomScaleNormal="120" workbookViewId="0">
      <selection activeCell="K68" sqref="K68"/>
    </sheetView>
  </sheetViews>
  <sheetFormatPr defaultRowHeight="11.25" customHeight="1"/>
  <cols>
    <col min="1" max="1" width="5.42578125" style="32" bestFit="1" customWidth="1" collapsed="1"/>
    <col min="2" max="2" width="17.28515625" style="32" bestFit="1" customWidth="1" collapsed="1"/>
    <col min="3" max="3" width="5" style="32" bestFit="1" customWidth="1" collapsed="1"/>
    <col min="4" max="4" width="3.5703125" style="32" bestFit="1" customWidth="1" collapsed="1"/>
    <col min="5" max="5" width="2.42578125" style="100" bestFit="1" customWidth="1" collapsed="1"/>
    <col min="6" max="6" width="17.28515625" style="32" customWidth="1" collapsed="1"/>
    <col min="7" max="8" width="11.7109375" style="32" customWidth="1" collapsed="1"/>
    <col min="9" max="9" width="11.7109375" style="33" customWidth="1" collapsed="1"/>
    <col min="10" max="17" width="11.7109375" style="32" customWidth="1" collapsed="1"/>
    <col min="18" max="21" width="12.7109375" style="32" customWidth="1" collapsed="1"/>
    <col min="22" max="22" width="14.140625" style="32" customWidth="1" collapsed="1"/>
    <col min="23" max="23" width="13.5703125" style="32" customWidth="1" collapsed="1"/>
    <col min="24" max="57" width="12.7109375" style="32" customWidth="1" collapsed="1"/>
    <col min="58" max="256" width="9.140625" style="32" collapsed="1"/>
    <col min="257" max="257" width="5.28515625" style="32" bestFit="1" customWidth="1" collapsed="1"/>
    <col min="258" max="258" width="14.28515625" style="32" bestFit="1" customWidth="1" collapsed="1"/>
    <col min="259" max="259" width="17" style="32" customWidth="1" collapsed="1"/>
    <col min="260" max="260" width="11.7109375" style="32" bestFit="1" customWidth="1" collapsed="1"/>
    <col min="261" max="261" width="12" style="32" bestFit="1" customWidth="1" collapsed="1"/>
    <col min="262" max="512" width="9.140625" style="32" collapsed="1"/>
    <col min="513" max="513" width="5.28515625" style="32" bestFit="1" customWidth="1" collapsed="1"/>
    <col min="514" max="514" width="14.28515625" style="32" bestFit="1" customWidth="1" collapsed="1"/>
    <col min="515" max="515" width="17" style="32" customWidth="1" collapsed="1"/>
    <col min="516" max="516" width="11.7109375" style="32" bestFit="1" customWidth="1" collapsed="1"/>
    <col min="517" max="517" width="12" style="32" bestFit="1" customWidth="1" collapsed="1"/>
    <col min="518" max="768" width="9.140625" style="32" collapsed="1"/>
    <col min="769" max="769" width="5.28515625" style="32" bestFit="1" customWidth="1" collapsed="1"/>
    <col min="770" max="770" width="14.28515625" style="32" bestFit="1" customWidth="1" collapsed="1"/>
    <col min="771" max="771" width="17" style="32" customWidth="1" collapsed="1"/>
    <col min="772" max="772" width="11.7109375" style="32" bestFit="1" customWidth="1" collapsed="1"/>
    <col min="773" max="773" width="12" style="32" bestFit="1" customWidth="1" collapsed="1"/>
    <col min="774" max="1024" width="9.140625" style="32" collapsed="1"/>
    <col min="1025" max="1025" width="5.28515625" style="32" bestFit="1" customWidth="1" collapsed="1"/>
    <col min="1026" max="1026" width="14.28515625" style="32" bestFit="1" customWidth="1" collapsed="1"/>
    <col min="1027" max="1027" width="17" style="32" customWidth="1" collapsed="1"/>
    <col min="1028" max="1028" width="11.7109375" style="32" bestFit="1" customWidth="1" collapsed="1"/>
    <col min="1029" max="1029" width="12" style="32" bestFit="1" customWidth="1" collapsed="1"/>
    <col min="1030" max="1280" width="9.140625" style="32" collapsed="1"/>
    <col min="1281" max="1281" width="5.28515625" style="32" bestFit="1" customWidth="1" collapsed="1"/>
    <col min="1282" max="1282" width="14.28515625" style="32" bestFit="1" customWidth="1" collapsed="1"/>
    <col min="1283" max="1283" width="17" style="32" customWidth="1" collapsed="1"/>
    <col min="1284" max="1284" width="11.7109375" style="32" bestFit="1" customWidth="1" collapsed="1"/>
    <col min="1285" max="1285" width="12" style="32" bestFit="1" customWidth="1" collapsed="1"/>
    <col min="1286" max="1536" width="9.140625" style="32" collapsed="1"/>
    <col min="1537" max="1537" width="5.28515625" style="32" bestFit="1" customWidth="1" collapsed="1"/>
    <col min="1538" max="1538" width="14.28515625" style="32" bestFit="1" customWidth="1" collapsed="1"/>
    <col min="1539" max="1539" width="17" style="32" customWidth="1" collapsed="1"/>
    <col min="1540" max="1540" width="11.7109375" style="32" bestFit="1" customWidth="1" collapsed="1"/>
    <col min="1541" max="1541" width="12" style="32" bestFit="1" customWidth="1" collapsed="1"/>
    <col min="1542" max="1792" width="9.140625" style="32" collapsed="1"/>
    <col min="1793" max="1793" width="5.28515625" style="32" bestFit="1" customWidth="1" collapsed="1"/>
    <col min="1794" max="1794" width="14.28515625" style="32" bestFit="1" customWidth="1" collapsed="1"/>
    <col min="1795" max="1795" width="17" style="32" customWidth="1" collapsed="1"/>
    <col min="1796" max="1796" width="11.7109375" style="32" bestFit="1" customWidth="1" collapsed="1"/>
    <col min="1797" max="1797" width="12" style="32" bestFit="1" customWidth="1" collapsed="1"/>
    <col min="1798" max="2048" width="9.140625" style="32" collapsed="1"/>
    <col min="2049" max="2049" width="5.28515625" style="32" bestFit="1" customWidth="1" collapsed="1"/>
    <col min="2050" max="2050" width="14.28515625" style="32" bestFit="1" customWidth="1" collapsed="1"/>
    <col min="2051" max="2051" width="17" style="32" customWidth="1" collapsed="1"/>
    <col min="2052" max="2052" width="11.7109375" style="32" bestFit="1" customWidth="1" collapsed="1"/>
    <col min="2053" max="2053" width="12" style="32" bestFit="1" customWidth="1" collapsed="1"/>
    <col min="2054" max="2304" width="9.140625" style="32" collapsed="1"/>
    <col min="2305" max="2305" width="5.28515625" style="32" bestFit="1" customWidth="1" collapsed="1"/>
    <col min="2306" max="2306" width="14.28515625" style="32" bestFit="1" customWidth="1" collapsed="1"/>
    <col min="2307" max="2307" width="17" style="32" customWidth="1" collapsed="1"/>
    <col min="2308" max="2308" width="11.7109375" style="32" bestFit="1" customWidth="1" collapsed="1"/>
    <col min="2309" max="2309" width="12" style="32" bestFit="1" customWidth="1" collapsed="1"/>
    <col min="2310" max="2560" width="9.140625" style="32" collapsed="1"/>
    <col min="2561" max="2561" width="5.28515625" style="32" bestFit="1" customWidth="1" collapsed="1"/>
    <col min="2562" max="2562" width="14.28515625" style="32" bestFit="1" customWidth="1" collapsed="1"/>
    <col min="2563" max="2563" width="17" style="32" customWidth="1" collapsed="1"/>
    <col min="2564" max="2564" width="11.7109375" style="32" bestFit="1" customWidth="1" collapsed="1"/>
    <col min="2565" max="2565" width="12" style="32" bestFit="1" customWidth="1" collapsed="1"/>
    <col min="2566" max="2816" width="9.140625" style="32" collapsed="1"/>
    <col min="2817" max="2817" width="5.28515625" style="32" bestFit="1" customWidth="1" collapsed="1"/>
    <col min="2818" max="2818" width="14.28515625" style="32" bestFit="1" customWidth="1" collapsed="1"/>
    <col min="2819" max="2819" width="17" style="32" customWidth="1" collapsed="1"/>
    <col min="2820" max="2820" width="11.7109375" style="32" bestFit="1" customWidth="1" collapsed="1"/>
    <col min="2821" max="2821" width="12" style="32" bestFit="1" customWidth="1" collapsed="1"/>
    <col min="2822" max="3072" width="9.140625" style="32" collapsed="1"/>
    <col min="3073" max="3073" width="5.28515625" style="32" bestFit="1" customWidth="1" collapsed="1"/>
    <col min="3074" max="3074" width="14.28515625" style="32" bestFit="1" customWidth="1" collapsed="1"/>
    <col min="3075" max="3075" width="17" style="32" customWidth="1" collapsed="1"/>
    <col min="3076" max="3076" width="11.7109375" style="32" bestFit="1" customWidth="1" collapsed="1"/>
    <col min="3077" max="3077" width="12" style="32" bestFit="1" customWidth="1" collapsed="1"/>
    <col min="3078" max="3328" width="9.140625" style="32" collapsed="1"/>
    <col min="3329" max="3329" width="5.28515625" style="32" bestFit="1" customWidth="1" collapsed="1"/>
    <col min="3330" max="3330" width="14.28515625" style="32" bestFit="1" customWidth="1" collapsed="1"/>
    <col min="3331" max="3331" width="17" style="32" customWidth="1" collapsed="1"/>
    <col min="3332" max="3332" width="11.7109375" style="32" bestFit="1" customWidth="1" collapsed="1"/>
    <col min="3333" max="3333" width="12" style="32" bestFit="1" customWidth="1" collapsed="1"/>
    <col min="3334" max="3584" width="9.140625" style="32" collapsed="1"/>
    <col min="3585" max="3585" width="5.28515625" style="32" bestFit="1" customWidth="1" collapsed="1"/>
    <col min="3586" max="3586" width="14.28515625" style="32" bestFit="1" customWidth="1" collapsed="1"/>
    <col min="3587" max="3587" width="17" style="32" customWidth="1" collapsed="1"/>
    <col min="3588" max="3588" width="11.7109375" style="32" bestFit="1" customWidth="1" collapsed="1"/>
    <col min="3589" max="3589" width="12" style="32" bestFit="1" customWidth="1" collapsed="1"/>
    <col min="3590" max="3840" width="9.140625" style="32" collapsed="1"/>
    <col min="3841" max="3841" width="5.28515625" style="32" bestFit="1" customWidth="1" collapsed="1"/>
    <col min="3842" max="3842" width="14.28515625" style="32" bestFit="1" customWidth="1" collapsed="1"/>
    <col min="3843" max="3843" width="17" style="32" customWidth="1" collapsed="1"/>
    <col min="3844" max="3844" width="11.7109375" style="32" bestFit="1" customWidth="1" collapsed="1"/>
    <col min="3845" max="3845" width="12" style="32" bestFit="1" customWidth="1" collapsed="1"/>
    <col min="3846" max="4096" width="9.140625" style="32" collapsed="1"/>
    <col min="4097" max="4097" width="5.28515625" style="32" bestFit="1" customWidth="1" collapsed="1"/>
    <col min="4098" max="4098" width="14.28515625" style="32" bestFit="1" customWidth="1" collapsed="1"/>
    <col min="4099" max="4099" width="17" style="32" customWidth="1" collapsed="1"/>
    <col min="4100" max="4100" width="11.7109375" style="32" bestFit="1" customWidth="1" collapsed="1"/>
    <col min="4101" max="4101" width="12" style="32" bestFit="1" customWidth="1" collapsed="1"/>
    <col min="4102" max="4352" width="9.140625" style="32" collapsed="1"/>
    <col min="4353" max="4353" width="5.28515625" style="32" bestFit="1" customWidth="1" collapsed="1"/>
    <col min="4354" max="4354" width="14.28515625" style="32" bestFit="1" customWidth="1" collapsed="1"/>
    <col min="4355" max="4355" width="17" style="32" customWidth="1" collapsed="1"/>
    <col min="4356" max="4356" width="11.7109375" style="32" bestFit="1" customWidth="1" collapsed="1"/>
    <col min="4357" max="4357" width="12" style="32" bestFit="1" customWidth="1" collapsed="1"/>
    <col min="4358" max="4608" width="9.140625" style="32" collapsed="1"/>
    <col min="4609" max="4609" width="5.28515625" style="32" bestFit="1" customWidth="1" collapsed="1"/>
    <col min="4610" max="4610" width="14.28515625" style="32" bestFit="1" customWidth="1" collapsed="1"/>
    <col min="4611" max="4611" width="17" style="32" customWidth="1" collapsed="1"/>
    <col min="4612" max="4612" width="11.7109375" style="32" bestFit="1" customWidth="1" collapsed="1"/>
    <col min="4613" max="4613" width="12" style="32" bestFit="1" customWidth="1" collapsed="1"/>
    <col min="4614" max="4864" width="9.140625" style="32" collapsed="1"/>
    <col min="4865" max="4865" width="5.28515625" style="32" bestFit="1" customWidth="1" collapsed="1"/>
    <col min="4866" max="4866" width="14.28515625" style="32" bestFit="1" customWidth="1" collapsed="1"/>
    <col min="4867" max="4867" width="17" style="32" customWidth="1" collapsed="1"/>
    <col min="4868" max="4868" width="11.7109375" style="32" bestFit="1" customWidth="1" collapsed="1"/>
    <col min="4869" max="4869" width="12" style="32" bestFit="1" customWidth="1" collapsed="1"/>
    <col min="4870" max="5120" width="9.140625" style="32" collapsed="1"/>
    <col min="5121" max="5121" width="5.28515625" style="32" bestFit="1" customWidth="1" collapsed="1"/>
    <col min="5122" max="5122" width="14.28515625" style="32" bestFit="1" customWidth="1" collapsed="1"/>
    <col min="5123" max="5123" width="17" style="32" customWidth="1" collapsed="1"/>
    <col min="5124" max="5124" width="11.7109375" style="32" bestFit="1" customWidth="1" collapsed="1"/>
    <col min="5125" max="5125" width="12" style="32" bestFit="1" customWidth="1" collapsed="1"/>
    <col min="5126" max="5376" width="9.140625" style="32" collapsed="1"/>
    <col min="5377" max="5377" width="5.28515625" style="32" bestFit="1" customWidth="1" collapsed="1"/>
    <col min="5378" max="5378" width="14.28515625" style="32" bestFit="1" customWidth="1" collapsed="1"/>
    <col min="5379" max="5379" width="17" style="32" customWidth="1" collapsed="1"/>
    <col min="5380" max="5380" width="11.7109375" style="32" bestFit="1" customWidth="1" collapsed="1"/>
    <col min="5381" max="5381" width="12" style="32" bestFit="1" customWidth="1" collapsed="1"/>
    <col min="5382" max="5632" width="9.140625" style="32" collapsed="1"/>
    <col min="5633" max="5633" width="5.28515625" style="32" bestFit="1" customWidth="1" collapsed="1"/>
    <col min="5634" max="5634" width="14.28515625" style="32" bestFit="1" customWidth="1" collapsed="1"/>
    <col min="5635" max="5635" width="17" style="32" customWidth="1" collapsed="1"/>
    <col min="5636" max="5636" width="11.7109375" style="32" bestFit="1" customWidth="1" collapsed="1"/>
    <col min="5637" max="5637" width="12" style="32" bestFit="1" customWidth="1" collapsed="1"/>
    <col min="5638" max="5888" width="9.140625" style="32" collapsed="1"/>
    <col min="5889" max="5889" width="5.28515625" style="32" bestFit="1" customWidth="1" collapsed="1"/>
    <col min="5890" max="5890" width="14.28515625" style="32" bestFit="1" customWidth="1" collapsed="1"/>
    <col min="5891" max="5891" width="17" style="32" customWidth="1" collapsed="1"/>
    <col min="5892" max="5892" width="11.7109375" style="32" bestFit="1" customWidth="1" collapsed="1"/>
    <col min="5893" max="5893" width="12" style="32" bestFit="1" customWidth="1" collapsed="1"/>
    <col min="5894" max="6144" width="9.140625" style="32" collapsed="1"/>
    <col min="6145" max="6145" width="5.28515625" style="32" bestFit="1" customWidth="1" collapsed="1"/>
    <col min="6146" max="6146" width="14.28515625" style="32" bestFit="1" customWidth="1" collapsed="1"/>
    <col min="6147" max="6147" width="17" style="32" customWidth="1" collapsed="1"/>
    <col min="6148" max="6148" width="11.7109375" style="32" bestFit="1" customWidth="1" collapsed="1"/>
    <col min="6149" max="6149" width="12" style="32" bestFit="1" customWidth="1" collapsed="1"/>
    <col min="6150" max="6400" width="9.140625" style="32" collapsed="1"/>
    <col min="6401" max="6401" width="5.28515625" style="32" bestFit="1" customWidth="1" collapsed="1"/>
    <col min="6402" max="6402" width="14.28515625" style="32" bestFit="1" customWidth="1" collapsed="1"/>
    <col min="6403" max="6403" width="17" style="32" customWidth="1" collapsed="1"/>
    <col min="6404" max="6404" width="11.7109375" style="32" bestFit="1" customWidth="1" collapsed="1"/>
    <col min="6405" max="6405" width="12" style="32" bestFit="1" customWidth="1" collapsed="1"/>
    <col min="6406" max="6656" width="9.140625" style="32" collapsed="1"/>
    <col min="6657" max="6657" width="5.28515625" style="32" bestFit="1" customWidth="1" collapsed="1"/>
    <col min="6658" max="6658" width="14.28515625" style="32" bestFit="1" customWidth="1" collapsed="1"/>
    <col min="6659" max="6659" width="17" style="32" customWidth="1" collapsed="1"/>
    <col min="6660" max="6660" width="11.7109375" style="32" bestFit="1" customWidth="1" collapsed="1"/>
    <col min="6661" max="6661" width="12" style="32" bestFit="1" customWidth="1" collapsed="1"/>
    <col min="6662" max="6912" width="9.140625" style="32" collapsed="1"/>
    <col min="6913" max="6913" width="5.28515625" style="32" bestFit="1" customWidth="1" collapsed="1"/>
    <col min="6914" max="6914" width="14.28515625" style="32" bestFit="1" customWidth="1" collapsed="1"/>
    <col min="6915" max="6915" width="17" style="32" customWidth="1" collapsed="1"/>
    <col min="6916" max="6916" width="11.7109375" style="32" bestFit="1" customWidth="1" collapsed="1"/>
    <col min="6917" max="6917" width="12" style="32" bestFit="1" customWidth="1" collapsed="1"/>
    <col min="6918" max="7168" width="9.140625" style="32" collapsed="1"/>
    <col min="7169" max="7169" width="5.28515625" style="32" bestFit="1" customWidth="1" collapsed="1"/>
    <col min="7170" max="7170" width="14.28515625" style="32" bestFit="1" customWidth="1" collapsed="1"/>
    <col min="7171" max="7171" width="17" style="32" customWidth="1" collapsed="1"/>
    <col min="7172" max="7172" width="11.7109375" style="32" bestFit="1" customWidth="1" collapsed="1"/>
    <col min="7173" max="7173" width="12" style="32" bestFit="1" customWidth="1" collapsed="1"/>
    <col min="7174" max="7424" width="9.140625" style="32" collapsed="1"/>
    <col min="7425" max="7425" width="5.28515625" style="32" bestFit="1" customWidth="1" collapsed="1"/>
    <col min="7426" max="7426" width="14.28515625" style="32" bestFit="1" customWidth="1" collapsed="1"/>
    <col min="7427" max="7427" width="17" style="32" customWidth="1" collapsed="1"/>
    <col min="7428" max="7428" width="11.7109375" style="32" bestFit="1" customWidth="1" collapsed="1"/>
    <col min="7429" max="7429" width="12" style="32" bestFit="1" customWidth="1" collapsed="1"/>
    <col min="7430" max="7680" width="9.140625" style="32" collapsed="1"/>
    <col min="7681" max="7681" width="5.28515625" style="32" bestFit="1" customWidth="1" collapsed="1"/>
    <col min="7682" max="7682" width="14.28515625" style="32" bestFit="1" customWidth="1" collapsed="1"/>
    <col min="7683" max="7683" width="17" style="32" customWidth="1" collapsed="1"/>
    <col min="7684" max="7684" width="11.7109375" style="32" bestFit="1" customWidth="1" collapsed="1"/>
    <col min="7685" max="7685" width="12" style="32" bestFit="1" customWidth="1" collapsed="1"/>
    <col min="7686" max="7936" width="9.140625" style="32" collapsed="1"/>
    <col min="7937" max="7937" width="5.28515625" style="32" bestFit="1" customWidth="1" collapsed="1"/>
    <col min="7938" max="7938" width="14.28515625" style="32" bestFit="1" customWidth="1" collapsed="1"/>
    <col min="7939" max="7939" width="17" style="32" customWidth="1" collapsed="1"/>
    <col min="7940" max="7940" width="11.7109375" style="32" bestFit="1" customWidth="1" collapsed="1"/>
    <col min="7941" max="7941" width="12" style="32" bestFit="1" customWidth="1" collapsed="1"/>
    <col min="7942" max="8192" width="9.140625" style="32" collapsed="1"/>
    <col min="8193" max="8193" width="5.28515625" style="32" bestFit="1" customWidth="1" collapsed="1"/>
    <col min="8194" max="8194" width="14.28515625" style="32" bestFit="1" customWidth="1" collapsed="1"/>
    <col min="8195" max="8195" width="17" style="32" customWidth="1" collapsed="1"/>
    <col min="8196" max="8196" width="11.7109375" style="32" bestFit="1" customWidth="1" collapsed="1"/>
    <col min="8197" max="8197" width="12" style="32" bestFit="1" customWidth="1" collapsed="1"/>
    <col min="8198" max="8448" width="9.140625" style="32" collapsed="1"/>
    <col min="8449" max="8449" width="5.28515625" style="32" bestFit="1" customWidth="1" collapsed="1"/>
    <col min="8450" max="8450" width="14.28515625" style="32" bestFit="1" customWidth="1" collapsed="1"/>
    <col min="8451" max="8451" width="17" style="32" customWidth="1" collapsed="1"/>
    <col min="8452" max="8452" width="11.7109375" style="32" bestFit="1" customWidth="1" collapsed="1"/>
    <col min="8453" max="8453" width="12" style="32" bestFit="1" customWidth="1" collapsed="1"/>
    <col min="8454" max="8704" width="9.140625" style="32" collapsed="1"/>
    <col min="8705" max="8705" width="5.28515625" style="32" bestFit="1" customWidth="1" collapsed="1"/>
    <col min="8706" max="8706" width="14.28515625" style="32" bestFit="1" customWidth="1" collapsed="1"/>
    <col min="8707" max="8707" width="17" style="32" customWidth="1" collapsed="1"/>
    <col min="8708" max="8708" width="11.7109375" style="32" bestFit="1" customWidth="1" collapsed="1"/>
    <col min="8709" max="8709" width="12" style="32" bestFit="1" customWidth="1" collapsed="1"/>
    <col min="8710" max="8960" width="9.140625" style="32" collapsed="1"/>
    <col min="8961" max="8961" width="5.28515625" style="32" bestFit="1" customWidth="1" collapsed="1"/>
    <col min="8962" max="8962" width="14.28515625" style="32" bestFit="1" customWidth="1" collapsed="1"/>
    <col min="8963" max="8963" width="17" style="32" customWidth="1" collapsed="1"/>
    <col min="8964" max="8964" width="11.7109375" style="32" bestFit="1" customWidth="1" collapsed="1"/>
    <col min="8965" max="8965" width="12" style="32" bestFit="1" customWidth="1" collapsed="1"/>
    <col min="8966" max="9216" width="9.140625" style="32" collapsed="1"/>
    <col min="9217" max="9217" width="5.28515625" style="32" bestFit="1" customWidth="1" collapsed="1"/>
    <col min="9218" max="9218" width="14.28515625" style="32" bestFit="1" customWidth="1" collapsed="1"/>
    <col min="9219" max="9219" width="17" style="32" customWidth="1" collapsed="1"/>
    <col min="9220" max="9220" width="11.7109375" style="32" bestFit="1" customWidth="1" collapsed="1"/>
    <col min="9221" max="9221" width="12" style="32" bestFit="1" customWidth="1" collapsed="1"/>
    <col min="9222" max="9472" width="9.140625" style="32" collapsed="1"/>
    <col min="9473" max="9473" width="5.28515625" style="32" bestFit="1" customWidth="1" collapsed="1"/>
    <col min="9474" max="9474" width="14.28515625" style="32" bestFit="1" customWidth="1" collapsed="1"/>
    <col min="9475" max="9475" width="17" style="32" customWidth="1" collapsed="1"/>
    <col min="9476" max="9476" width="11.7109375" style="32" bestFit="1" customWidth="1" collapsed="1"/>
    <col min="9477" max="9477" width="12" style="32" bestFit="1" customWidth="1" collapsed="1"/>
    <col min="9478" max="9728" width="9.140625" style="32" collapsed="1"/>
    <col min="9729" max="9729" width="5.28515625" style="32" bestFit="1" customWidth="1" collapsed="1"/>
    <col min="9730" max="9730" width="14.28515625" style="32" bestFit="1" customWidth="1" collapsed="1"/>
    <col min="9731" max="9731" width="17" style="32" customWidth="1" collapsed="1"/>
    <col min="9732" max="9732" width="11.7109375" style="32" bestFit="1" customWidth="1" collapsed="1"/>
    <col min="9733" max="9733" width="12" style="32" bestFit="1" customWidth="1" collapsed="1"/>
    <col min="9734" max="9984" width="9.140625" style="32" collapsed="1"/>
    <col min="9985" max="9985" width="5.28515625" style="32" bestFit="1" customWidth="1" collapsed="1"/>
    <col min="9986" max="9986" width="14.28515625" style="32" bestFit="1" customWidth="1" collapsed="1"/>
    <col min="9987" max="9987" width="17" style="32" customWidth="1" collapsed="1"/>
    <col min="9988" max="9988" width="11.7109375" style="32" bestFit="1" customWidth="1" collapsed="1"/>
    <col min="9989" max="9989" width="12" style="32" bestFit="1" customWidth="1" collapsed="1"/>
    <col min="9990" max="10240" width="9.140625" style="32" collapsed="1"/>
    <col min="10241" max="10241" width="5.28515625" style="32" bestFit="1" customWidth="1" collapsed="1"/>
    <col min="10242" max="10242" width="14.28515625" style="32" bestFit="1" customWidth="1" collapsed="1"/>
    <col min="10243" max="10243" width="17" style="32" customWidth="1" collapsed="1"/>
    <col min="10244" max="10244" width="11.7109375" style="32" bestFit="1" customWidth="1" collapsed="1"/>
    <col min="10245" max="10245" width="12" style="32" bestFit="1" customWidth="1" collapsed="1"/>
    <col min="10246" max="10496" width="9.140625" style="32" collapsed="1"/>
    <col min="10497" max="10497" width="5.28515625" style="32" bestFit="1" customWidth="1" collapsed="1"/>
    <col min="10498" max="10498" width="14.28515625" style="32" bestFit="1" customWidth="1" collapsed="1"/>
    <col min="10499" max="10499" width="17" style="32" customWidth="1" collapsed="1"/>
    <col min="10500" max="10500" width="11.7109375" style="32" bestFit="1" customWidth="1" collapsed="1"/>
    <col min="10501" max="10501" width="12" style="32" bestFit="1" customWidth="1" collapsed="1"/>
    <col min="10502" max="10752" width="9.140625" style="32" collapsed="1"/>
    <col min="10753" max="10753" width="5.28515625" style="32" bestFit="1" customWidth="1" collapsed="1"/>
    <col min="10754" max="10754" width="14.28515625" style="32" bestFit="1" customWidth="1" collapsed="1"/>
    <col min="10755" max="10755" width="17" style="32" customWidth="1" collapsed="1"/>
    <col min="10756" max="10756" width="11.7109375" style="32" bestFit="1" customWidth="1" collapsed="1"/>
    <col min="10757" max="10757" width="12" style="32" bestFit="1" customWidth="1" collapsed="1"/>
    <col min="10758" max="11008" width="9.140625" style="32" collapsed="1"/>
    <col min="11009" max="11009" width="5.28515625" style="32" bestFit="1" customWidth="1" collapsed="1"/>
    <col min="11010" max="11010" width="14.28515625" style="32" bestFit="1" customWidth="1" collapsed="1"/>
    <col min="11011" max="11011" width="17" style="32" customWidth="1" collapsed="1"/>
    <col min="11012" max="11012" width="11.7109375" style="32" bestFit="1" customWidth="1" collapsed="1"/>
    <col min="11013" max="11013" width="12" style="32" bestFit="1" customWidth="1" collapsed="1"/>
    <col min="11014" max="11264" width="9.140625" style="32" collapsed="1"/>
    <col min="11265" max="11265" width="5.28515625" style="32" bestFit="1" customWidth="1" collapsed="1"/>
    <col min="11266" max="11266" width="14.28515625" style="32" bestFit="1" customWidth="1" collapsed="1"/>
    <col min="11267" max="11267" width="17" style="32" customWidth="1" collapsed="1"/>
    <col min="11268" max="11268" width="11.7109375" style="32" bestFit="1" customWidth="1" collapsed="1"/>
    <col min="11269" max="11269" width="12" style="32" bestFit="1" customWidth="1" collapsed="1"/>
    <col min="11270" max="11520" width="9.140625" style="32" collapsed="1"/>
    <col min="11521" max="11521" width="5.28515625" style="32" bestFit="1" customWidth="1" collapsed="1"/>
    <col min="11522" max="11522" width="14.28515625" style="32" bestFit="1" customWidth="1" collapsed="1"/>
    <col min="11523" max="11523" width="17" style="32" customWidth="1" collapsed="1"/>
    <col min="11524" max="11524" width="11.7109375" style="32" bestFit="1" customWidth="1" collapsed="1"/>
    <col min="11525" max="11525" width="12" style="32" bestFit="1" customWidth="1" collapsed="1"/>
    <col min="11526" max="11776" width="9.140625" style="32" collapsed="1"/>
    <col min="11777" max="11777" width="5.28515625" style="32" bestFit="1" customWidth="1" collapsed="1"/>
    <col min="11778" max="11778" width="14.28515625" style="32" bestFit="1" customWidth="1" collapsed="1"/>
    <col min="11779" max="11779" width="17" style="32" customWidth="1" collapsed="1"/>
    <col min="11780" max="11780" width="11.7109375" style="32" bestFit="1" customWidth="1" collapsed="1"/>
    <col min="11781" max="11781" width="12" style="32" bestFit="1" customWidth="1" collapsed="1"/>
    <col min="11782" max="12032" width="9.140625" style="32" collapsed="1"/>
    <col min="12033" max="12033" width="5.28515625" style="32" bestFit="1" customWidth="1" collapsed="1"/>
    <col min="12034" max="12034" width="14.28515625" style="32" bestFit="1" customWidth="1" collapsed="1"/>
    <col min="12035" max="12035" width="17" style="32" customWidth="1" collapsed="1"/>
    <col min="12036" max="12036" width="11.7109375" style="32" bestFit="1" customWidth="1" collapsed="1"/>
    <col min="12037" max="12037" width="12" style="32" bestFit="1" customWidth="1" collapsed="1"/>
    <col min="12038" max="12288" width="9.140625" style="32" collapsed="1"/>
    <col min="12289" max="12289" width="5.28515625" style="32" bestFit="1" customWidth="1" collapsed="1"/>
    <col min="12290" max="12290" width="14.28515625" style="32" bestFit="1" customWidth="1" collapsed="1"/>
    <col min="12291" max="12291" width="17" style="32" customWidth="1" collapsed="1"/>
    <col min="12292" max="12292" width="11.7109375" style="32" bestFit="1" customWidth="1" collapsed="1"/>
    <col min="12293" max="12293" width="12" style="32" bestFit="1" customWidth="1" collapsed="1"/>
    <col min="12294" max="12544" width="9.140625" style="32" collapsed="1"/>
    <col min="12545" max="12545" width="5.28515625" style="32" bestFit="1" customWidth="1" collapsed="1"/>
    <col min="12546" max="12546" width="14.28515625" style="32" bestFit="1" customWidth="1" collapsed="1"/>
    <col min="12547" max="12547" width="17" style="32" customWidth="1" collapsed="1"/>
    <col min="12548" max="12548" width="11.7109375" style="32" bestFit="1" customWidth="1" collapsed="1"/>
    <col min="12549" max="12549" width="12" style="32" bestFit="1" customWidth="1" collapsed="1"/>
    <col min="12550" max="12800" width="9.140625" style="32" collapsed="1"/>
    <col min="12801" max="12801" width="5.28515625" style="32" bestFit="1" customWidth="1" collapsed="1"/>
    <col min="12802" max="12802" width="14.28515625" style="32" bestFit="1" customWidth="1" collapsed="1"/>
    <col min="12803" max="12803" width="17" style="32" customWidth="1" collapsed="1"/>
    <col min="12804" max="12804" width="11.7109375" style="32" bestFit="1" customWidth="1" collapsed="1"/>
    <col min="12805" max="12805" width="12" style="32" bestFit="1" customWidth="1" collapsed="1"/>
    <col min="12806" max="13056" width="9.140625" style="32" collapsed="1"/>
    <col min="13057" max="13057" width="5.28515625" style="32" bestFit="1" customWidth="1" collapsed="1"/>
    <col min="13058" max="13058" width="14.28515625" style="32" bestFit="1" customWidth="1" collapsed="1"/>
    <col min="13059" max="13059" width="17" style="32" customWidth="1" collapsed="1"/>
    <col min="13060" max="13060" width="11.7109375" style="32" bestFit="1" customWidth="1" collapsed="1"/>
    <col min="13061" max="13061" width="12" style="32" bestFit="1" customWidth="1" collapsed="1"/>
    <col min="13062" max="13312" width="9.140625" style="32" collapsed="1"/>
    <col min="13313" max="13313" width="5.28515625" style="32" bestFit="1" customWidth="1" collapsed="1"/>
    <col min="13314" max="13314" width="14.28515625" style="32" bestFit="1" customWidth="1" collapsed="1"/>
    <col min="13315" max="13315" width="17" style="32" customWidth="1" collapsed="1"/>
    <col min="13316" max="13316" width="11.7109375" style="32" bestFit="1" customWidth="1" collapsed="1"/>
    <col min="13317" max="13317" width="12" style="32" bestFit="1" customWidth="1" collapsed="1"/>
    <col min="13318" max="13568" width="9.140625" style="32" collapsed="1"/>
    <col min="13569" max="13569" width="5.28515625" style="32" bestFit="1" customWidth="1" collapsed="1"/>
    <col min="13570" max="13570" width="14.28515625" style="32" bestFit="1" customWidth="1" collapsed="1"/>
    <col min="13571" max="13571" width="17" style="32" customWidth="1" collapsed="1"/>
    <col min="13572" max="13572" width="11.7109375" style="32" bestFit="1" customWidth="1" collapsed="1"/>
    <col min="13573" max="13573" width="12" style="32" bestFit="1" customWidth="1" collapsed="1"/>
    <col min="13574" max="13824" width="9.140625" style="32" collapsed="1"/>
    <col min="13825" max="13825" width="5.28515625" style="32" bestFit="1" customWidth="1" collapsed="1"/>
    <col min="13826" max="13826" width="14.28515625" style="32" bestFit="1" customWidth="1" collapsed="1"/>
    <col min="13827" max="13827" width="17" style="32" customWidth="1" collapsed="1"/>
    <col min="13828" max="13828" width="11.7109375" style="32" bestFit="1" customWidth="1" collapsed="1"/>
    <col min="13829" max="13829" width="12" style="32" bestFit="1" customWidth="1" collapsed="1"/>
    <col min="13830" max="14080" width="9.140625" style="32" collapsed="1"/>
    <col min="14081" max="14081" width="5.28515625" style="32" bestFit="1" customWidth="1" collapsed="1"/>
    <col min="14082" max="14082" width="14.28515625" style="32" bestFit="1" customWidth="1" collapsed="1"/>
    <col min="14083" max="14083" width="17" style="32" customWidth="1" collapsed="1"/>
    <col min="14084" max="14084" width="11.7109375" style="32" bestFit="1" customWidth="1" collapsed="1"/>
    <col min="14085" max="14085" width="12" style="32" bestFit="1" customWidth="1" collapsed="1"/>
    <col min="14086" max="14336" width="9.140625" style="32" collapsed="1"/>
    <col min="14337" max="14337" width="5.28515625" style="32" bestFit="1" customWidth="1" collapsed="1"/>
    <col min="14338" max="14338" width="14.28515625" style="32" bestFit="1" customWidth="1" collapsed="1"/>
    <col min="14339" max="14339" width="17" style="32" customWidth="1" collapsed="1"/>
    <col min="14340" max="14340" width="11.7109375" style="32" bestFit="1" customWidth="1" collapsed="1"/>
    <col min="14341" max="14341" width="12" style="32" bestFit="1" customWidth="1" collapsed="1"/>
    <col min="14342" max="14592" width="9.140625" style="32" collapsed="1"/>
    <col min="14593" max="14593" width="5.28515625" style="32" bestFit="1" customWidth="1" collapsed="1"/>
    <col min="14594" max="14594" width="14.28515625" style="32" bestFit="1" customWidth="1" collapsed="1"/>
    <col min="14595" max="14595" width="17" style="32" customWidth="1" collapsed="1"/>
    <col min="14596" max="14596" width="11.7109375" style="32" bestFit="1" customWidth="1" collapsed="1"/>
    <col min="14597" max="14597" width="12" style="32" bestFit="1" customWidth="1" collapsed="1"/>
    <col min="14598" max="14848" width="9.140625" style="32" collapsed="1"/>
    <col min="14849" max="14849" width="5.28515625" style="32" bestFit="1" customWidth="1" collapsed="1"/>
    <col min="14850" max="14850" width="14.28515625" style="32" bestFit="1" customWidth="1" collapsed="1"/>
    <col min="14851" max="14851" width="17" style="32" customWidth="1" collapsed="1"/>
    <col min="14852" max="14852" width="11.7109375" style="32" bestFit="1" customWidth="1" collapsed="1"/>
    <col min="14853" max="14853" width="12" style="32" bestFit="1" customWidth="1" collapsed="1"/>
    <col min="14854" max="15104" width="9.140625" style="32" collapsed="1"/>
    <col min="15105" max="15105" width="5.28515625" style="32" bestFit="1" customWidth="1" collapsed="1"/>
    <col min="15106" max="15106" width="14.28515625" style="32" bestFit="1" customWidth="1" collapsed="1"/>
    <col min="15107" max="15107" width="17" style="32" customWidth="1" collapsed="1"/>
    <col min="15108" max="15108" width="11.7109375" style="32" bestFit="1" customWidth="1" collapsed="1"/>
    <col min="15109" max="15109" width="12" style="32" bestFit="1" customWidth="1" collapsed="1"/>
    <col min="15110" max="15360" width="9.140625" style="32" collapsed="1"/>
    <col min="15361" max="15361" width="5.28515625" style="32" bestFit="1" customWidth="1" collapsed="1"/>
    <col min="15362" max="15362" width="14.28515625" style="32" bestFit="1" customWidth="1" collapsed="1"/>
    <col min="15363" max="15363" width="17" style="32" customWidth="1" collapsed="1"/>
    <col min="15364" max="15364" width="11.7109375" style="32" bestFit="1" customWidth="1" collapsed="1"/>
    <col min="15365" max="15365" width="12" style="32" bestFit="1" customWidth="1" collapsed="1"/>
    <col min="15366" max="15616" width="9.140625" style="32" collapsed="1"/>
    <col min="15617" max="15617" width="5.28515625" style="32" bestFit="1" customWidth="1" collapsed="1"/>
    <col min="15618" max="15618" width="14.28515625" style="32" bestFit="1" customWidth="1" collapsed="1"/>
    <col min="15619" max="15619" width="17" style="32" customWidth="1" collapsed="1"/>
    <col min="15620" max="15620" width="11.7109375" style="32" bestFit="1" customWidth="1" collapsed="1"/>
    <col min="15621" max="15621" width="12" style="32" bestFit="1" customWidth="1" collapsed="1"/>
    <col min="15622" max="15872" width="9.140625" style="32" collapsed="1"/>
    <col min="15873" max="15873" width="5.28515625" style="32" bestFit="1" customWidth="1" collapsed="1"/>
    <col min="15874" max="15874" width="14.28515625" style="32" bestFit="1" customWidth="1" collapsed="1"/>
    <col min="15875" max="15875" width="17" style="32" customWidth="1" collapsed="1"/>
    <col min="15876" max="15876" width="11.7109375" style="32" bestFit="1" customWidth="1" collapsed="1"/>
    <col min="15877" max="15877" width="12" style="32" bestFit="1" customWidth="1" collapsed="1"/>
    <col min="15878" max="16128" width="9.140625" style="32" collapsed="1"/>
    <col min="16129" max="16129" width="5.28515625" style="32" bestFit="1" customWidth="1" collapsed="1"/>
    <col min="16130" max="16130" width="14.28515625" style="32" bestFit="1" customWidth="1" collapsed="1"/>
    <col min="16131" max="16131" width="17" style="32" customWidth="1" collapsed="1"/>
    <col min="16132" max="16132" width="11.7109375" style="32" bestFit="1" customWidth="1" collapsed="1"/>
    <col min="16133" max="16133" width="12" style="32" bestFit="1" customWidth="1" collapsed="1"/>
    <col min="16134" max="16384" width="9.140625" style="32" collapsed="1"/>
  </cols>
  <sheetData>
    <row r="1" spans="1:27" s="103" customFormat="1" ht="6.75">
      <c r="A1" s="103" t="s">
        <v>494</v>
      </c>
      <c r="B1" s="103" t="s">
        <v>95</v>
      </c>
      <c r="C1" s="103" t="s">
        <v>782</v>
      </c>
      <c r="D1" s="103" t="s">
        <v>49</v>
      </c>
      <c r="E1" s="101"/>
      <c r="G1" s="145"/>
      <c r="I1" s="146"/>
    </row>
    <row r="2" spans="1:27" s="103" customFormat="1" ht="6.75">
      <c r="A2" s="103" t="s">
        <v>68</v>
      </c>
      <c r="B2" s="103" t="s">
        <v>455</v>
      </c>
      <c r="C2" s="103" t="s">
        <v>443</v>
      </c>
      <c r="D2" s="103" t="s">
        <v>444</v>
      </c>
      <c r="E2" s="101" t="s">
        <v>493</v>
      </c>
      <c r="F2" s="103" t="s">
        <v>445</v>
      </c>
      <c r="G2" s="103" t="s">
        <v>115</v>
      </c>
      <c r="H2" s="103" t="s">
        <v>436</v>
      </c>
      <c r="I2" s="103" t="s">
        <v>446</v>
      </c>
      <c r="J2" s="108"/>
    </row>
    <row r="3" spans="1:27" s="44" customFormat="1">
      <c r="A3" s="65" t="s">
        <v>71</v>
      </c>
      <c r="B3" s="65" t="s">
        <v>72</v>
      </c>
      <c r="C3" s="65"/>
      <c r="D3" s="66">
        <v>1</v>
      </c>
      <c r="E3" s="94" t="s">
        <v>73</v>
      </c>
      <c r="F3" s="49">
        <f>'Run Parameters'!B5</f>
        <v>111011</v>
      </c>
      <c r="G3" s="49" t="str">
        <f>'Run Parameters'!B6</f>
        <v>111Siemens</v>
      </c>
      <c r="H3" s="49" t="str">
        <f>'Run Parameters'!B7</f>
        <v>https://siemens-og-bykrw4bu7an2nvbgh7xdzce7-sdg1-dev.mbaas1.sdg.feedhenry.com/#/login</v>
      </c>
      <c r="I3" s="45" t="s">
        <v>73</v>
      </c>
      <c r="J3" s="86"/>
      <c r="K3" s="46"/>
      <c r="L3" s="46"/>
      <c r="M3" s="46"/>
      <c r="N3" s="46"/>
      <c r="O3" s="46"/>
      <c r="P3" s="46"/>
      <c r="Q3" s="46"/>
      <c r="R3" s="47"/>
      <c r="S3" s="46"/>
      <c r="T3" s="46"/>
      <c r="U3" s="46"/>
    </row>
    <row r="4" spans="1:27" s="103" customFormat="1" ht="6.75">
      <c r="A4" s="103" t="s">
        <v>68</v>
      </c>
      <c r="B4" s="103" t="s">
        <v>455</v>
      </c>
      <c r="C4" s="103" t="s">
        <v>443</v>
      </c>
      <c r="D4" s="103" t="s">
        <v>444</v>
      </c>
      <c r="E4" s="101" t="s">
        <v>493</v>
      </c>
      <c r="F4" s="103" t="s">
        <v>454</v>
      </c>
      <c r="G4" s="103" t="s">
        <v>453</v>
      </c>
      <c r="H4" s="103" t="s">
        <v>447</v>
      </c>
      <c r="I4" s="103" t="s">
        <v>448</v>
      </c>
      <c r="J4" s="103" t="s">
        <v>450</v>
      </c>
      <c r="K4" s="103" t="s">
        <v>451</v>
      </c>
      <c r="L4" s="103" t="s">
        <v>452</v>
      </c>
      <c r="M4" s="103" t="s">
        <v>442</v>
      </c>
      <c r="N4" s="103" t="s">
        <v>37</v>
      </c>
      <c r="O4" s="103" t="s">
        <v>441</v>
      </c>
      <c r="P4" s="108" t="s">
        <v>491</v>
      </c>
    </row>
    <row r="5" spans="1:27" s="44" customFormat="1">
      <c r="A5" s="65" t="s">
        <v>71</v>
      </c>
      <c r="B5" s="65" t="s">
        <v>495</v>
      </c>
      <c r="C5" s="65"/>
      <c r="D5" s="66">
        <v>1</v>
      </c>
      <c r="E5" s="94" t="s">
        <v>73</v>
      </c>
      <c r="F5" s="49">
        <f ca="1">(INDIRECT("'Data'!C"&amp;($C$1)))</f>
        <v>111011</v>
      </c>
      <c r="G5" s="50" t="s">
        <v>98</v>
      </c>
      <c r="H5" s="49" t="str">
        <f ca="1">(INDIRECT("'Data'!F"&amp;($C$1)))</f>
        <v>EXCHANGE GAS METER TO SECURE SMART CREDIT</v>
      </c>
      <c r="I5" s="48" t="str">
        <f ca="1">(INDIRECT("'Data'!E"&amp;($C$1)))</f>
        <v>S</v>
      </c>
      <c r="J5" s="48">
        <f ca="1">(INDIRECT("'Data'!AS"&amp;($C$1)))</f>
        <v>0</v>
      </c>
      <c r="K5" s="48" t="str">
        <f ca="1">(INDIRECT("'Data'!AT"&amp;($C$1)))</f>
        <v>TPJR00530</v>
      </c>
      <c r="L5" s="48">
        <f ca="1">(INDIRECT("'Data'!AU"&amp;($C$1)))</f>
        <v>0</v>
      </c>
      <c r="M5" s="48">
        <f ca="1">(INDIRECT("'Data'!AV"&amp;($C$1)))</f>
        <v>649</v>
      </c>
      <c r="N5" s="48" t="str">
        <f ca="1">(INDIRECT("'Data'!AW"&amp;($C$1)))</f>
        <v>EXCH1 ROAD</v>
      </c>
      <c r="O5" s="49" t="str">
        <f ca="1">CONCATENATE(RIGHT((INDIRECT("'Data'!X"&amp;($C$1))),5),"-",RIGHT(S7&amp;(INDIRECT("'Data'!Y"&amp;($C$1))),5))</f>
        <v>FRST-d-649</v>
      </c>
      <c r="P5" s="86"/>
      <c r="Q5" s="46"/>
      <c r="R5" s="46"/>
      <c r="S5" s="46"/>
    </row>
    <row r="6" spans="1:27" s="103" customFormat="1" ht="6.75">
      <c r="A6" s="103" t="s">
        <v>68</v>
      </c>
      <c r="B6" s="103" t="s">
        <v>455</v>
      </c>
      <c r="C6" s="103" t="s">
        <v>443</v>
      </c>
      <c r="D6" s="103" t="s">
        <v>444</v>
      </c>
      <c r="E6" s="101" t="s">
        <v>493</v>
      </c>
      <c r="F6" s="103" t="s">
        <v>447</v>
      </c>
      <c r="G6" s="103" t="s">
        <v>450</v>
      </c>
      <c r="H6" s="103" t="s">
        <v>451</v>
      </c>
      <c r="I6" s="103" t="s">
        <v>452</v>
      </c>
      <c r="J6" s="103" t="s">
        <v>442</v>
      </c>
      <c r="K6" s="103" t="s">
        <v>37</v>
      </c>
      <c r="L6" s="103" t="s">
        <v>448</v>
      </c>
      <c r="M6" s="103" t="s">
        <v>449</v>
      </c>
      <c r="N6" s="103" t="s">
        <v>439</v>
      </c>
      <c r="O6" s="103" t="s">
        <v>440</v>
      </c>
      <c r="P6" s="103" t="s">
        <v>78</v>
      </c>
      <c r="Q6" s="103" t="s">
        <v>79</v>
      </c>
      <c r="R6" s="103" t="s">
        <v>87</v>
      </c>
      <c r="S6" s="103" t="s">
        <v>80</v>
      </c>
      <c r="T6" s="103" t="s">
        <v>110</v>
      </c>
      <c r="U6" s="103" t="s">
        <v>114</v>
      </c>
      <c r="V6" s="103" t="s">
        <v>90</v>
      </c>
      <c r="W6" s="103" t="s">
        <v>81</v>
      </c>
      <c r="X6" s="103" t="s">
        <v>88</v>
      </c>
      <c r="Y6" s="103" t="s">
        <v>276</v>
      </c>
      <c r="Z6" s="103" t="s">
        <v>457</v>
      </c>
      <c r="AA6" s="108" t="s">
        <v>491</v>
      </c>
    </row>
    <row r="7" spans="1:27" s="44" customFormat="1">
      <c r="A7" s="65" t="s">
        <v>71</v>
      </c>
      <c r="B7" s="65" t="s">
        <v>496</v>
      </c>
      <c r="C7" s="65"/>
      <c r="D7" s="67">
        <v>1</v>
      </c>
      <c r="E7" s="94" t="s">
        <v>73</v>
      </c>
      <c r="F7" s="49" t="str">
        <f ca="1">(INDIRECT("'Data'!F"&amp;($C$1)))</f>
        <v>EXCHANGE GAS METER TO SECURE SMART CREDIT</v>
      </c>
      <c r="G7" s="48">
        <f ca="1">(INDIRECT("'Data'!AS"&amp;($C$1)))</f>
        <v>0</v>
      </c>
      <c r="H7" s="48" t="str">
        <f ca="1">(INDIRECT("'Data'!AT"&amp;($C$1)))</f>
        <v>TPJR00530</v>
      </c>
      <c r="I7" s="48">
        <f ca="1">(INDIRECT("'Data'!AU"&amp;($C$1)))</f>
        <v>0</v>
      </c>
      <c r="J7" s="48">
        <f ca="1">(INDIRECT("'Data'!AV"&amp;($C$1)))</f>
        <v>649</v>
      </c>
      <c r="K7" s="48" t="str">
        <f ca="1">(INDIRECT("'Data'!AW"&amp;($C$1)))</f>
        <v>EXCH1 ROAD</v>
      </c>
      <c r="L7" s="48" t="str">
        <f ca="1">(INDIRECT("'Data'!E"&amp;($C$1)))</f>
        <v>S</v>
      </c>
      <c r="M7" s="48" t="str">
        <f ca="1">(INDIRECT("'Data'!AI"&amp;($C$1)))</f>
        <v>2018-08-13 08:00</v>
      </c>
      <c r="N7" s="49">
        <f ca="1">(INDIRECT("'Data'!BG"&amp;($C$1)))</f>
        <v>0</v>
      </c>
      <c r="O7" s="49" t="str">
        <f ca="1">(INDIRECT("'Data'!CN"&amp;($C$1)))</f>
        <v>EXCHANGE GAS METER TO SECURE SMART CREDIT</v>
      </c>
      <c r="P7" s="49" t="str">
        <f ca="1">(INDIRECT("'Data'!AH"&amp;($C$1)))</f>
        <v>Site_Contact_649</v>
      </c>
      <c r="Q7" s="50" t="str">
        <f ca="1">(INDIRECT("'Data'!AE"&amp;($C$1)))</f>
        <v>LAST_METER-649</v>
      </c>
      <c r="R7" s="50" t="str">
        <f ca="1">(INDIRECT("'Data'!DK"&amp;($C$1)))</f>
        <v>G</v>
      </c>
      <c r="S7" s="50">
        <f ca="1">(INDIRECT("'Data'!D"&amp;($C$1)))</f>
        <v>649</v>
      </c>
      <c r="T7" s="50" t="str">
        <f ca="1">INDIRECT("'Data'!M"&amp;($C$1))</f>
        <v>Q</v>
      </c>
      <c r="U7" s="50" t="str">
        <f ca="1">INDIRECT("'Data'!AM"&amp;($C$1))</f>
        <v>0115649</v>
      </c>
      <c r="V7" s="50" t="str">
        <f ca="1">(INDIRECT("'Data'!N"&amp;($C$1)))</f>
        <v>UK_1_F</v>
      </c>
      <c r="W7" s="50">
        <f ca="1">(INDIRECT("'Data'!O"&amp;($C$1)))</f>
        <v>0</v>
      </c>
      <c r="X7" s="50" t="str">
        <f ca="1">(INDIRECT("'Data'!P"&amp;($C$1)))</f>
        <v>SN-649</v>
      </c>
      <c r="Y7" s="50">
        <f ca="1">(INDIRECT("'Data'!C"&amp;($C$1)))</f>
        <v>111011</v>
      </c>
      <c r="Z7" s="50" t="str">
        <f ca="1">(INDIRECT("'Data'!Q"&amp;($C$1)))</f>
        <v>SI-649</v>
      </c>
      <c r="AA7" s="86"/>
    </row>
    <row r="8" spans="1:27" s="103" customFormat="1" ht="6.75">
      <c r="A8" s="103" t="s">
        <v>68</v>
      </c>
      <c r="B8" s="103" t="s">
        <v>455</v>
      </c>
      <c r="C8" s="103" t="s">
        <v>443</v>
      </c>
      <c r="D8" s="103" t="s">
        <v>444</v>
      </c>
      <c r="E8" s="101" t="s">
        <v>493</v>
      </c>
      <c r="F8" s="103" t="s">
        <v>447</v>
      </c>
      <c r="G8" s="103" t="s">
        <v>37</v>
      </c>
      <c r="H8" s="103" t="s">
        <v>458</v>
      </c>
      <c r="I8" s="103" t="s">
        <v>459</v>
      </c>
      <c r="J8" s="103" t="s">
        <v>261</v>
      </c>
      <c r="K8" s="103" t="s">
        <v>460</v>
      </c>
      <c r="L8" s="103" t="s">
        <v>461</v>
      </c>
      <c r="M8" s="103" t="s">
        <v>260</v>
      </c>
      <c r="N8" s="103" t="s">
        <v>456</v>
      </c>
      <c r="O8" s="108" t="s">
        <v>491</v>
      </c>
    </row>
    <row r="9" spans="1:27" s="44" customFormat="1">
      <c r="A9" s="65" t="s">
        <v>71</v>
      </c>
      <c r="B9" s="65" t="s">
        <v>497</v>
      </c>
      <c r="C9" s="65"/>
      <c r="D9" s="67">
        <v>1</v>
      </c>
      <c r="E9" s="94" t="s">
        <v>73</v>
      </c>
      <c r="F9" s="49" t="str">
        <f ca="1">(INDIRECT("'Data'!F"&amp;($C$1)))</f>
        <v>EXCHANGE GAS METER TO SECURE SMART CREDIT</v>
      </c>
      <c r="G9" s="48" t="str">
        <f ca="1">(INDIRECT("'Data'!AW"&amp;($C$1)))</f>
        <v>EXCH1 ROAD</v>
      </c>
      <c r="H9" s="49">
        <f ca="1">(INDIRECT("'Data'!BL"&amp;($C$1)))</f>
        <v>0</v>
      </c>
      <c r="I9" s="49">
        <f ca="1">(INDIRECT("'Data'!BJ"&amp;($C$1)))</f>
        <v>0</v>
      </c>
      <c r="J9" s="49">
        <f ca="1">(INDIRECT("'Data'!BX"&amp;($C$1)))</f>
        <v>0</v>
      </c>
      <c r="K9" s="49">
        <f ca="1">(INDIRECT("'Data'!BO"&amp;($C$1)))</f>
        <v>0</v>
      </c>
      <c r="L9" s="49" t="str">
        <f ca="1">(INDIRECT("'Data'!CQ"&amp;($C$1)))</f>
        <v>10000649</v>
      </c>
      <c r="M9" s="49" t="str">
        <f ca="1">(INDIRECT("'Data'!CO"&amp;($C$1)))</f>
        <v>GAS_JOB_ID-649</v>
      </c>
      <c r="N9" s="49" t="str">
        <f ca="1">(INDIRECT("'Data'!CR"&amp;($C$1)))</f>
        <v>C</v>
      </c>
      <c r="O9" s="86"/>
    </row>
    <row r="10" spans="1:27" s="103" customFormat="1" ht="6.75">
      <c r="A10" s="103" t="s">
        <v>68</v>
      </c>
      <c r="B10" s="103" t="s">
        <v>455</v>
      </c>
      <c r="C10" s="103" t="s">
        <v>443</v>
      </c>
      <c r="D10" s="103" t="s">
        <v>444</v>
      </c>
      <c r="E10" s="101" t="s">
        <v>493</v>
      </c>
      <c r="F10" s="103" t="s">
        <v>262</v>
      </c>
      <c r="G10" s="103" t="s">
        <v>263</v>
      </c>
      <c r="H10" s="103" t="s">
        <v>447</v>
      </c>
      <c r="I10" s="103" t="s">
        <v>37</v>
      </c>
      <c r="J10" s="103" t="s">
        <v>43</v>
      </c>
      <c r="K10" s="103" t="s">
        <v>462</v>
      </c>
      <c r="L10" s="103" t="s">
        <v>465</v>
      </c>
      <c r="M10" s="103" t="s">
        <v>460</v>
      </c>
      <c r="N10" s="103" t="s">
        <v>463</v>
      </c>
      <c r="O10" s="103" t="s">
        <v>466</v>
      </c>
      <c r="P10" s="103" t="s">
        <v>464</v>
      </c>
      <c r="Q10" s="108" t="s">
        <v>491</v>
      </c>
    </row>
    <row r="11" spans="1:27" s="44" customFormat="1">
      <c r="A11" s="65" t="s">
        <v>71</v>
      </c>
      <c r="B11" s="65" t="s">
        <v>498</v>
      </c>
      <c r="C11" s="65"/>
      <c r="D11" s="66">
        <v>1</v>
      </c>
      <c r="E11" s="95" t="s">
        <v>73</v>
      </c>
      <c r="F11" s="49">
        <f ca="1">(INDIRECT("'Data'!BG"&amp;($C$1)))</f>
        <v>0</v>
      </c>
      <c r="G11" s="49" t="str">
        <f ca="1">(INDIRECT("'Data'!CN"&amp;($C$1)))</f>
        <v>EXCHANGE GAS METER TO SECURE SMART CREDIT</v>
      </c>
      <c r="H11" s="49" t="str">
        <f ca="1">(INDIRECT("'Data'!F"&amp;($C$1)))</f>
        <v>EXCHANGE GAS METER TO SECURE SMART CREDIT</v>
      </c>
      <c r="I11" s="48" t="str">
        <f ca="1">(INDIRECT("'Data'!AW"&amp;($C$1)))</f>
        <v>EXCH1 ROAD</v>
      </c>
      <c r="J11" s="49" t="str">
        <f ca="1">(INDIRECT("'Data'!AH"&amp;($C$1)))</f>
        <v>Site_Contact_649</v>
      </c>
      <c r="K11" s="49" t="str">
        <f ca="1">(INDIRECT("'Data'!BA"&amp;($C$1)))</f>
        <v>C</v>
      </c>
      <c r="L11" s="49">
        <f ca="1">(INDIRECT("'Data'!BD"&amp;($C$1)))</f>
        <v>0</v>
      </c>
      <c r="M11" s="49">
        <f ca="1">(INDIRECT("'Data'!BO"&amp;($C$1)))</f>
        <v>0</v>
      </c>
      <c r="N11" s="49">
        <f ca="1">(INDIRECT("'Data'!CH"&amp;($C$1)))</f>
        <v>0</v>
      </c>
      <c r="O11" s="49" t="str">
        <f ca="1">(INDIRECT("'Data'!CK"&amp;($C$1)))</f>
        <v>G4</v>
      </c>
      <c r="P11" s="49" t="str">
        <f ca="1">(INDIRECT("'Data'!CR"&amp;($C$1)))</f>
        <v>C</v>
      </c>
      <c r="Q11" s="86"/>
    </row>
    <row r="12" spans="1:27" s="103" customFormat="1" ht="6.75">
      <c r="A12" s="103" t="s">
        <v>68</v>
      </c>
      <c r="B12" s="103" t="s">
        <v>455</v>
      </c>
      <c r="C12" s="103" t="s">
        <v>443</v>
      </c>
      <c r="D12" s="103" t="s">
        <v>444</v>
      </c>
      <c r="E12" s="101" t="s">
        <v>493</v>
      </c>
      <c r="F12" s="103" t="s">
        <v>475</v>
      </c>
      <c r="G12" s="103" t="s">
        <v>439</v>
      </c>
      <c r="H12" s="103" t="s">
        <v>440</v>
      </c>
      <c r="I12" s="103" t="s">
        <v>43</v>
      </c>
      <c r="J12" s="103" t="s">
        <v>447</v>
      </c>
      <c r="K12" s="103" t="s">
        <v>450</v>
      </c>
      <c r="L12" s="103" t="s">
        <v>451</v>
      </c>
      <c r="M12" s="103" t="s">
        <v>452</v>
      </c>
      <c r="N12" s="103" t="s">
        <v>442</v>
      </c>
      <c r="O12" s="103" t="s">
        <v>37</v>
      </c>
      <c r="P12" s="103" t="s">
        <v>468</v>
      </c>
      <c r="Q12" s="104" t="s">
        <v>469</v>
      </c>
      <c r="R12" s="104" t="s">
        <v>471</v>
      </c>
      <c r="S12" s="103" t="s">
        <v>473</v>
      </c>
      <c r="T12" s="104" t="s">
        <v>470</v>
      </c>
      <c r="U12" s="103" t="s">
        <v>472</v>
      </c>
      <c r="V12" s="108" t="s">
        <v>491</v>
      </c>
    </row>
    <row r="13" spans="1:27" s="58" customFormat="1">
      <c r="A13" s="65" t="s">
        <v>71</v>
      </c>
      <c r="B13" s="65" t="s">
        <v>467</v>
      </c>
      <c r="C13" s="65"/>
      <c r="D13" s="67">
        <v>1</v>
      </c>
      <c r="E13" s="95" t="s">
        <v>73</v>
      </c>
      <c r="F13" s="48">
        <f ca="1">(INDIRECT("'Data'!CD"&amp;($C$1)))</f>
        <v>0</v>
      </c>
      <c r="G13" s="49">
        <f ca="1">(INDIRECT("'Data'!BG"&amp;($C$1)))</f>
        <v>0</v>
      </c>
      <c r="H13" s="49" t="str">
        <f ca="1">(INDIRECT("'Data'!CN"&amp;($C$1)))</f>
        <v>EXCHANGE GAS METER TO SECURE SMART CREDIT</v>
      </c>
      <c r="I13" s="49" t="str">
        <f ca="1">(INDIRECT("'Data'!AH"&amp;($C$1)))</f>
        <v>Site_Contact_649</v>
      </c>
      <c r="J13" s="49" t="str">
        <f ca="1">(INDIRECT("'Data'!F"&amp;($C$1)))</f>
        <v>EXCHANGE GAS METER TO SECURE SMART CREDIT</v>
      </c>
      <c r="K13" s="48">
        <f ca="1">(INDIRECT("'Data'!AS"&amp;($C$1)))</f>
        <v>0</v>
      </c>
      <c r="L13" s="48" t="str">
        <f ca="1">(INDIRECT("'Data'!AT"&amp;($C$1)))</f>
        <v>TPJR00530</v>
      </c>
      <c r="M13" s="48">
        <f ca="1">(INDIRECT("'Data'!AU"&amp;($C$1)))</f>
        <v>0</v>
      </c>
      <c r="N13" s="48">
        <f ca="1">(INDIRECT("'Data'!AV"&amp;($C$1)))</f>
        <v>649</v>
      </c>
      <c r="O13" s="48" t="str">
        <f ca="1">(INDIRECT("'Data'!AW"&amp;($C$1)))</f>
        <v>EXCH1 ROAD</v>
      </c>
      <c r="P13" s="58" t="s">
        <v>73</v>
      </c>
      <c r="Q13" s="59" t="s">
        <v>73</v>
      </c>
      <c r="R13" s="59" t="s">
        <v>265</v>
      </c>
      <c r="S13" s="60" t="s">
        <v>73</v>
      </c>
      <c r="T13" s="59" t="s">
        <v>75</v>
      </c>
      <c r="U13" s="61" t="s">
        <v>100</v>
      </c>
      <c r="V13" s="86"/>
    </row>
    <row r="14" spans="1:27" s="103" customFormat="1" ht="6.75">
      <c r="A14" s="103" t="s">
        <v>68</v>
      </c>
      <c r="B14" s="103" t="s">
        <v>455</v>
      </c>
      <c r="C14" s="103" t="s">
        <v>443</v>
      </c>
      <c r="D14" s="103" t="s">
        <v>444</v>
      </c>
      <c r="E14" s="101" t="s">
        <v>493</v>
      </c>
      <c r="F14" s="103" t="s">
        <v>475</v>
      </c>
      <c r="G14" s="103" t="s">
        <v>439</v>
      </c>
      <c r="H14" s="103" t="s">
        <v>440</v>
      </c>
      <c r="I14" s="103" t="s">
        <v>447</v>
      </c>
      <c r="J14" s="103" t="s">
        <v>37</v>
      </c>
      <c r="K14" s="103" t="s">
        <v>94</v>
      </c>
      <c r="L14" s="108" t="s">
        <v>491</v>
      </c>
      <c r="M14" s="104" t="s">
        <v>77</v>
      </c>
      <c r="N14" s="104" t="s">
        <v>77</v>
      </c>
      <c r="O14" s="105" t="s">
        <v>77</v>
      </c>
      <c r="P14" s="104"/>
      <c r="Q14" s="104"/>
      <c r="S14" s="104"/>
    </row>
    <row r="15" spans="1:27" s="44" customFormat="1">
      <c r="A15" s="65" t="s">
        <v>71</v>
      </c>
      <c r="B15" s="65" t="s">
        <v>474</v>
      </c>
      <c r="C15" s="65"/>
      <c r="D15" s="67">
        <v>1</v>
      </c>
      <c r="E15" s="94" t="s">
        <v>73</v>
      </c>
      <c r="F15" s="48">
        <f ca="1">(INDIRECT("'Data'!CD"&amp;($C$1)))</f>
        <v>0</v>
      </c>
      <c r="G15" s="49">
        <f ca="1">(INDIRECT("'Data'!BG"&amp;($C$1)))</f>
        <v>0</v>
      </c>
      <c r="H15" s="49" t="str">
        <f ca="1">(INDIRECT("'Data'!CN"&amp;($C$1)))</f>
        <v>EXCHANGE GAS METER TO SECURE SMART CREDIT</v>
      </c>
      <c r="I15" s="49" t="str">
        <f ca="1">(INDIRECT("'Data'!F"&amp;($C$1)))</f>
        <v>EXCHANGE GAS METER TO SECURE SMART CREDIT</v>
      </c>
      <c r="J15" s="48" t="str">
        <f ca="1">(INDIRECT("'Data'!AW"&amp;($C$1)))</f>
        <v>EXCH1 ROAD</v>
      </c>
      <c r="K15" s="44" t="s">
        <v>73</v>
      </c>
      <c r="L15" s="86"/>
      <c r="M15" s="62"/>
      <c r="N15" s="62"/>
      <c r="O15" s="63"/>
      <c r="P15" s="62"/>
      <c r="Q15" s="62"/>
      <c r="R15" s="47"/>
      <c r="S15" s="62"/>
    </row>
    <row r="16" spans="1:27" s="103" customFormat="1" ht="6.75">
      <c r="A16" s="93" t="s">
        <v>68</v>
      </c>
      <c r="B16" s="93" t="s">
        <v>455</v>
      </c>
      <c r="C16" s="93" t="s">
        <v>443</v>
      </c>
      <c r="D16" s="93" t="s">
        <v>444</v>
      </c>
      <c r="E16" s="101" t="s">
        <v>493</v>
      </c>
      <c r="F16" s="103" t="s">
        <v>477</v>
      </c>
      <c r="G16" s="103" t="s">
        <v>478</v>
      </c>
      <c r="H16" s="104" t="s">
        <v>480</v>
      </c>
      <c r="I16" s="103" t="s">
        <v>96</v>
      </c>
      <c r="J16" s="104" t="s">
        <v>481</v>
      </c>
      <c r="K16" s="104" t="s">
        <v>482</v>
      </c>
      <c r="L16" s="103" t="s">
        <v>475</v>
      </c>
      <c r="M16" s="103" t="s">
        <v>476</v>
      </c>
      <c r="N16" s="103" t="s">
        <v>479</v>
      </c>
      <c r="O16" s="103" t="s">
        <v>483</v>
      </c>
      <c r="P16" s="108" t="s">
        <v>491</v>
      </c>
    </row>
    <row r="17" spans="1:47" s="58" customFormat="1" ht="11.25" customHeight="1">
      <c r="A17" s="69" t="s">
        <v>71</v>
      </c>
      <c r="B17" s="69" t="s">
        <v>97</v>
      </c>
      <c r="C17" s="70"/>
      <c r="D17" s="71">
        <v>1</v>
      </c>
      <c r="E17" s="95" t="s">
        <v>73</v>
      </c>
      <c r="F17" s="73" t="s">
        <v>73</v>
      </c>
      <c r="G17" s="73" t="s">
        <v>73</v>
      </c>
      <c r="H17" s="74" t="s">
        <v>77</v>
      </c>
      <c r="I17" s="73" t="s">
        <v>77</v>
      </c>
      <c r="J17" s="74" t="s">
        <v>77</v>
      </c>
      <c r="K17" s="74" t="s">
        <v>77</v>
      </c>
      <c r="L17" s="48">
        <f ca="1">(INDIRECT("'Data'!CD"&amp;($C$1)))</f>
        <v>0</v>
      </c>
      <c r="M17" s="75" t="s">
        <v>113</v>
      </c>
      <c r="N17" s="73" t="s">
        <v>111</v>
      </c>
      <c r="O17" s="75" t="s">
        <v>73</v>
      </c>
      <c r="P17" s="86"/>
    </row>
    <row r="18" spans="1:47" s="108" customFormat="1" ht="6.75">
      <c r="A18" s="106" t="s">
        <v>68</v>
      </c>
      <c r="B18" s="106" t="s">
        <v>455</v>
      </c>
      <c r="C18" s="93" t="s">
        <v>443</v>
      </c>
      <c r="D18" s="93" t="s">
        <v>444</v>
      </c>
      <c r="E18" s="107" t="s">
        <v>493</v>
      </c>
      <c r="F18" s="108" t="s">
        <v>501</v>
      </c>
      <c r="G18" s="108" t="s">
        <v>507</v>
      </c>
      <c r="H18" s="108" t="s">
        <v>502</v>
      </c>
      <c r="I18" s="108" t="s">
        <v>503</v>
      </c>
      <c r="J18" s="108" t="s">
        <v>506</v>
      </c>
      <c r="K18" s="108" t="s">
        <v>505</v>
      </c>
      <c r="L18" s="108" t="s">
        <v>508</v>
      </c>
      <c r="M18" s="108" t="s">
        <v>504</v>
      </c>
      <c r="N18" s="108" t="s">
        <v>513</v>
      </c>
      <c r="O18" s="108" t="s">
        <v>514</v>
      </c>
      <c r="P18" s="108" t="s">
        <v>520</v>
      </c>
      <c r="Q18" s="108" t="s">
        <v>509</v>
      </c>
      <c r="R18" s="108" t="s">
        <v>510</v>
      </c>
      <c r="S18" s="108" t="s">
        <v>511</v>
      </c>
      <c r="T18" s="108" t="s">
        <v>515</v>
      </c>
      <c r="U18" s="108" t="s">
        <v>516</v>
      </c>
      <c r="V18" s="108" t="s">
        <v>102</v>
      </c>
      <c r="W18" s="108" t="s">
        <v>524</v>
      </c>
      <c r="X18" s="108" t="s">
        <v>475</v>
      </c>
      <c r="Y18" s="108" t="s">
        <v>519</v>
      </c>
      <c r="Z18" s="108" t="s">
        <v>521</v>
      </c>
      <c r="AA18" s="108" t="s">
        <v>529</v>
      </c>
      <c r="AB18" s="108" t="s">
        <v>530</v>
      </c>
      <c r="AC18" s="108" t="s">
        <v>531</v>
      </c>
      <c r="AD18" s="108" t="s">
        <v>532</v>
      </c>
      <c r="AE18" s="108" t="s">
        <v>533</v>
      </c>
      <c r="AF18" s="108" t="s">
        <v>534</v>
      </c>
      <c r="AG18" s="108" t="s">
        <v>523</v>
      </c>
      <c r="AH18" s="108" t="s">
        <v>526</v>
      </c>
      <c r="AI18" s="108" t="s">
        <v>525</v>
      </c>
      <c r="AJ18" s="108" t="s">
        <v>491</v>
      </c>
    </row>
    <row r="19" spans="1:47" s="88" customFormat="1" ht="10.5" customHeight="1">
      <c r="A19" s="84" t="s">
        <v>71</v>
      </c>
      <c r="B19" s="84" t="s">
        <v>499</v>
      </c>
      <c r="C19" s="85"/>
      <c r="D19" s="71">
        <v>1</v>
      </c>
      <c r="E19" s="96" t="s">
        <v>73</v>
      </c>
      <c r="F19" s="86" t="s">
        <v>75</v>
      </c>
      <c r="G19" s="86" t="s">
        <v>73</v>
      </c>
      <c r="H19" s="87" t="s">
        <v>73</v>
      </c>
      <c r="I19" s="86">
        <v>1223</v>
      </c>
      <c r="J19" s="86" t="s">
        <v>73</v>
      </c>
      <c r="K19" s="86" t="s">
        <v>73</v>
      </c>
      <c r="L19" s="86" t="s">
        <v>73</v>
      </c>
      <c r="M19" s="86">
        <v>1223</v>
      </c>
      <c r="N19" s="86" t="s">
        <v>73</v>
      </c>
      <c r="O19" s="86" t="s">
        <v>527</v>
      </c>
      <c r="P19" s="86" t="s">
        <v>73</v>
      </c>
      <c r="Q19" s="86" t="s">
        <v>73</v>
      </c>
      <c r="R19" s="86" t="s">
        <v>73</v>
      </c>
      <c r="S19" s="86" t="s">
        <v>512</v>
      </c>
      <c r="T19" s="86" t="s">
        <v>73</v>
      </c>
      <c r="U19" s="86">
        <v>12345</v>
      </c>
      <c r="V19" s="86" t="s">
        <v>73</v>
      </c>
      <c r="W19" s="86" t="s">
        <v>73</v>
      </c>
      <c r="X19" s="48">
        <f ca="1">(INDIRECT("'Data'!CD"&amp;($C$1)))</f>
        <v>0</v>
      </c>
      <c r="Y19" s="86" t="str">
        <f ca="1">(INDIRECT("'Data'!J"&amp;($C$1))  &amp; " Remarks for risk assessment")</f>
        <v xml:space="preserve"> Remarks for risk assessment</v>
      </c>
      <c r="Z19" s="86" t="s">
        <v>522</v>
      </c>
      <c r="AA19" s="88" t="s">
        <v>73</v>
      </c>
      <c r="AB19" s="88" t="s">
        <v>73</v>
      </c>
      <c r="AC19" s="88" t="s">
        <v>112</v>
      </c>
      <c r="AD19" s="88" t="s">
        <v>75</v>
      </c>
      <c r="AE19" s="88" t="s">
        <v>73</v>
      </c>
      <c r="AF19" s="88" t="s">
        <v>73</v>
      </c>
      <c r="AG19" s="86" t="s">
        <v>75</v>
      </c>
      <c r="AH19" s="88" t="s">
        <v>75</v>
      </c>
      <c r="AI19" s="86" t="str">
        <f ca="1">(INDIRECT("'Data'!J"&amp;($C$1))  &amp; " Remarks for smart installation")</f>
        <v xml:space="preserve"> Remarks for smart installation</v>
      </c>
      <c r="AJ19" s="86"/>
    </row>
    <row r="20" spans="1:47" s="103" customFormat="1" ht="6.75">
      <c r="A20" s="93" t="s">
        <v>68</v>
      </c>
      <c r="B20" s="93" t="s">
        <v>455</v>
      </c>
      <c r="C20" s="93" t="s">
        <v>443</v>
      </c>
      <c r="D20" s="93" t="s">
        <v>444</v>
      </c>
      <c r="E20" s="101" t="s">
        <v>493</v>
      </c>
      <c r="F20" s="103" t="s">
        <v>536</v>
      </c>
      <c r="G20" s="103" t="s">
        <v>537</v>
      </c>
      <c r="H20" s="103" t="s">
        <v>566</v>
      </c>
      <c r="I20" s="103" t="s">
        <v>538</v>
      </c>
      <c r="J20" s="103" t="s">
        <v>539</v>
      </c>
      <c r="K20" s="103" t="s">
        <v>540</v>
      </c>
      <c r="L20" s="103" t="s">
        <v>541</v>
      </c>
      <c r="M20" s="103" t="s">
        <v>545</v>
      </c>
      <c r="N20" s="103" t="s">
        <v>544</v>
      </c>
      <c r="O20" s="103" t="s">
        <v>543</v>
      </c>
      <c r="P20" s="103" t="s">
        <v>542</v>
      </c>
      <c r="Q20" s="103" t="s">
        <v>546</v>
      </c>
      <c r="R20" s="103" t="s">
        <v>547</v>
      </c>
      <c r="S20" s="103" t="s">
        <v>548</v>
      </c>
      <c r="T20" s="103" t="s">
        <v>549</v>
      </c>
      <c r="U20" s="103" t="s">
        <v>550</v>
      </c>
      <c r="V20" s="103" t="s">
        <v>567</v>
      </c>
      <c r="W20" s="103" t="s">
        <v>551</v>
      </c>
      <c r="X20" s="103" t="s">
        <v>552</v>
      </c>
      <c r="Y20" s="103" t="s">
        <v>553</v>
      </c>
      <c r="Z20" s="103" t="s">
        <v>554</v>
      </c>
      <c r="AA20" s="103" t="s">
        <v>555</v>
      </c>
      <c r="AB20" s="103" t="s">
        <v>43</v>
      </c>
      <c r="AC20" s="103" t="s">
        <v>472</v>
      </c>
      <c r="AD20" s="103" t="s">
        <v>556</v>
      </c>
      <c r="AE20" s="103" t="s">
        <v>557</v>
      </c>
      <c r="AF20" s="103" t="s">
        <v>558</v>
      </c>
      <c r="AG20" s="103" t="s">
        <v>559</v>
      </c>
      <c r="AH20" s="103" t="s">
        <v>560</v>
      </c>
      <c r="AI20" s="103" t="s">
        <v>561</v>
      </c>
      <c r="AJ20" s="103" t="s">
        <v>562</v>
      </c>
      <c r="AK20" s="103" t="s">
        <v>563</v>
      </c>
      <c r="AL20" s="103" t="s">
        <v>564</v>
      </c>
      <c r="AM20" s="103" t="s">
        <v>565</v>
      </c>
      <c r="AN20" s="108" t="s">
        <v>491</v>
      </c>
    </row>
    <row r="21" spans="1:47" s="58" customFormat="1">
      <c r="A21" s="69" t="s">
        <v>71</v>
      </c>
      <c r="B21" s="69" t="s">
        <v>535</v>
      </c>
      <c r="C21" s="70"/>
      <c r="D21" s="71">
        <v>1</v>
      </c>
      <c r="E21" s="95" t="s">
        <v>73</v>
      </c>
      <c r="F21" s="60" t="s">
        <v>73</v>
      </c>
      <c r="G21" s="61" t="s">
        <v>167</v>
      </c>
      <c r="H21" s="61" t="s">
        <v>109</v>
      </c>
      <c r="I21" s="61" t="s">
        <v>108</v>
      </c>
      <c r="J21" s="61" t="s">
        <v>73</v>
      </c>
      <c r="K21" s="61" t="s">
        <v>168</v>
      </c>
      <c r="L21" s="61">
        <v>1</v>
      </c>
      <c r="M21" s="61" t="s">
        <v>108</v>
      </c>
      <c r="N21" s="61">
        <v>2</v>
      </c>
      <c r="O21" s="61" t="s">
        <v>112</v>
      </c>
      <c r="P21" s="61">
        <v>3</v>
      </c>
      <c r="Q21" s="61" t="s">
        <v>109</v>
      </c>
      <c r="R21" s="61" t="s">
        <v>109</v>
      </c>
      <c r="S21" s="61"/>
      <c r="T21" s="61"/>
      <c r="U21" s="61"/>
      <c r="V21" s="61"/>
      <c r="X21" s="61"/>
      <c r="AB21" s="49" t="str">
        <f ca="1">(INDIRECT("'Data'!AH"&amp;($C$1)))</f>
        <v>Site_Contact_649</v>
      </c>
      <c r="AC21" s="61" t="s">
        <v>279</v>
      </c>
      <c r="AD21" s="58" t="s">
        <v>75</v>
      </c>
      <c r="AE21" s="58" t="s">
        <v>75</v>
      </c>
      <c r="AF21" s="58" t="s">
        <v>73</v>
      </c>
      <c r="AG21" s="61" t="str">
        <f ca="1">(INDIRECT("'Data'!J"&amp;($C$1))  &amp; " Abort Notes")</f>
        <v xml:space="preserve"> Abort Notes</v>
      </c>
      <c r="AH21" s="58" t="s">
        <v>73</v>
      </c>
      <c r="AI21" s="58" t="s">
        <v>270</v>
      </c>
      <c r="AJ21" s="58" t="s">
        <v>73</v>
      </c>
      <c r="AK21" s="58" t="s">
        <v>73</v>
      </c>
      <c r="AL21" s="58" t="s">
        <v>73</v>
      </c>
      <c r="AM21" s="58" t="s">
        <v>73</v>
      </c>
      <c r="AN21" s="86"/>
    </row>
    <row r="22" spans="1:47" s="111" customFormat="1" ht="6.75">
      <c r="A22" s="109" t="s">
        <v>68</v>
      </c>
      <c r="B22" s="93" t="s">
        <v>455</v>
      </c>
      <c r="C22" s="93" t="s">
        <v>443</v>
      </c>
      <c r="D22" s="93" t="s">
        <v>444</v>
      </c>
      <c r="E22" s="110" t="s">
        <v>493</v>
      </c>
      <c r="F22" s="111" t="s">
        <v>750</v>
      </c>
      <c r="G22" s="111" t="s">
        <v>749</v>
      </c>
      <c r="H22" s="111" t="s">
        <v>747</v>
      </c>
      <c r="I22" s="111" t="s">
        <v>116</v>
      </c>
      <c r="J22" s="111" t="s">
        <v>117</v>
      </c>
      <c r="K22" s="111" t="s">
        <v>123</v>
      </c>
      <c r="L22" s="111" t="s">
        <v>119</v>
      </c>
      <c r="M22" s="111" t="s">
        <v>221</v>
      </c>
      <c r="N22" s="111" t="s">
        <v>171</v>
      </c>
      <c r="O22" s="111" t="s">
        <v>172</v>
      </c>
      <c r="P22" s="111" t="s">
        <v>177</v>
      </c>
      <c r="Q22" s="111" t="s">
        <v>169</v>
      </c>
      <c r="R22" s="111" t="s">
        <v>170</v>
      </c>
      <c r="S22" s="111" t="s">
        <v>268</v>
      </c>
      <c r="T22" s="111" t="s">
        <v>173</v>
      </c>
      <c r="U22" s="111" t="s">
        <v>174</v>
      </c>
      <c r="V22" s="111" t="s">
        <v>175</v>
      </c>
      <c r="W22" s="111" t="s">
        <v>176</v>
      </c>
      <c r="X22" s="111" t="s">
        <v>178</v>
      </c>
      <c r="Y22" s="111" t="s">
        <v>179</v>
      </c>
      <c r="Z22" s="111" t="s">
        <v>180</v>
      </c>
      <c r="AA22" s="111" t="s">
        <v>181</v>
      </c>
      <c r="AB22" s="111" t="s">
        <v>182</v>
      </c>
      <c r="AC22" s="111" t="s">
        <v>282</v>
      </c>
      <c r="AD22" s="111" t="s">
        <v>281</v>
      </c>
      <c r="AE22" s="111" t="s">
        <v>281</v>
      </c>
      <c r="AF22" s="111" t="s">
        <v>186</v>
      </c>
      <c r="AG22" s="111" t="s">
        <v>187</v>
      </c>
      <c r="AH22" s="111" t="s">
        <v>192</v>
      </c>
      <c r="AI22" s="111" t="s">
        <v>188</v>
      </c>
      <c r="AJ22" s="111" t="s">
        <v>198</v>
      </c>
      <c r="AK22" s="111" t="s">
        <v>199</v>
      </c>
      <c r="AL22" s="111" t="s">
        <v>200</v>
      </c>
      <c r="AM22" s="111" t="s">
        <v>189</v>
      </c>
      <c r="AN22" s="111" t="s">
        <v>190</v>
      </c>
      <c r="AO22" s="111" t="s">
        <v>191</v>
      </c>
      <c r="AP22" s="111" t="s">
        <v>193</v>
      </c>
      <c r="AQ22" s="111" t="s">
        <v>194</v>
      </c>
      <c r="AR22" s="111" t="s">
        <v>195</v>
      </c>
      <c r="AS22" s="111" t="s">
        <v>196</v>
      </c>
      <c r="AT22" s="111" t="s">
        <v>197</v>
      </c>
      <c r="AU22" s="108" t="s">
        <v>491</v>
      </c>
    </row>
    <row r="23" spans="1:47" s="58" customFormat="1">
      <c r="A23" s="69" t="s">
        <v>71</v>
      </c>
      <c r="B23" s="69" t="s">
        <v>568</v>
      </c>
      <c r="C23" s="70"/>
      <c r="D23" s="71">
        <v>1</v>
      </c>
      <c r="E23" s="97" t="s">
        <v>73</v>
      </c>
      <c r="F23" s="58" t="s">
        <v>73</v>
      </c>
      <c r="G23" s="61"/>
      <c r="H23" s="61"/>
      <c r="I23" s="61" t="s">
        <v>75</v>
      </c>
      <c r="J23" s="61" t="s">
        <v>77</v>
      </c>
      <c r="K23" s="61" t="s">
        <v>73</v>
      </c>
      <c r="L23" s="61" t="s">
        <v>120</v>
      </c>
      <c r="M23" s="61">
        <v>1</v>
      </c>
      <c r="N23" s="61">
        <f ca="1">(INDIRECT("'Data'!BQ"&amp;($C$1)))</f>
        <v>0</v>
      </c>
      <c r="O23" s="61">
        <f ca="1">(INDIRECT("'Data'!CB"&amp;($C$1)))</f>
        <v>0</v>
      </c>
      <c r="P23" s="61">
        <f ca="1">(INDIRECT("'Data'!CI"&amp;($C$1)))</f>
        <v>1</v>
      </c>
      <c r="Q23" s="61">
        <f ca="1">(INDIRECT("'Data'!BX"&amp;($C$1)))</f>
        <v>0</v>
      </c>
      <c r="R23" s="61">
        <f ca="1">(INDIRECT("'Data'!BW"&amp;($C$1)))</f>
        <v>0</v>
      </c>
      <c r="S23" s="61" t="str">
        <f ca="1">(INDIRECT("'Data'!CJ"&amp;($C$1)))</f>
        <v>GAS_ENQ_NO-649</v>
      </c>
      <c r="T23" s="61" t="str">
        <f ca="1">(INDIRECT("'Data'!CK"&amp;($C$1)))</f>
        <v>G4</v>
      </c>
      <c r="U23" s="61"/>
      <c r="V23" s="61"/>
      <c r="W23" s="61"/>
      <c r="X23" s="61">
        <v>12345</v>
      </c>
      <c r="Y23" s="61" t="s">
        <v>121</v>
      </c>
      <c r="Z23" s="61" t="s">
        <v>201</v>
      </c>
      <c r="AA23" s="60" t="s">
        <v>269</v>
      </c>
      <c r="AB23" s="61">
        <v>1</v>
      </c>
      <c r="AC23" s="61">
        <v>20150808</v>
      </c>
      <c r="AD23" s="61"/>
      <c r="AE23" s="61"/>
      <c r="AF23" s="58" t="s">
        <v>122</v>
      </c>
      <c r="AH23" s="58" t="s">
        <v>75</v>
      </c>
      <c r="AI23" s="58" t="s">
        <v>283</v>
      </c>
      <c r="AT23" s="58" t="s">
        <v>73</v>
      </c>
      <c r="AU23" s="86"/>
    </row>
    <row r="24" spans="1:47" s="102" customFormat="1" ht="6.75">
      <c r="A24" s="93" t="s">
        <v>68</v>
      </c>
      <c r="B24" s="93" t="s">
        <v>455</v>
      </c>
      <c r="C24" s="93" t="s">
        <v>443</v>
      </c>
      <c r="D24" s="93" t="s">
        <v>444</v>
      </c>
      <c r="E24" s="101" t="s">
        <v>493</v>
      </c>
      <c r="F24" s="102" t="s">
        <v>203</v>
      </c>
      <c r="G24" s="102" t="s">
        <v>204</v>
      </c>
      <c r="H24" s="102" t="s">
        <v>205</v>
      </c>
      <c r="I24" s="102" t="s">
        <v>284</v>
      </c>
      <c r="J24" s="102" t="s">
        <v>206</v>
      </c>
      <c r="K24" s="102" t="s">
        <v>207</v>
      </c>
      <c r="L24" s="102" t="s">
        <v>208</v>
      </c>
      <c r="M24" s="102" t="s">
        <v>209</v>
      </c>
      <c r="N24" s="102" t="s">
        <v>210</v>
      </c>
      <c r="O24" s="102" t="s">
        <v>211</v>
      </c>
      <c r="P24" s="102" t="s">
        <v>212</v>
      </c>
      <c r="Q24" s="102" t="s">
        <v>213</v>
      </c>
      <c r="R24" s="102" t="s">
        <v>214</v>
      </c>
      <c r="S24" s="102" t="s">
        <v>215</v>
      </c>
      <c r="T24" s="102" t="s">
        <v>216</v>
      </c>
      <c r="U24" s="102" t="s">
        <v>217</v>
      </c>
      <c r="V24" s="108" t="s">
        <v>491</v>
      </c>
    </row>
    <row r="25" spans="1:47" s="58" customFormat="1">
      <c r="A25" s="69" t="s">
        <v>71</v>
      </c>
      <c r="B25" s="69" t="s">
        <v>570</v>
      </c>
      <c r="C25" s="70"/>
      <c r="D25" s="71">
        <v>1</v>
      </c>
      <c r="E25" s="95" t="s">
        <v>73</v>
      </c>
      <c r="F25" s="49">
        <f ca="1">(INDIRECT("'Data'!BL"&amp;($C$1)))</f>
        <v>0</v>
      </c>
      <c r="G25" s="49">
        <f ca="1">(INDIRECT("'Data'!BX"&amp;($C$1)))</f>
        <v>0</v>
      </c>
      <c r="H25" s="58" t="s">
        <v>280</v>
      </c>
      <c r="I25" s="61">
        <v>1</v>
      </c>
      <c r="N25" s="58" t="s">
        <v>218</v>
      </c>
      <c r="O25" s="58" t="s">
        <v>285</v>
      </c>
      <c r="P25" s="58" t="s">
        <v>286</v>
      </c>
      <c r="Q25" s="58" t="s">
        <v>287</v>
      </c>
      <c r="R25" s="58" t="s">
        <v>75</v>
      </c>
      <c r="S25" s="58" t="s">
        <v>219</v>
      </c>
      <c r="T25" s="58" t="s">
        <v>120</v>
      </c>
      <c r="U25" s="58" t="s">
        <v>73</v>
      </c>
      <c r="V25" s="86"/>
    </row>
    <row r="26" spans="1:47" s="102" customFormat="1" ht="6.75">
      <c r="A26" s="93" t="s">
        <v>68</v>
      </c>
      <c r="B26" s="93" t="s">
        <v>455</v>
      </c>
      <c r="C26" s="93" t="s">
        <v>443</v>
      </c>
      <c r="D26" s="93" t="s">
        <v>444</v>
      </c>
      <c r="E26" s="101" t="s">
        <v>493</v>
      </c>
      <c r="F26" s="102" t="s">
        <v>288</v>
      </c>
      <c r="G26" s="102" t="s">
        <v>289</v>
      </c>
      <c r="H26" s="102" t="s">
        <v>290</v>
      </c>
      <c r="I26" s="102" t="s">
        <v>291</v>
      </c>
      <c r="J26" s="102" t="s">
        <v>292</v>
      </c>
      <c r="K26" s="102" t="s">
        <v>293</v>
      </c>
      <c r="L26" s="102" t="s">
        <v>294</v>
      </c>
      <c r="M26" s="102" t="s">
        <v>295</v>
      </c>
      <c r="N26" s="102" t="s">
        <v>572</v>
      </c>
      <c r="O26" s="108" t="s">
        <v>475</v>
      </c>
      <c r="P26" s="108" t="s">
        <v>491</v>
      </c>
    </row>
    <row r="27" spans="1:47" s="58" customFormat="1">
      <c r="A27" s="69" t="s">
        <v>71</v>
      </c>
      <c r="B27" s="69" t="s">
        <v>571</v>
      </c>
      <c r="C27" s="70" t="s">
        <v>77</v>
      </c>
      <c r="D27" s="71">
        <v>1</v>
      </c>
      <c r="E27" s="95" t="s">
        <v>73</v>
      </c>
      <c r="F27" s="58" t="s">
        <v>296</v>
      </c>
      <c r="G27" s="60" t="s">
        <v>297</v>
      </c>
      <c r="H27" s="58" t="s">
        <v>298</v>
      </c>
      <c r="I27" s="61">
        <v>400</v>
      </c>
      <c r="J27" s="58" t="s">
        <v>299</v>
      </c>
      <c r="K27" s="58" t="s">
        <v>300</v>
      </c>
      <c r="L27" s="58" t="s">
        <v>301</v>
      </c>
      <c r="M27" s="58" t="s">
        <v>73</v>
      </c>
      <c r="N27" s="58" t="s">
        <v>573</v>
      </c>
      <c r="O27" s="48">
        <f ca="1">(INDIRECT("'Data'!CD"&amp;($C$1)))</f>
        <v>0</v>
      </c>
      <c r="P27" s="86"/>
    </row>
    <row r="28" spans="1:47" s="112" customFormat="1" ht="6.75">
      <c r="A28" s="93" t="s">
        <v>68</v>
      </c>
      <c r="B28" s="93" t="s">
        <v>455</v>
      </c>
      <c r="C28" s="93" t="s">
        <v>443</v>
      </c>
      <c r="D28" s="93" t="s">
        <v>444</v>
      </c>
      <c r="E28" s="101" t="s">
        <v>493</v>
      </c>
      <c r="F28" s="102" t="s">
        <v>574</v>
      </c>
      <c r="G28" s="102" t="s">
        <v>575</v>
      </c>
      <c r="H28" s="108" t="s">
        <v>491</v>
      </c>
    </row>
    <row r="29" spans="1:47" s="58" customFormat="1">
      <c r="A29" s="69" t="s">
        <v>71</v>
      </c>
      <c r="B29" s="69" t="s">
        <v>578</v>
      </c>
      <c r="C29" s="70"/>
      <c r="D29" s="71">
        <v>1</v>
      </c>
      <c r="E29" s="95" t="s">
        <v>73</v>
      </c>
      <c r="F29" s="58" t="s">
        <v>120</v>
      </c>
      <c r="G29" s="60" t="s">
        <v>73</v>
      </c>
      <c r="H29" s="86"/>
    </row>
    <row r="30" spans="1:47" s="112" customFormat="1" ht="6.75">
      <c r="A30" s="93" t="s">
        <v>68</v>
      </c>
      <c r="B30" s="93" t="s">
        <v>455</v>
      </c>
      <c r="C30" s="93" t="s">
        <v>443</v>
      </c>
      <c r="D30" s="93" t="s">
        <v>444</v>
      </c>
      <c r="E30" s="101" t="s">
        <v>493</v>
      </c>
      <c r="F30" s="102" t="s">
        <v>579</v>
      </c>
      <c r="G30" s="102" t="s">
        <v>577</v>
      </c>
      <c r="H30" s="102" t="s">
        <v>83</v>
      </c>
      <c r="I30" s="102" t="s">
        <v>584</v>
      </c>
      <c r="J30" s="102" t="s">
        <v>576</v>
      </c>
      <c r="K30" s="102" t="s">
        <v>220</v>
      </c>
      <c r="L30" s="108" t="s">
        <v>491</v>
      </c>
    </row>
    <row r="31" spans="1:47" s="58" customFormat="1">
      <c r="A31" s="69" t="s">
        <v>71</v>
      </c>
      <c r="B31" s="69" t="s">
        <v>580</v>
      </c>
      <c r="C31" s="70" t="s">
        <v>77</v>
      </c>
      <c r="D31" s="71">
        <v>1</v>
      </c>
      <c r="E31" s="95" t="s">
        <v>73</v>
      </c>
      <c r="F31" s="74" t="s">
        <v>582</v>
      </c>
      <c r="G31" s="74" t="s">
        <v>581</v>
      </c>
      <c r="H31" s="74" t="s">
        <v>583</v>
      </c>
      <c r="I31" s="89" t="s">
        <v>269</v>
      </c>
      <c r="J31" s="74" t="s">
        <v>124</v>
      </c>
      <c r="K31" s="75" t="s">
        <v>585</v>
      </c>
      <c r="L31" s="86"/>
    </row>
    <row r="32" spans="1:47" s="102" customFormat="1" ht="6.75">
      <c r="A32" s="93" t="s">
        <v>68</v>
      </c>
      <c r="B32" s="93" t="s">
        <v>455</v>
      </c>
      <c r="C32" s="93" t="s">
        <v>443</v>
      </c>
      <c r="D32" s="93" t="s">
        <v>444</v>
      </c>
      <c r="E32" s="101" t="s">
        <v>493</v>
      </c>
      <c r="F32" s="102" t="s">
        <v>318</v>
      </c>
      <c r="G32" s="102" t="s">
        <v>587</v>
      </c>
      <c r="H32" s="102" t="s">
        <v>319</v>
      </c>
      <c r="I32" s="102" t="s">
        <v>125</v>
      </c>
      <c r="J32" s="102" t="s">
        <v>588</v>
      </c>
      <c r="K32" s="102" t="s">
        <v>589</v>
      </c>
      <c r="L32" s="102" t="s">
        <v>320</v>
      </c>
      <c r="M32" s="102" t="s">
        <v>321</v>
      </c>
      <c r="N32" s="102" t="s">
        <v>89</v>
      </c>
      <c r="O32" s="102" t="s">
        <v>590</v>
      </c>
      <c r="P32" s="102" t="s">
        <v>419</v>
      </c>
      <c r="Q32" s="108" t="s">
        <v>491</v>
      </c>
    </row>
    <row r="33" spans="1:58" s="78" customFormat="1" ht="11.25" customHeight="1">
      <c r="A33" s="69" t="s">
        <v>71</v>
      </c>
      <c r="B33" s="69" t="s">
        <v>586</v>
      </c>
      <c r="C33" s="69"/>
      <c r="D33" s="71">
        <v>1</v>
      </c>
      <c r="E33" s="95" t="s">
        <v>73</v>
      </c>
      <c r="F33" s="76" t="s">
        <v>73</v>
      </c>
      <c r="G33" s="76" t="s">
        <v>73</v>
      </c>
      <c r="H33" s="76" t="s">
        <v>322</v>
      </c>
      <c r="I33" s="76" t="s">
        <v>323</v>
      </c>
      <c r="J33" s="76" t="s">
        <v>73</v>
      </c>
      <c r="K33" s="76" t="s">
        <v>73</v>
      </c>
      <c r="L33" s="78" t="s">
        <v>73</v>
      </c>
      <c r="M33" s="78" t="s">
        <v>73</v>
      </c>
      <c r="N33" s="76" t="s">
        <v>73</v>
      </c>
      <c r="O33" s="78" t="s">
        <v>73</v>
      </c>
      <c r="P33" s="76" t="s">
        <v>73</v>
      </c>
      <c r="Q33" s="86"/>
    </row>
    <row r="34" spans="1:58" s="102" customFormat="1" ht="6.75">
      <c r="A34" s="93" t="s">
        <v>68</v>
      </c>
      <c r="B34" s="93" t="s">
        <v>455</v>
      </c>
      <c r="C34" s="93" t="s">
        <v>443</v>
      </c>
      <c r="D34" s="93" t="s">
        <v>444</v>
      </c>
      <c r="E34" s="101" t="s">
        <v>493</v>
      </c>
      <c r="F34" s="102" t="s">
        <v>591</v>
      </c>
      <c r="G34" s="102" t="s">
        <v>593</v>
      </c>
      <c r="H34" s="102" t="s">
        <v>592</v>
      </c>
      <c r="I34" s="102" t="s">
        <v>302</v>
      </c>
      <c r="J34" s="102" t="s">
        <v>304</v>
      </c>
      <c r="K34" s="103" t="s">
        <v>475</v>
      </c>
      <c r="L34" s="108" t="s">
        <v>491</v>
      </c>
    </row>
    <row r="35" spans="1:58" s="79" customFormat="1">
      <c r="A35" s="69" t="s">
        <v>71</v>
      </c>
      <c r="B35" s="69" t="s">
        <v>642</v>
      </c>
      <c r="C35" s="70" t="s">
        <v>77</v>
      </c>
      <c r="D35" s="71">
        <v>1</v>
      </c>
      <c r="E35" s="95" t="s">
        <v>73</v>
      </c>
      <c r="F35" s="79" t="s">
        <v>218</v>
      </c>
      <c r="G35" s="79" t="s">
        <v>65</v>
      </c>
      <c r="H35" s="79" t="s">
        <v>53</v>
      </c>
      <c r="I35" s="56" t="s">
        <v>73</v>
      </c>
      <c r="J35" s="79" t="s">
        <v>304</v>
      </c>
      <c r="K35" s="48">
        <f ca="1">(INDIRECT("'Data'!CD"&amp;($C$1)))</f>
        <v>0</v>
      </c>
      <c r="L35" s="86"/>
    </row>
    <row r="36" spans="1:58" s="102" customFormat="1" ht="6.75">
      <c r="A36" s="93" t="s">
        <v>68</v>
      </c>
      <c r="B36" s="93" t="s">
        <v>455</v>
      </c>
      <c r="C36" s="93" t="s">
        <v>443</v>
      </c>
      <c r="D36" s="93" t="s">
        <v>444</v>
      </c>
      <c r="E36" s="101" t="s">
        <v>493</v>
      </c>
      <c r="F36" s="93" t="s">
        <v>305</v>
      </c>
      <c r="G36" s="93" t="s">
        <v>306</v>
      </c>
      <c r="H36" s="93" t="s">
        <v>307</v>
      </c>
      <c r="I36" s="93" t="s">
        <v>309</v>
      </c>
      <c r="J36" s="93" t="s">
        <v>310</v>
      </c>
      <c r="K36" s="93" t="s">
        <v>311</v>
      </c>
      <c r="L36" s="93" t="s">
        <v>312</v>
      </c>
      <c r="M36" s="102" t="s">
        <v>314</v>
      </c>
      <c r="N36" s="102" t="s">
        <v>316</v>
      </c>
      <c r="O36" s="108" t="s">
        <v>491</v>
      </c>
    </row>
    <row r="37" spans="1:58" s="79" customFormat="1">
      <c r="A37" s="69" t="s">
        <v>71</v>
      </c>
      <c r="B37" s="69" t="s">
        <v>594</v>
      </c>
      <c r="C37" s="70" t="s">
        <v>77</v>
      </c>
      <c r="D37" s="71">
        <v>1</v>
      </c>
      <c r="E37" s="95" t="s">
        <v>73</v>
      </c>
      <c r="F37" s="80"/>
      <c r="G37" s="80"/>
      <c r="H37" s="80"/>
      <c r="I37" s="81"/>
      <c r="J37" s="80"/>
      <c r="K37" s="80"/>
      <c r="L37" s="80"/>
      <c r="M37" s="79" t="s">
        <v>315</v>
      </c>
      <c r="N37" s="79" t="s">
        <v>65</v>
      </c>
      <c r="O37" s="86"/>
    </row>
    <row r="38" spans="1:58" s="102" customFormat="1" ht="6.75">
      <c r="A38" s="93" t="s">
        <v>68</v>
      </c>
      <c r="B38" s="93" t="s">
        <v>455</v>
      </c>
      <c r="C38" s="93" t="s">
        <v>443</v>
      </c>
      <c r="D38" s="93" t="s">
        <v>444</v>
      </c>
      <c r="E38" s="101" t="s">
        <v>493</v>
      </c>
      <c r="F38" s="102" t="s">
        <v>235</v>
      </c>
      <c r="G38" s="102" t="s">
        <v>238</v>
      </c>
      <c r="H38" s="102" t="s">
        <v>595</v>
      </c>
      <c r="I38" s="102" t="s">
        <v>596</v>
      </c>
      <c r="J38" s="102" t="s">
        <v>599</v>
      </c>
      <c r="K38" s="102" t="s">
        <v>237</v>
      </c>
      <c r="L38" s="102" t="s">
        <v>597</v>
      </c>
      <c r="M38" s="102" t="s">
        <v>236</v>
      </c>
      <c r="N38" s="108" t="s">
        <v>491</v>
      </c>
    </row>
    <row r="39" spans="1:58" s="79" customFormat="1">
      <c r="A39" s="69" t="s">
        <v>71</v>
      </c>
      <c r="B39" s="69" t="s">
        <v>598</v>
      </c>
      <c r="C39" s="70"/>
      <c r="D39" s="71">
        <v>1</v>
      </c>
      <c r="E39" s="95" t="s">
        <v>73</v>
      </c>
      <c r="F39" s="56" t="s">
        <v>73</v>
      </c>
      <c r="G39" s="56" t="s">
        <v>238</v>
      </c>
      <c r="H39" s="56" t="s">
        <v>109</v>
      </c>
      <c r="I39" s="56" t="s">
        <v>168</v>
      </c>
      <c r="J39" s="56" t="s">
        <v>73</v>
      </c>
      <c r="K39" s="56" t="s">
        <v>237</v>
      </c>
      <c r="L39" s="56" t="s">
        <v>109</v>
      </c>
      <c r="M39" s="56" t="s">
        <v>236</v>
      </c>
      <c r="N39" s="86"/>
    </row>
    <row r="40" spans="1:58" s="102" customFormat="1" ht="6.75">
      <c r="A40" s="93" t="s">
        <v>68</v>
      </c>
      <c r="B40" s="93" t="s">
        <v>455</v>
      </c>
      <c r="C40" s="93" t="s">
        <v>443</v>
      </c>
      <c r="D40" s="93" t="s">
        <v>444</v>
      </c>
      <c r="E40" s="101" t="s">
        <v>493</v>
      </c>
      <c r="F40" s="108" t="s">
        <v>491</v>
      </c>
    </row>
    <row r="41" spans="1:58" s="79" customFormat="1">
      <c r="A41" s="69" t="s">
        <v>71</v>
      </c>
      <c r="B41" s="69" t="s">
        <v>600</v>
      </c>
      <c r="C41" s="70"/>
      <c r="D41" s="71">
        <v>1</v>
      </c>
      <c r="E41" s="95" t="s">
        <v>73</v>
      </c>
      <c r="F41" s="86"/>
    </row>
    <row r="42" spans="1:58" s="103" customFormat="1" ht="6.75">
      <c r="A42" s="93" t="s">
        <v>68</v>
      </c>
      <c r="B42" s="93" t="s">
        <v>455</v>
      </c>
      <c r="C42" s="93" t="s">
        <v>443</v>
      </c>
      <c r="D42" s="93" t="s">
        <v>444</v>
      </c>
      <c r="E42" s="101" t="s">
        <v>493</v>
      </c>
      <c r="F42" s="103" t="s">
        <v>485</v>
      </c>
      <c r="G42" s="103" t="s">
        <v>484</v>
      </c>
      <c r="H42" s="103" t="s">
        <v>486</v>
      </c>
      <c r="I42" s="103" t="s">
        <v>487</v>
      </c>
      <c r="J42" s="103" t="s">
        <v>488</v>
      </c>
      <c r="K42" s="103" t="s">
        <v>489</v>
      </c>
      <c r="L42" s="103" t="s">
        <v>490</v>
      </c>
      <c r="M42" s="103" t="s">
        <v>528</v>
      </c>
      <c r="N42" s="103" t="s">
        <v>126</v>
      </c>
      <c r="O42" s="103" t="s">
        <v>127</v>
      </c>
      <c r="P42" s="103" t="s">
        <v>128</v>
      </c>
      <c r="Q42" s="103" t="s">
        <v>129</v>
      </c>
      <c r="R42" s="103" t="s">
        <v>130</v>
      </c>
      <c r="S42" s="103" t="s">
        <v>131</v>
      </c>
      <c r="T42" s="103" t="s">
        <v>132</v>
      </c>
      <c r="U42" s="103" t="s">
        <v>491</v>
      </c>
      <c r="V42" s="103" t="s">
        <v>517</v>
      </c>
      <c r="W42" s="108" t="s">
        <v>491</v>
      </c>
    </row>
    <row r="43" spans="1:58" s="58" customFormat="1" ht="11.25" customHeight="1">
      <c r="A43" s="69" t="s">
        <v>71</v>
      </c>
      <c r="B43" s="69" t="s">
        <v>500</v>
      </c>
      <c r="C43" s="70" t="s">
        <v>77</v>
      </c>
      <c r="D43" s="71">
        <v>1</v>
      </c>
      <c r="E43" s="95" t="s">
        <v>73</v>
      </c>
      <c r="F43" s="61" t="s">
        <v>133</v>
      </c>
      <c r="G43" s="61" t="s">
        <v>73</v>
      </c>
      <c r="H43" s="61" t="s">
        <v>134</v>
      </c>
      <c r="I43" s="61" t="s">
        <v>73</v>
      </c>
      <c r="J43" s="61" t="str">
        <f ca="1">(INDIRECT("'Data'!S"&amp;($C$1))) &amp; " Volt EGP Ref"</f>
        <v>Prev_RA-649 Volt EGP Ref</v>
      </c>
      <c r="K43" s="61" t="s">
        <v>134</v>
      </c>
      <c r="L43" s="46" t="s">
        <v>73</v>
      </c>
      <c r="M43" s="61" t="str">
        <f ca="1">(INDIRECT("'Data'!S"&amp;($C$1))) &amp; " Tamper EGP Ref"</f>
        <v>Prev_RA-649 Tamper EGP Ref</v>
      </c>
      <c r="N43" s="61" t="s">
        <v>134</v>
      </c>
      <c r="O43" s="61" t="s">
        <v>73</v>
      </c>
      <c r="P43" s="61" t="str">
        <f ca="1">(INDIRECT("'Data'!S"&amp;($C$1))) &amp; " ECV EGP Ref"</f>
        <v>Prev_RA-649 ECV EGP Ref</v>
      </c>
      <c r="Q43" s="61" t="s">
        <v>134</v>
      </c>
      <c r="R43" s="61" t="s">
        <v>73</v>
      </c>
      <c r="S43" s="61" t="str">
        <f ca="1">(INDIRECT("'Data'!S"&amp;($C$1))) &amp; " Are Safe EGP Ref"</f>
        <v>Prev_RA-649 Are Safe EGP Ref</v>
      </c>
      <c r="T43" s="61" t="s">
        <v>73</v>
      </c>
      <c r="U43" s="61" t="s">
        <v>492</v>
      </c>
      <c r="V43" s="61" t="s">
        <v>518</v>
      </c>
      <c r="W43" s="86"/>
    </row>
    <row r="44" spans="1:58" s="102" customFormat="1" ht="6.75">
      <c r="A44" s="93" t="s">
        <v>68</v>
      </c>
      <c r="B44" s="93" t="s">
        <v>455</v>
      </c>
      <c r="C44" s="93" t="s">
        <v>443</v>
      </c>
      <c r="D44" s="93" t="s">
        <v>444</v>
      </c>
      <c r="E44" s="101" t="s">
        <v>493</v>
      </c>
      <c r="F44" s="102" t="s">
        <v>136</v>
      </c>
      <c r="G44" s="102" t="s">
        <v>137</v>
      </c>
      <c r="H44" s="102" t="s">
        <v>225</v>
      </c>
      <c r="I44" s="102" t="s">
        <v>226</v>
      </c>
      <c r="J44" s="102" t="s">
        <v>222</v>
      </c>
      <c r="K44" s="102" t="s">
        <v>223</v>
      </c>
      <c r="L44" s="102" t="s">
        <v>83</v>
      </c>
      <c r="M44" s="102" t="s">
        <v>101</v>
      </c>
      <c r="N44" s="102" t="s">
        <v>224</v>
      </c>
      <c r="O44" s="102" t="s">
        <v>138</v>
      </c>
      <c r="P44" s="102" t="s">
        <v>139</v>
      </c>
      <c r="Q44" s="102" t="s">
        <v>141</v>
      </c>
      <c r="R44" s="102" t="s">
        <v>227</v>
      </c>
      <c r="S44" s="102" t="s">
        <v>228</v>
      </c>
      <c r="T44" s="102" t="s">
        <v>229</v>
      </c>
      <c r="U44" s="102" t="s">
        <v>142</v>
      </c>
      <c r="V44" s="102" t="s">
        <v>143</v>
      </c>
      <c r="W44" s="102" t="s">
        <v>230</v>
      </c>
      <c r="X44" s="103" t="s">
        <v>491</v>
      </c>
    </row>
    <row r="45" spans="1:58" s="58" customFormat="1">
      <c r="A45" s="69" t="s">
        <v>71</v>
      </c>
      <c r="B45" s="69" t="s">
        <v>601</v>
      </c>
      <c r="C45" s="70"/>
      <c r="D45" s="71">
        <v>1</v>
      </c>
      <c r="E45" s="95" t="s">
        <v>73</v>
      </c>
      <c r="F45" s="61" t="s">
        <v>73</v>
      </c>
      <c r="G45" s="61" t="str">
        <f ca="1">(INDIRECT("'Data'!S"&amp;($C$1))) &amp; " Smart Notes"</f>
        <v>Prev_RA-649 Smart Notes</v>
      </c>
      <c r="H45" s="61" t="s">
        <v>74</v>
      </c>
      <c r="I45" s="61" t="s">
        <v>73</v>
      </c>
      <c r="J45" s="61" t="s">
        <v>99</v>
      </c>
      <c r="K45" s="61"/>
      <c r="L45" s="61" t="s">
        <v>77</v>
      </c>
      <c r="M45" s="61" t="s">
        <v>77</v>
      </c>
      <c r="N45" s="61" t="s">
        <v>77</v>
      </c>
      <c r="O45" s="61" t="s">
        <v>77</v>
      </c>
      <c r="P45" s="61" t="s">
        <v>77</v>
      </c>
      <c r="Q45" s="61"/>
      <c r="R45" s="61"/>
      <c r="S45" s="61"/>
      <c r="T45" s="61"/>
      <c r="U45" s="61"/>
      <c r="X45" s="61" t="s">
        <v>492</v>
      </c>
    </row>
    <row r="46" spans="1:58" s="112" customFormat="1" ht="6.75">
      <c r="A46" s="93" t="s">
        <v>68</v>
      </c>
      <c r="B46" s="93" t="s">
        <v>455</v>
      </c>
      <c r="C46" s="93" t="s">
        <v>443</v>
      </c>
      <c r="D46" s="93" t="s">
        <v>444</v>
      </c>
      <c r="E46" s="101" t="s">
        <v>493</v>
      </c>
      <c r="F46" s="112" t="s">
        <v>569</v>
      </c>
      <c r="G46" s="112" t="s">
        <v>116</v>
      </c>
      <c r="H46" s="112" t="s">
        <v>117</v>
      </c>
      <c r="I46" s="112" t="s">
        <v>118</v>
      </c>
      <c r="J46" s="112" t="s">
        <v>123</v>
      </c>
      <c r="K46" s="112" t="s">
        <v>119</v>
      </c>
      <c r="L46" s="112" t="s">
        <v>221</v>
      </c>
      <c r="M46" s="112" t="s">
        <v>232</v>
      </c>
      <c r="N46" s="112" t="s">
        <v>603</v>
      </c>
      <c r="O46" s="112" t="s">
        <v>177</v>
      </c>
      <c r="P46" s="112" t="s">
        <v>169</v>
      </c>
      <c r="Q46" s="112" t="s">
        <v>170</v>
      </c>
      <c r="R46" s="112" t="s">
        <v>327</v>
      </c>
      <c r="S46" s="112" t="s">
        <v>328</v>
      </c>
      <c r="T46" s="112" t="s">
        <v>329</v>
      </c>
      <c r="U46" s="112" t="s">
        <v>329</v>
      </c>
      <c r="V46" s="112" t="s">
        <v>173</v>
      </c>
      <c r="W46" s="112" t="s">
        <v>174</v>
      </c>
      <c r="X46" s="112" t="s">
        <v>175</v>
      </c>
      <c r="Y46" s="112" t="s">
        <v>176</v>
      </c>
      <c r="Z46" s="112" t="s">
        <v>605</v>
      </c>
      <c r="AA46" s="112" t="s">
        <v>606</v>
      </c>
      <c r="AB46" s="112" t="s">
        <v>609</v>
      </c>
      <c r="AC46" s="112" t="s">
        <v>181</v>
      </c>
      <c r="AD46" s="112" t="s">
        <v>182</v>
      </c>
      <c r="AE46" s="112" t="s">
        <v>183</v>
      </c>
      <c r="AF46" s="112" t="s">
        <v>184</v>
      </c>
      <c r="AG46" s="112" t="s">
        <v>185</v>
      </c>
      <c r="AH46" s="112" t="s">
        <v>604</v>
      </c>
      <c r="AI46" s="112" t="s">
        <v>187</v>
      </c>
      <c r="AJ46" s="112" t="s">
        <v>607</v>
      </c>
      <c r="AK46" s="112" t="s">
        <v>608</v>
      </c>
      <c r="AL46" s="112" t="s">
        <v>198</v>
      </c>
      <c r="AM46" s="112" t="s">
        <v>199</v>
      </c>
      <c r="AN46" s="112" t="s">
        <v>200</v>
      </c>
      <c r="AO46" s="112" t="s">
        <v>610</v>
      </c>
      <c r="AP46" s="112" t="s">
        <v>611</v>
      </c>
      <c r="AQ46" s="112" t="s">
        <v>612</v>
      </c>
      <c r="AR46" s="112" t="s">
        <v>613</v>
      </c>
      <c r="AS46" s="112" t="s">
        <v>194</v>
      </c>
      <c r="AT46" s="112" t="s">
        <v>195</v>
      </c>
      <c r="AU46" s="112" t="s">
        <v>196</v>
      </c>
      <c r="AV46" s="112" t="s">
        <v>197</v>
      </c>
      <c r="AW46" s="112" t="s">
        <v>107</v>
      </c>
      <c r="AX46" s="112" t="s">
        <v>103</v>
      </c>
      <c r="AY46" s="112" t="s">
        <v>104</v>
      </c>
      <c r="AZ46" s="112" t="s">
        <v>105</v>
      </c>
      <c r="BA46" s="112" t="s">
        <v>106</v>
      </c>
      <c r="BB46" s="112" t="s">
        <v>266</v>
      </c>
      <c r="BC46" s="112" t="s">
        <v>272</v>
      </c>
      <c r="BD46" s="112" t="s">
        <v>273</v>
      </c>
      <c r="BE46" s="112" t="s">
        <v>274</v>
      </c>
      <c r="BF46" s="112" t="s">
        <v>271</v>
      </c>
    </row>
    <row r="47" spans="1:58" s="58" customFormat="1">
      <c r="A47" s="69" t="s">
        <v>71</v>
      </c>
      <c r="B47" s="69" t="s">
        <v>602</v>
      </c>
      <c r="C47" s="70"/>
      <c r="D47" s="71">
        <v>1</v>
      </c>
      <c r="E47" s="97" t="s">
        <v>73</v>
      </c>
      <c r="F47" s="90" t="s">
        <v>73</v>
      </c>
      <c r="G47" s="91" t="s">
        <v>75</v>
      </c>
      <c r="H47" s="91" t="s">
        <v>77</v>
      </c>
      <c r="I47" s="91" t="s">
        <v>77</v>
      </c>
      <c r="J47" s="91" t="s">
        <v>73</v>
      </c>
      <c r="K47" s="91" t="s">
        <v>120</v>
      </c>
      <c r="L47" s="91">
        <v>1</v>
      </c>
      <c r="M47" s="91" t="s">
        <v>233</v>
      </c>
      <c r="N47" s="91" t="str">
        <f ca="1">(INDIRECT("'Data'!AZ"&amp;($C$1)))</f>
        <v>LU4 9RY</v>
      </c>
      <c r="O47" s="91" t="str">
        <f ca="1">(INDIRECT("'Data'!CL"&amp;($C$1)))</f>
        <v>false</v>
      </c>
      <c r="P47" s="91">
        <f ca="1">(INDIRECT("'Data'!AS"&amp;($C$1)))</f>
        <v>0</v>
      </c>
      <c r="Q47" s="91">
        <f ca="1">(INDIRECT("'Data'!AR"&amp;($C$1)))</f>
        <v>0</v>
      </c>
      <c r="R47" s="61" t="str">
        <f ca="1">(INDIRECT("'Data'!CM"&amp;($C$1)))</f>
        <v>true</v>
      </c>
      <c r="S47" s="91" t="s">
        <v>77</v>
      </c>
      <c r="T47" s="91"/>
      <c r="U47" s="91"/>
      <c r="V47" s="91" t="str">
        <f ca="1">(INDIRECT("'Data'!CN"&amp;($C$1)))</f>
        <v>EXCHANGE GAS METER TO SECURE SMART CREDIT</v>
      </c>
      <c r="W47" s="91"/>
      <c r="X47" s="91"/>
      <c r="Y47" s="91"/>
      <c r="Z47" s="61">
        <v>12345</v>
      </c>
      <c r="AA47" s="61" t="s">
        <v>164</v>
      </c>
      <c r="AB47" s="61" t="s">
        <v>234</v>
      </c>
      <c r="AC47" s="91" t="s">
        <v>77</v>
      </c>
      <c r="AD47" s="91">
        <v>1</v>
      </c>
      <c r="AE47" s="91"/>
      <c r="AF47" s="91"/>
      <c r="AG47" s="91"/>
      <c r="AH47" s="58" t="s">
        <v>163</v>
      </c>
      <c r="AI47" s="90"/>
      <c r="AJ47" s="58" t="s">
        <v>75</v>
      </c>
      <c r="AL47" s="90"/>
      <c r="AM47" s="90"/>
      <c r="AN47" s="90"/>
      <c r="AS47" s="90"/>
      <c r="AT47" s="90"/>
      <c r="AU47" s="90"/>
      <c r="AV47" s="90" t="s">
        <v>73</v>
      </c>
      <c r="AW47" s="90"/>
      <c r="AX47" s="90"/>
      <c r="AY47" s="90"/>
      <c r="AZ47" s="90"/>
      <c r="BA47" s="90"/>
      <c r="BB47" s="91" t="str">
        <f ca="1">(INDIRECT("'Data'!CO"&amp;($C$1)))</f>
        <v>GAS_JOB_ID-649</v>
      </c>
      <c r="BC47" s="90" t="s">
        <v>73</v>
      </c>
      <c r="BD47" s="90" t="s">
        <v>270</v>
      </c>
      <c r="BE47" s="90" t="s">
        <v>73</v>
      </c>
      <c r="BF47" s="90" t="s">
        <v>73</v>
      </c>
    </row>
    <row r="48" spans="1:58" s="112" customFormat="1" ht="6.75">
      <c r="A48" s="93" t="s">
        <v>68</v>
      </c>
      <c r="B48" s="93" t="s">
        <v>455</v>
      </c>
      <c r="C48" s="93" t="s">
        <v>443</v>
      </c>
      <c r="D48" s="93" t="s">
        <v>444</v>
      </c>
      <c r="E48" s="101" t="s">
        <v>493</v>
      </c>
      <c r="F48" s="112" t="s">
        <v>616</v>
      </c>
      <c r="G48" s="112" t="s">
        <v>617</v>
      </c>
      <c r="H48" s="112" t="s">
        <v>619</v>
      </c>
      <c r="I48" s="112" t="s">
        <v>622</v>
      </c>
      <c r="J48" s="112" t="s">
        <v>618</v>
      </c>
      <c r="K48" s="112" t="s">
        <v>239</v>
      </c>
      <c r="L48" s="112" t="s">
        <v>615</v>
      </c>
      <c r="M48" s="113" t="s">
        <v>491</v>
      </c>
    </row>
    <row r="49" spans="1:32" s="58" customFormat="1" ht="11.25" customHeight="1">
      <c r="A49" s="69" t="s">
        <v>71</v>
      </c>
      <c r="B49" s="69" t="s">
        <v>614</v>
      </c>
      <c r="C49" s="70"/>
      <c r="D49" s="92">
        <v>1</v>
      </c>
      <c r="E49" s="95" t="s">
        <v>73</v>
      </c>
      <c r="F49" s="48" t="str">
        <f ca="1">(INDIRECT("'Data'!CQ"&amp;($C$1)))</f>
        <v>10000649</v>
      </c>
      <c r="G49" s="48" t="str">
        <f ca="1">(INDIRECT("'Data'!CT"&amp;($C$1)))</f>
        <v>GMETER649</v>
      </c>
      <c r="H49" s="48" t="str">
        <f ca="1">(INDIRECT("'Data'!DB"&amp;($C$1)))</f>
        <v>GAS_INST_ID-649</v>
      </c>
      <c r="I49" s="48" t="str">
        <f ca="1">(INDIRECT("'Data'!DC"&amp;($C$1)))</f>
        <v>H</v>
      </c>
      <c r="J49" s="58" t="s">
        <v>704</v>
      </c>
      <c r="K49" s="58" t="s">
        <v>73</v>
      </c>
      <c r="L49" s="58" t="s">
        <v>623</v>
      </c>
      <c r="M49" s="56" t="s">
        <v>492</v>
      </c>
    </row>
    <row r="50" spans="1:32" s="115" customFormat="1" ht="6.75">
      <c r="A50" s="116" t="s">
        <v>68</v>
      </c>
      <c r="B50" s="116" t="s">
        <v>455</v>
      </c>
      <c r="C50" s="116" t="s">
        <v>443</v>
      </c>
      <c r="D50" s="117" t="s">
        <v>444</v>
      </c>
      <c r="E50" s="114" t="s">
        <v>493</v>
      </c>
      <c r="F50" s="115" t="s">
        <v>628</v>
      </c>
      <c r="G50" s="115" t="s">
        <v>624</v>
      </c>
      <c r="H50" s="115" t="s">
        <v>625</v>
      </c>
      <c r="I50" s="115" t="s">
        <v>626</v>
      </c>
      <c r="J50" s="115" t="s">
        <v>627</v>
      </c>
      <c r="K50" s="115" t="s">
        <v>629</v>
      </c>
      <c r="L50" s="115" t="s">
        <v>630</v>
      </c>
      <c r="M50" s="115" t="s">
        <v>631</v>
      </c>
      <c r="N50" s="115" t="s">
        <v>471</v>
      </c>
      <c r="O50" s="108" t="s">
        <v>491</v>
      </c>
    </row>
    <row r="51" spans="1:32" s="58" customFormat="1" ht="11.25" customHeight="1">
      <c r="A51" s="69" t="s">
        <v>71</v>
      </c>
      <c r="B51" s="69" t="s">
        <v>620</v>
      </c>
      <c r="C51" s="70" t="s">
        <v>77</v>
      </c>
      <c r="D51" s="71">
        <v>1</v>
      </c>
      <c r="E51" s="95" t="s">
        <v>73</v>
      </c>
      <c r="F51" s="58" t="s">
        <v>296</v>
      </c>
      <c r="G51" s="60" t="s">
        <v>297</v>
      </c>
      <c r="H51" s="58" t="s">
        <v>298</v>
      </c>
      <c r="I51" s="61">
        <v>400</v>
      </c>
      <c r="J51" s="58" t="s">
        <v>299</v>
      </c>
      <c r="K51" s="58" t="s">
        <v>300</v>
      </c>
      <c r="L51" s="58" t="s">
        <v>301</v>
      </c>
      <c r="M51" s="58" t="s">
        <v>73</v>
      </c>
      <c r="N51" s="58" t="s">
        <v>632</v>
      </c>
      <c r="O51" s="86"/>
    </row>
    <row r="52" spans="1:32" s="112" customFormat="1" ht="6.75">
      <c r="A52" s="93" t="s">
        <v>68</v>
      </c>
      <c r="B52" s="93" t="s">
        <v>69</v>
      </c>
      <c r="C52" s="93" t="s">
        <v>70</v>
      </c>
      <c r="D52" s="93" t="s">
        <v>444</v>
      </c>
      <c r="E52" s="101" t="s">
        <v>493</v>
      </c>
      <c r="F52" s="112" t="s">
        <v>633</v>
      </c>
      <c r="G52" s="112" t="s">
        <v>634</v>
      </c>
      <c r="H52" s="108" t="s">
        <v>491</v>
      </c>
      <c r="I52" s="112" t="s">
        <v>77</v>
      </c>
      <c r="J52" s="112" t="s">
        <v>77</v>
      </c>
      <c r="K52" s="112" t="s">
        <v>77</v>
      </c>
      <c r="L52" s="112" t="s">
        <v>77</v>
      </c>
      <c r="M52" s="112" t="s">
        <v>77</v>
      </c>
      <c r="N52" s="112" t="s">
        <v>77</v>
      </c>
    </row>
    <row r="53" spans="1:32" s="58" customFormat="1" ht="11.25" customHeight="1">
      <c r="A53" s="119" t="s">
        <v>71</v>
      </c>
      <c r="B53" s="119" t="s">
        <v>621</v>
      </c>
      <c r="C53" s="120"/>
      <c r="D53" s="83">
        <v>1</v>
      </c>
      <c r="E53" s="95" t="s">
        <v>73</v>
      </c>
      <c r="F53" s="58" t="s">
        <v>120</v>
      </c>
      <c r="G53" s="60" t="s">
        <v>73</v>
      </c>
      <c r="H53" s="86"/>
      <c r="I53" s="61" t="s">
        <v>77</v>
      </c>
      <c r="J53" s="58" t="s">
        <v>77</v>
      </c>
      <c r="K53" s="58" t="s">
        <v>77</v>
      </c>
      <c r="L53" s="58" t="s">
        <v>77</v>
      </c>
      <c r="M53" s="58" t="s">
        <v>77</v>
      </c>
      <c r="N53" s="58" t="s">
        <v>77</v>
      </c>
    </row>
    <row r="54" spans="1:32" s="112" customFormat="1" ht="6.75">
      <c r="A54" s="93" t="s">
        <v>68</v>
      </c>
      <c r="B54" s="93" t="s">
        <v>69</v>
      </c>
      <c r="C54" s="93" t="s">
        <v>70</v>
      </c>
      <c r="D54" s="93" t="s">
        <v>444</v>
      </c>
      <c r="E54" s="101" t="s">
        <v>493</v>
      </c>
      <c r="F54" s="112" t="s">
        <v>636</v>
      </c>
      <c r="G54" s="112" t="s">
        <v>245</v>
      </c>
      <c r="H54" s="112" t="s">
        <v>243</v>
      </c>
      <c r="I54" s="112" t="s">
        <v>244</v>
      </c>
      <c r="J54" s="108" t="s">
        <v>491</v>
      </c>
    </row>
    <row r="55" spans="1:32" s="58" customFormat="1" ht="11.25" customHeight="1">
      <c r="A55" s="119" t="s">
        <v>71</v>
      </c>
      <c r="B55" s="119" t="s">
        <v>635</v>
      </c>
      <c r="C55" s="120" t="s">
        <v>77</v>
      </c>
      <c r="D55" s="83">
        <v>1</v>
      </c>
      <c r="E55" s="95" t="s">
        <v>73</v>
      </c>
      <c r="F55" s="61">
        <v>888888</v>
      </c>
      <c r="G55" s="61" t="s">
        <v>246</v>
      </c>
      <c r="H55" s="61" t="s">
        <v>247</v>
      </c>
      <c r="I55" s="61" t="s">
        <v>248</v>
      </c>
      <c r="J55" s="86"/>
      <c r="K55" s="61"/>
      <c r="L55" s="61"/>
      <c r="M55" s="60"/>
    </row>
    <row r="56" spans="1:32" s="112" customFormat="1" ht="6.75">
      <c r="A56" s="93" t="s">
        <v>68</v>
      </c>
      <c r="B56" s="93" t="s">
        <v>69</v>
      </c>
      <c r="C56" s="93" t="s">
        <v>70</v>
      </c>
      <c r="D56" s="93" t="s">
        <v>444</v>
      </c>
      <c r="E56" s="101" t="s">
        <v>493</v>
      </c>
      <c r="F56" s="112" t="s">
        <v>638</v>
      </c>
      <c r="G56" s="112" t="s">
        <v>639</v>
      </c>
      <c r="H56" s="112" t="s">
        <v>640</v>
      </c>
      <c r="I56" s="112" t="s">
        <v>576</v>
      </c>
      <c r="J56" s="108" t="s">
        <v>491</v>
      </c>
    </row>
    <row r="57" spans="1:32" s="58" customFormat="1" ht="11.25" customHeight="1">
      <c r="A57" s="119" t="s">
        <v>71</v>
      </c>
      <c r="B57" s="119" t="s">
        <v>637</v>
      </c>
      <c r="C57" s="120"/>
      <c r="D57" s="118">
        <v>1</v>
      </c>
      <c r="E57" s="95" t="s">
        <v>73</v>
      </c>
      <c r="F57" s="61" t="str">
        <f ca="1">("G00G"&amp;RIGHT(F11,6))</f>
        <v>G00G0</v>
      </c>
      <c r="G57" s="61" t="s">
        <v>164</v>
      </c>
      <c r="H57" s="61" t="s">
        <v>234</v>
      </c>
      <c r="I57" s="61" t="s">
        <v>324</v>
      </c>
      <c r="J57" s="86"/>
    </row>
    <row r="58" spans="1:32" s="112" customFormat="1" ht="6.75">
      <c r="A58" s="93" t="s">
        <v>68</v>
      </c>
      <c r="B58" s="93" t="s">
        <v>69</v>
      </c>
      <c r="C58" s="93" t="s">
        <v>70</v>
      </c>
      <c r="D58" s="93" t="s">
        <v>444</v>
      </c>
      <c r="E58" s="101" t="s">
        <v>493</v>
      </c>
      <c r="F58" s="112" t="s">
        <v>644</v>
      </c>
      <c r="G58" s="112" t="s">
        <v>645</v>
      </c>
      <c r="H58" s="112" t="s">
        <v>646</v>
      </c>
      <c r="I58" s="108" t="s">
        <v>491</v>
      </c>
    </row>
    <row r="59" spans="1:32" s="58" customFormat="1" ht="11.25" customHeight="1">
      <c r="A59" s="119" t="s">
        <v>71</v>
      </c>
      <c r="B59" s="119" t="s">
        <v>641</v>
      </c>
      <c r="C59" s="120"/>
      <c r="D59" s="83">
        <v>1</v>
      </c>
      <c r="E59" s="95" t="s">
        <v>73</v>
      </c>
      <c r="F59" s="58" t="s">
        <v>705</v>
      </c>
      <c r="G59" s="58" t="s">
        <v>73</v>
      </c>
      <c r="H59" s="58" t="s">
        <v>647</v>
      </c>
      <c r="I59" s="86"/>
    </row>
    <row r="60" spans="1:32" s="112" customFormat="1" ht="6.75">
      <c r="A60" s="93" t="s">
        <v>68</v>
      </c>
      <c r="B60" s="93" t="s">
        <v>69</v>
      </c>
      <c r="C60" s="93" t="s">
        <v>70</v>
      </c>
      <c r="D60" s="93" t="s">
        <v>444</v>
      </c>
      <c r="E60" s="101" t="s">
        <v>493</v>
      </c>
      <c r="F60" s="112" t="s">
        <v>649</v>
      </c>
      <c r="G60" s="112" t="s">
        <v>650</v>
      </c>
      <c r="H60" s="112" t="s">
        <v>651</v>
      </c>
      <c r="I60" s="108" t="s">
        <v>491</v>
      </c>
    </row>
    <row r="61" spans="1:32" s="58" customFormat="1" ht="11.25" customHeight="1">
      <c r="A61" s="119" t="s">
        <v>71</v>
      </c>
      <c r="B61" s="119" t="s">
        <v>648</v>
      </c>
      <c r="C61" s="120" t="s">
        <v>325</v>
      </c>
      <c r="D61" s="83">
        <v>1</v>
      </c>
      <c r="E61" s="95" t="s">
        <v>73</v>
      </c>
      <c r="F61" s="58" t="s">
        <v>73</v>
      </c>
      <c r="G61" s="58" t="s">
        <v>653</v>
      </c>
      <c r="H61" s="58" t="s">
        <v>65</v>
      </c>
      <c r="I61" s="86"/>
    </row>
    <row r="62" spans="1:32" s="112" customFormat="1" ht="6.75">
      <c r="A62" s="93" t="s">
        <v>68</v>
      </c>
      <c r="B62" s="93" t="s">
        <v>69</v>
      </c>
      <c r="C62" s="93" t="s">
        <v>70</v>
      </c>
      <c r="D62" s="93" t="s">
        <v>444</v>
      </c>
      <c r="E62" s="101" t="s">
        <v>493</v>
      </c>
      <c r="F62" s="112" t="s">
        <v>249</v>
      </c>
      <c r="G62" s="112" t="s">
        <v>250</v>
      </c>
      <c r="H62" s="112" t="s">
        <v>251</v>
      </c>
      <c r="I62" s="112" t="s">
        <v>252</v>
      </c>
      <c r="J62" s="112" t="s">
        <v>654</v>
      </c>
      <c r="K62" s="112" t="s">
        <v>655</v>
      </c>
      <c r="L62" s="112" t="s">
        <v>656</v>
      </c>
      <c r="M62" s="112" t="s">
        <v>553</v>
      </c>
      <c r="N62" s="112" t="s">
        <v>657</v>
      </c>
      <c r="O62" s="112" t="s">
        <v>658</v>
      </c>
      <c r="P62" s="112" t="s">
        <v>659</v>
      </c>
      <c r="Q62" s="112" t="s">
        <v>661</v>
      </c>
      <c r="R62" s="112" t="s">
        <v>662</v>
      </c>
      <c r="S62" s="112" t="s">
        <v>663</v>
      </c>
      <c r="T62" s="112" t="s">
        <v>664</v>
      </c>
      <c r="U62" s="112" t="s">
        <v>223</v>
      </c>
      <c r="V62" s="112" t="s">
        <v>640</v>
      </c>
      <c r="W62" s="112" t="s">
        <v>665</v>
      </c>
      <c r="X62" s="112" t="s">
        <v>666</v>
      </c>
      <c r="Y62" s="112" t="s">
        <v>667</v>
      </c>
      <c r="Z62" s="112" t="s">
        <v>668</v>
      </c>
      <c r="AA62" s="112" t="s">
        <v>669</v>
      </c>
      <c r="AB62" s="112" t="s">
        <v>670</v>
      </c>
      <c r="AC62" s="112" t="s">
        <v>671</v>
      </c>
      <c r="AD62" s="112" t="s">
        <v>672</v>
      </c>
      <c r="AE62" s="112" t="s">
        <v>660</v>
      </c>
      <c r="AF62" s="108" t="s">
        <v>491</v>
      </c>
    </row>
    <row r="63" spans="1:32" s="58" customFormat="1">
      <c r="A63" s="119" t="s">
        <v>71</v>
      </c>
      <c r="B63" s="119" t="s">
        <v>652</v>
      </c>
      <c r="C63" s="120" t="s">
        <v>77</v>
      </c>
      <c r="D63" s="118">
        <v>1</v>
      </c>
      <c r="E63" s="95" t="s">
        <v>73</v>
      </c>
      <c r="F63" s="61" t="s">
        <v>253</v>
      </c>
      <c r="G63" s="61">
        <v>1</v>
      </c>
      <c r="H63" s="61" t="b">
        <v>0</v>
      </c>
      <c r="I63" s="61" t="s">
        <v>253</v>
      </c>
      <c r="J63" s="60" t="s">
        <v>73</v>
      </c>
      <c r="K63" s="60">
        <v>123</v>
      </c>
      <c r="L63" s="60" t="s">
        <v>73</v>
      </c>
      <c r="M63" s="60" t="s">
        <v>229</v>
      </c>
      <c r="N63" s="60" t="s">
        <v>73</v>
      </c>
      <c r="O63" s="60" t="s">
        <v>73</v>
      </c>
      <c r="P63" s="61" t="s">
        <v>73</v>
      </c>
      <c r="Q63" s="61" t="s">
        <v>73</v>
      </c>
      <c r="R63" s="61" t="s">
        <v>73</v>
      </c>
      <c r="S63" s="61" t="s">
        <v>73</v>
      </c>
      <c r="T63" s="61" t="s">
        <v>73</v>
      </c>
      <c r="U63" s="61">
        <v>1.5</v>
      </c>
      <c r="V63" s="61" t="s">
        <v>674</v>
      </c>
      <c r="W63" s="61" t="s">
        <v>73</v>
      </c>
      <c r="X63" s="61" t="s">
        <v>259</v>
      </c>
      <c r="Y63" s="61" t="s">
        <v>73</v>
      </c>
      <c r="Z63" s="61" t="s">
        <v>73</v>
      </c>
      <c r="AA63" s="61" t="s">
        <v>73</v>
      </c>
      <c r="AB63" s="61" t="s">
        <v>73</v>
      </c>
      <c r="AC63" s="61" t="s">
        <v>73</v>
      </c>
      <c r="AD63" s="61" t="s">
        <v>73</v>
      </c>
      <c r="AE63" s="61" t="s">
        <v>673</v>
      </c>
      <c r="AF63" s="86"/>
    </row>
    <row r="64" spans="1:32" s="112" customFormat="1" ht="6.75">
      <c r="A64" s="93" t="s">
        <v>68</v>
      </c>
      <c r="B64" s="93" t="s">
        <v>69</v>
      </c>
      <c r="C64" s="93" t="s">
        <v>70</v>
      </c>
      <c r="D64" s="93" t="s">
        <v>444</v>
      </c>
      <c r="E64" s="101" t="s">
        <v>493</v>
      </c>
      <c r="F64" s="112" t="s">
        <v>683</v>
      </c>
      <c r="G64" s="112" t="s">
        <v>684</v>
      </c>
      <c r="H64" s="112" t="s">
        <v>685</v>
      </c>
      <c r="I64" s="112" t="s">
        <v>1</v>
      </c>
      <c r="J64" s="112" t="s">
        <v>2</v>
      </c>
      <c r="K64" s="112" t="s">
        <v>3</v>
      </c>
      <c r="L64" s="112" t="s">
        <v>688</v>
      </c>
      <c r="M64" s="112" t="s">
        <v>687</v>
      </c>
      <c r="N64" s="112" t="s">
        <v>686</v>
      </c>
      <c r="O64" s="112" t="s">
        <v>676</v>
      </c>
      <c r="P64" s="112" t="s">
        <v>689</v>
      </c>
      <c r="Q64" s="112" t="s">
        <v>691</v>
      </c>
      <c r="R64" s="112" t="s">
        <v>692</v>
      </c>
      <c r="S64" s="112" t="s">
        <v>693</v>
      </c>
      <c r="T64" s="112" t="s">
        <v>694</v>
      </c>
      <c r="U64" s="112" t="s">
        <v>695</v>
      </c>
      <c r="V64" s="112" t="s">
        <v>696</v>
      </c>
      <c r="W64" s="112" t="s">
        <v>682</v>
      </c>
      <c r="X64" s="112" t="s">
        <v>677</v>
      </c>
      <c r="Y64" s="108" t="s">
        <v>491</v>
      </c>
    </row>
    <row r="65" spans="1:29" s="58" customFormat="1" ht="11.25" customHeight="1">
      <c r="A65" s="119" t="s">
        <v>71</v>
      </c>
      <c r="B65" s="119" t="s">
        <v>675</v>
      </c>
      <c r="C65" s="120"/>
      <c r="D65" s="83">
        <v>1</v>
      </c>
      <c r="E65" s="95" t="s">
        <v>73</v>
      </c>
      <c r="F65" s="58" t="s">
        <v>73</v>
      </c>
      <c r="G65" s="58" t="s">
        <v>73</v>
      </c>
      <c r="H65" s="58" t="s">
        <v>256</v>
      </c>
      <c r="I65" s="58" t="s">
        <v>257</v>
      </c>
      <c r="J65" s="58" t="s">
        <v>258</v>
      </c>
      <c r="K65" s="58" t="s">
        <v>678</v>
      </c>
      <c r="L65" s="58" t="s">
        <v>679</v>
      </c>
      <c r="M65" s="58" t="s">
        <v>680</v>
      </c>
      <c r="N65" s="58" t="s">
        <v>681</v>
      </c>
      <c r="O65" s="58" t="s">
        <v>73</v>
      </c>
      <c r="P65" s="58" t="s">
        <v>690</v>
      </c>
      <c r="Q65" s="58" t="s">
        <v>73</v>
      </c>
      <c r="R65" s="58" t="s">
        <v>73</v>
      </c>
      <c r="S65" s="58" t="s">
        <v>254</v>
      </c>
      <c r="T65" s="58" t="s">
        <v>108</v>
      </c>
      <c r="U65" s="58" t="s">
        <v>255</v>
      </c>
      <c r="V65" s="58" t="s">
        <v>73</v>
      </c>
      <c r="W65" s="58" t="s">
        <v>73</v>
      </c>
      <c r="X65" s="58" t="s">
        <v>73</v>
      </c>
      <c r="Y65" s="86"/>
    </row>
    <row r="66" spans="1:29" s="112" customFormat="1" ht="6.75">
      <c r="A66" s="93" t="s">
        <v>68</v>
      </c>
      <c r="B66" s="93" t="s">
        <v>69</v>
      </c>
      <c r="C66" s="93" t="s">
        <v>70</v>
      </c>
      <c r="D66" s="93" t="s">
        <v>444</v>
      </c>
      <c r="E66" s="101" t="s">
        <v>493</v>
      </c>
      <c r="F66" s="112" t="s">
        <v>697</v>
      </c>
      <c r="G66" s="112" t="s">
        <v>698</v>
      </c>
      <c r="H66" s="112" t="s">
        <v>699</v>
      </c>
      <c r="I66" s="112" t="s">
        <v>700</v>
      </c>
      <c r="J66" s="112" t="s">
        <v>701</v>
      </c>
      <c r="K66" s="216" t="s">
        <v>838</v>
      </c>
      <c r="L66" s="150" t="s">
        <v>839</v>
      </c>
      <c r="M66" s="112" t="s">
        <v>471</v>
      </c>
      <c r="N66" s="103" t="s">
        <v>475</v>
      </c>
      <c r="O66" s="108" t="s">
        <v>491</v>
      </c>
    </row>
    <row r="67" spans="1:29" s="58" customFormat="1" ht="11.25" customHeight="1">
      <c r="A67" s="119" t="s">
        <v>71</v>
      </c>
      <c r="B67" s="119" t="s">
        <v>144</v>
      </c>
      <c r="C67" s="119"/>
      <c r="D67" s="83">
        <v>1</v>
      </c>
      <c r="E67" s="95" t="s">
        <v>73</v>
      </c>
      <c r="F67" s="61" t="s">
        <v>703</v>
      </c>
      <c r="G67" s="61" t="s">
        <v>165</v>
      </c>
      <c r="H67" s="61" t="s">
        <v>73</v>
      </c>
      <c r="I67" s="61" t="s">
        <v>73</v>
      </c>
      <c r="J67" s="61" t="s">
        <v>73</v>
      </c>
      <c r="K67" s="217"/>
      <c r="L67" s="61" t="s">
        <v>73</v>
      </c>
      <c r="M67" s="61" t="s">
        <v>702</v>
      </c>
      <c r="N67" s="48">
        <f ca="1">(INDIRECT("'Data'!CD"&amp;($C$1)))</f>
        <v>0</v>
      </c>
      <c r="O67" s="86"/>
      <c r="P67" s="61"/>
      <c r="Q67" s="61"/>
      <c r="R67" s="61"/>
      <c r="S67" s="61"/>
      <c r="T67" s="61"/>
    </row>
    <row r="68" spans="1:29" s="112" customFormat="1" ht="6.75">
      <c r="A68" s="93" t="s">
        <v>68</v>
      </c>
      <c r="B68" s="93" t="s">
        <v>69</v>
      </c>
      <c r="C68" s="93" t="s">
        <v>70</v>
      </c>
      <c r="D68" s="93" t="s">
        <v>444</v>
      </c>
      <c r="E68" s="101" t="s">
        <v>493</v>
      </c>
      <c r="F68" s="103" t="s">
        <v>475</v>
      </c>
      <c r="G68" s="112" t="s">
        <v>84</v>
      </c>
      <c r="H68" s="112" t="s">
        <v>82</v>
      </c>
      <c r="I68" s="112" t="s">
        <v>145</v>
      </c>
      <c r="J68" s="112" t="s">
        <v>146</v>
      </c>
      <c r="K68" s="112" t="s">
        <v>147</v>
      </c>
      <c r="L68" s="112" t="s">
        <v>148</v>
      </c>
      <c r="M68" s="112" t="s">
        <v>326</v>
      </c>
      <c r="N68" s="112" t="s">
        <v>149</v>
      </c>
      <c r="O68" s="112" t="s">
        <v>150</v>
      </c>
      <c r="P68" s="112" t="s">
        <v>151</v>
      </c>
      <c r="Q68" s="112" t="s">
        <v>152</v>
      </c>
      <c r="R68" s="112" t="s">
        <v>330</v>
      </c>
      <c r="S68" s="112" t="s">
        <v>153</v>
      </c>
      <c r="T68" s="150" t="s">
        <v>840</v>
      </c>
      <c r="U68" s="150" t="s">
        <v>841</v>
      </c>
      <c r="V68" s="108" t="s">
        <v>491</v>
      </c>
    </row>
    <row r="69" spans="1:29" s="58" customFormat="1" ht="11.25" customHeight="1">
      <c r="A69" s="119" t="s">
        <v>71</v>
      </c>
      <c r="B69" s="119" t="s">
        <v>156</v>
      </c>
      <c r="C69" s="119"/>
      <c r="D69" s="83">
        <v>1</v>
      </c>
      <c r="E69" s="95" t="s">
        <v>73</v>
      </c>
      <c r="F69" s="48">
        <f ca="1">(INDIRECT("'Data'!CD"&amp;($C$1)))</f>
        <v>0</v>
      </c>
      <c r="G69" s="132" t="str">
        <f ca="1">(INDIRECT("'Data'!F"&amp;($C$1)))</f>
        <v>EXCHANGE GAS METER TO SECURE SMART CREDIT</v>
      </c>
      <c r="H69" s="132" t="str">
        <f ca="1">(INDIRECT("'Data'!AW"&amp;($C$1)))</f>
        <v>EXCH1 ROAD</v>
      </c>
      <c r="I69" s="49" t="str">
        <f ca="1">(INDIRECT("'Data'!X"&amp;($C$1)))</f>
        <v>FRST</v>
      </c>
      <c r="J69" s="49">
        <f ca="1">(INDIRECT("'Data'!BG"&amp;($C$1)))</f>
        <v>0</v>
      </c>
      <c r="K69" s="49">
        <f ca="1">(INDIRECT("'Data'!BL"&amp;($C$1)))</f>
        <v>0</v>
      </c>
      <c r="L69" s="60" t="str">
        <f>N25</f>
        <v>12345</v>
      </c>
      <c r="M69" s="59" t="str">
        <f>F31</f>
        <v>Z89K12345</v>
      </c>
      <c r="N69" s="61" t="str">
        <f>M39</f>
        <v>Test Witness name</v>
      </c>
      <c r="O69" s="49" t="str">
        <f ca="1">(INDIRECT("'Data'!CN"&amp;($C$1)))</f>
        <v>EXCHANGE GAS METER TO SECURE SMART CREDIT</v>
      </c>
      <c r="P69" s="49" t="str">
        <f ca="1">(INDIRECT("'Data'!CQ"&amp;($C$1)))</f>
        <v>10000649</v>
      </c>
      <c r="Q69" s="141" t="str">
        <f>J49</f>
        <v>54321</v>
      </c>
      <c r="R69" s="61" t="str">
        <f ca="1">F57</f>
        <v>G00G0</v>
      </c>
      <c r="S69" s="60" t="str">
        <f>F59</f>
        <v>00005</v>
      </c>
      <c r="T69" s="61" t="s">
        <v>73</v>
      </c>
      <c r="U69" s="60" t="s">
        <v>73</v>
      </c>
      <c r="V69" s="86"/>
    </row>
    <row r="70" spans="1:29" s="112" customFormat="1" ht="6.75">
      <c r="A70" s="93" t="s">
        <v>68</v>
      </c>
      <c r="B70" s="93" t="s">
        <v>69</v>
      </c>
      <c r="C70" s="93" t="s">
        <v>70</v>
      </c>
      <c r="D70" s="93" t="s">
        <v>444</v>
      </c>
      <c r="E70" s="101" t="s">
        <v>493</v>
      </c>
      <c r="F70" s="112" t="s">
        <v>707</v>
      </c>
      <c r="G70" s="112" t="s">
        <v>708</v>
      </c>
      <c r="H70" s="112" t="s">
        <v>709</v>
      </c>
      <c r="I70" s="112" t="s">
        <v>710</v>
      </c>
      <c r="J70" s="112" t="s">
        <v>711</v>
      </c>
      <c r="K70" s="112" t="s">
        <v>712</v>
      </c>
      <c r="L70" s="108" t="s">
        <v>491</v>
      </c>
    </row>
    <row r="71" spans="1:29" s="58" customFormat="1" ht="11.25" customHeight="1">
      <c r="A71" s="119" t="s">
        <v>71</v>
      </c>
      <c r="B71" s="119" t="s">
        <v>706</v>
      </c>
      <c r="C71" s="119"/>
      <c r="D71" s="118">
        <v>1</v>
      </c>
      <c r="E71" s="95" t="s">
        <v>73</v>
      </c>
      <c r="F71" s="61" t="s">
        <v>73</v>
      </c>
      <c r="G71" s="61" t="s">
        <v>75</v>
      </c>
      <c r="H71" s="61" t="s">
        <v>714</v>
      </c>
      <c r="I71" s="61" t="s">
        <v>155</v>
      </c>
      <c r="J71" s="61" t="s">
        <v>75</v>
      </c>
      <c r="K71" s="61" t="s">
        <v>643</v>
      </c>
      <c r="L71" s="86"/>
      <c r="M71" s="61"/>
      <c r="N71" s="61"/>
      <c r="O71" s="61"/>
      <c r="P71" s="61"/>
      <c r="Q71" s="61"/>
    </row>
    <row r="72" spans="1:29" s="112" customFormat="1" ht="6.75">
      <c r="A72" s="112" t="s">
        <v>68</v>
      </c>
      <c r="B72" s="112" t="s">
        <v>69</v>
      </c>
      <c r="C72" s="112" t="s">
        <v>70</v>
      </c>
      <c r="D72" s="103" t="s">
        <v>444</v>
      </c>
      <c r="E72" s="101" t="s">
        <v>493</v>
      </c>
      <c r="F72" s="112" t="s">
        <v>85</v>
      </c>
    </row>
    <row r="73" spans="1:29" s="58" customFormat="1" ht="11.25" customHeight="1">
      <c r="A73" s="58" t="s">
        <v>71</v>
      </c>
      <c r="B73" s="58" t="s">
        <v>76</v>
      </c>
      <c r="D73" s="82">
        <v>1</v>
      </c>
      <c r="E73" s="95" t="s">
        <v>73</v>
      </c>
      <c r="F73" s="61" t="s">
        <v>86</v>
      </c>
      <c r="J73" s="133"/>
    </row>
    <row r="74" spans="1:29" s="79" customFormat="1">
      <c r="A74" s="69"/>
      <c r="B74" s="69"/>
      <c r="C74" s="70"/>
      <c r="D74" s="71"/>
      <c r="E74" s="95"/>
      <c r="F74" s="56"/>
      <c r="G74" s="56"/>
      <c r="H74" s="56"/>
      <c r="I74" s="56"/>
      <c r="J74" s="56"/>
      <c r="K74" s="56"/>
      <c r="L74" s="56"/>
      <c r="M74" s="56"/>
    </row>
    <row r="75" spans="1:29" s="79" customFormat="1">
      <c r="A75" s="69"/>
      <c r="B75" s="142"/>
      <c r="C75" s="70"/>
      <c r="D75" s="71"/>
      <c r="E75" s="95"/>
      <c r="F75" s="56"/>
      <c r="G75" s="56"/>
      <c r="H75" s="56"/>
      <c r="I75" s="56"/>
      <c r="J75" s="56"/>
      <c r="K75" s="56"/>
      <c r="L75" s="56"/>
      <c r="M75" s="56"/>
    </row>
    <row r="76" spans="1:29" s="79" customFormat="1">
      <c r="A76" s="69"/>
      <c r="B76" s="69"/>
      <c r="C76" s="70"/>
      <c r="D76" s="71"/>
      <c r="E76" s="95"/>
      <c r="F76" s="113" t="s">
        <v>491</v>
      </c>
      <c r="G76" s="56"/>
      <c r="H76" s="56"/>
      <c r="I76" s="56"/>
      <c r="J76" s="56"/>
      <c r="K76" s="56"/>
      <c r="L76" s="56"/>
      <c r="M76" s="56"/>
    </row>
    <row r="77" spans="1:29" s="79" customFormat="1">
      <c r="A77" s="69"/>
      <c r="B77" s="69"/>
      <c r="C77" s="70"/>
      <c r="D77" s="71"/>
      <c r="E77" s="95"/>
      <c r="F77" s="56" t="s">
        <v>492</v>
      </c>
      <c r="G77" s="56"/>
      <c r="H77" s="56"/>
      <c r="I77" s="56"/>
      <c r="J77" s="56"/>
      <c r="K77" s="56"/>
      <c r="L77" s="56"/>
      <c r="M77" s="56"/>
    </row>
    <row r="80" spans="1:29" s="31" customFormat="1" ht="11.25" customHeight="1">
      <c r="E80" s="98"/>
      <c r="AC80" s="64"/>
    </row>
    <row r="81" spans="5:29" s="31" customFormat="1" ht="11.25" customHeight="1">
      <c r="E81" s="98"/>
      <c r="AC81" s="64"/>
    </row>
    <row r="82" spans="5:29" s="31" customFormat="1" ht="11.25" customHeight="1">
      <c r="E82" s="98"/>
      <c r="AC82" s="64"/>
    </row>
    <row r="83" spans="5:29" s="64" customFormat="1" ht="11.25" customHeight="1">
      <c r="E83" s="99"/>
      <c r="I83" s="72"/>
    </row>
    <row r="84" spans="5:29" s="64" customFormat="1" ht="11.25" customHeight="1">
      <c r="E84" s="99"/>
      <c r="I84" s="72"/>
    </row>
    <row r="85" spans="5:29" ht="11.25" customHeight="1">
      <c r="H85" s="33"/>
      <c r="I85" s="32"/>
    </row>
    <row r="86" spans="5:29" ht="11.25" customHeight="1">
      <c r="H86" s="33"/>
      <c r="I86" s="32"/>
    </row>
    <row r="87" spans="5:29" ht="11.25" customHeight="1">
      <c r="H87" s="33"/>
      <c r="I87" s="32"/>
    </row>
    <row r="88" spans="5:29" ht="11.25" customHeight="1">
      <c r="H88" s="33"/>
      <c r="I88" s="32"/>
    </row>
    <row r="89" spans="5:29" ht="11.25" customHeight="1">
      <c r="H89" s="33"/>
      <c r="I89" s="32"/>
    </row>
    <row r="90" spans="5:29" ht="11.25" customHeight="1">
      <c r="H90" s="33"/>
      <c r="I90" s="32"/>
    </row>
    <row r="91" spans="5:29" ht="11.25" customHeight="1">
      <c r="H91" s="33"/>
      <c r="I91" s="32"/>
    </row>
    <row r="92" spans="5:29" ht="11.25" customHeight="1">
      <c r="H92" s="33"/>
      <c r="I92" s="32"/>
    </row>
    <row r="93" spans="5:29" ht="11.25" customHeight="1">
      <c r="H93" s="33"/>
      <c r="I93" s="32"/>
    </row>
    <row r="94" spans="5:29" ht="11.25" customHeight="1">
      <c r="H94" s="33"/>
      <c r="I94" s="32"/>
    </row>
  </sheetData>
  <dataValidations count="6">
    <dataValidation allowBlank="1" showInputMessage="1" showErrorMessage="1" prompt="Y or N" sqref="SQ42 ACM42 AMI42 AWE42 BGA42 BPW42 BZS42 CJO42 CTK42 DDG42 DNC42 DWY42 EGU42 EQQ42 FAM42 FKI42 FUE42 GEA42 GNW42 GXS42 HHO42 HRK42 IBG42 ILC42 IUY42 JEU42 JOQ42 JYM42 KII42 KSE42 LCA42 LLW42 LVS42 MFO42 MPK42 MZG42 NJC42 NSY42 OCU42 OMQ42 OWM42 PGI42 PQE42 QAA42 QJW42 QTS42 RDO42 RNK42 RXG42 SHC42 SQY42 TAU42 TKQ42 TUM42 UEI42 UOE42 UYA42 VHW42 VRS42 WBO42 WLK42 WVG42 IU42 WVQ62 JE62 TA62 ACW62 AMS62 AWO62 BGK62 BQG62 CAC62 CJY62 CTU62 DDQ62 DNM62 DXI62 EHE62 ERA62 FAW62 FKS62 FUO62 GEK62 GOG62 GYC62 HHY62 HRU62 IBQ62 ILM62 IVI62 JFE62 JPA62 JYW62 KIS62 KSO62 LCK62 LMG62 LWC62 MFY62 MPU62 MZQ62 NJM62 NTI62 ODE62 ONA62 OWW62 PGS62 PQO62 QAK62 QKG62 QUC62 RDY62 RNU62 RXQ62 SHM62 SRI62 TBE62 TLA62 TUW62 UES62 UOO62 UYK62 VIG62 VSC62 WBY62 JA80:JA82 SW80:SW82 ACS80:ACS82 AMO80:AMO82 AWK80:AWK82 BGG80:BGG82 BQC80:BQC82 BZY80:BZY82 CJU80:CJU82 CTQ80:CTQ82 DDM80:DDM82 DNI80:DNI82 DXE80:DXE82 EHA80:EHA82 EQW80:EQW82 FAS80:FAS82 FKO80:FKO82 FUK80:FUK82 GEG80:GEG82 GOC80:GOC82 GXY80:GXY82 HHU80:HHU82 HRQ80:HRQ82 IBM80:IBM82 ILI80:ILI82 IVE80:IVE82 JFA80:JFA82 JOW80:JOW82 JYS80:JYS82 KIO80:KIO82 KSK80:KSK82 LCG80:LCG82 LMC80:LMC82 LVY80:LVY82 MFU80:MFU82 MPQ80:MPQ82 MZM80:MZM82 NJI80:NJI82 NTE80:NTE82 ODA80:ODA82 OMW80:OMW82 OWS80:OWS82 PGO80:PGO82 PQK80:PQK82 QAG80:QAG82 QKC80:QKC82 QTY80:QTY82 RDU80:RDU82 RNQ80:RNQ82 RXM80:RXM82 SHI80:SHI82 SRE80:SRE82 TBA80:TBA82 TKW80:TKW82 TUS80:TUS82 UEO80:UEO82 UOK80:UOK82 UYG80:UYG82 VIC80:VIC82 VRY80:VRY82 WBU80:WBU82 WLQ80:WLQ82 WVM80:WVM82 E80:E82 WLF18 F16 F18 WBJ18 VRN18 VHR18 UXV18 UNZ18 UED18 TUH18 TKL18 TAP18 SQT18 SGX18 RXB18 RNF18 RDJ18 QTN18 QJR18 PZV18 PPZ18 PGD18 OWH18 OML18 OCP18 NST18 NIX18 MZB18 MPF18 MFJ18 LVN18 LLR18 LBV18 KRZ18 KID18 JYH18 JOL18 JEP18 IUT18 IKX18 IBB18 HRF18 HHJ18 GXN18 GNR18 GDV18 FTZ18 FKD18 FAH18 EQL18 EGP18 DWT18 DMX18 DDB18 CTF18 CJJ18 BZN18 BPR18 BFV18 AVZ18 AMD18 ACH18 SL18 IP18 WVB18 F44 IV44 SR44 ACN44 AMJ44 AWF44 BGB44 BPX44 BZT44 CJP44 CTL44 DDH44 DND44 DWZ44 EGV44 EQR44 FAN44 FKJ44 FUF44 GEB44 GNX44 GXT44 HHP44 HRL44 IBH44 ILD44 IUZ44 JEV44 JOR44 JYN44 KIJ44 KSF44 LCB44 LLX44 LVT44 MFP44 MPL44 MZH44 NJD44 NSZ44 OCV44 OMR44 OWN44 PGJ44 PQF44 QAB44 QJX44 QTT44 RDP44 RNL44 RXH44 SHD44 SQZ44 TAV44 TKR44 TUN44 UEJ44 UOF44 UYB44 VHX44 VRT44 WBP44 WLL44 WVH44 WLU62 RX64 ABT64 ALP64 AVL64 BFH64 BPD64 BYZ64 CIV64 CSR64 DCN64 DMJ64 DWF64 EGB64 EPX64 EZT64 FJP64 FTL64 GDH64 GND64 GWZ64 HGV64 HQR64 IAN64 IKJ64 IUF64 JEB64 JNX64 JXT64 KHP64 KRL64 LBH64 LLD64 LUZ64 MEV64 MOR64 MYN64 NIJ64 NSF64 OCB64 OLX64 OVT64 PFP64 PPL64 PZH64 QJD64 QSZ64 RCV64 RMR64 RWN64 SGJ64 SQF64 TAB64 TJX64 TTT64 UDP64 UNL64 UXH64 VHD64 VQZ64 WAV64 WKR64 IB64 WUN64"/>
    <dataValidation allowBlank="1" showInputMessage="1" showErrorMessage="1" promptTitle="Validation" prompt="Y or N" sqref="I2 JB130688 SX130688 ACT130688 AMP130688 AWL130688 BGH130688 BQD130688 BZZ130688 CJV130688 CTR130688 DDN130688 DNJ130688 DXF130688 EHB130688 EQX130688 FAT130688 FKP130688 FUL130688 GEH130688 GOD130688 GXZ130688 HHV130688 HRR130688 IBN130688 ILJ130688 IVF130688 JFB130688 JOX130688 JYT130688 KIP130688 KSL130688 LCH130688 LMD130688 LVZ130688 MFV130688 MPR130688 MZN130688 NJJ130688 NTF130688 ODB130688 OMX130688 OWT130688 PGP130688 PQL130688 QAH130688 QKD130688 QTZ130688 RDV130688 RNR130688 RXN130688 SHJ130688 SRF130688 TBB130688 TKX130688 TUT130688 UEP130688 UOL130688 UYH130688 VID130688 VRZ130688 WBV130688 WLR130688 WVN130688 F196224 JB196224 SX196224 ACT196224 AMP196224 AWL196224 BGH196224 BQD196224 BZZ196224 CJV196224 CTR196224 DDN196224 DNJ196224 DXF196224 EHB196224 EQX196224 FAT196224 FKP196224 FUL196224 GEH196224 GOD196224 GXZ196224 HHV196224 HRR196224 IBN196224 ILJ196224 IVF196224 JFB196224 JOX196224 JYT196224 KIP196224 KSL196224 LCH196224 LMD196224 LVZ196224 MFV196224 MPR196224 MZN196224 NJJ196224 NTF196224 ODB196224 OMX196224 OWT196224 PGP196224 PQL196224 QAH196224 QKD196224 QTZ196224 RDV196224 RNR196224 RXN196224 SHJ196224 SRF196224 TBB196224 TKX196224 TUT196224 UEP196224 UOL196224 UYH196224 VID196224 VRZ196224 WBV196224 WLR196224 WVN196224 F261760 JB261760 SX261760 ACT261760 AMP261760 AWL261760 BGH261760 BQD261760 BZZ261760 CJV261760 CTR261760 DDN261760 DNJ261760 DXF261760 EHB261760 EQX261760 FAT261760 FKP261760 FUL261760 GEH261760 GOD261760 GXZ261760 HHV261760 HRR261760 IBN261760 ILJ261760 IVF261760 JFB261760 JOX261760 JYT261760 KIP261760 KSL261760 LCH261760 LMD261760 LVZ261760 MFV261760 MPR261760 MZN261760 NJJ261760 NTF261760 ODB261760 OMX261760 OWT261760 PGP261760 PQL261760 QAH261760 QKD261760 QTZ261760 RDV261760 RNR261760 RXN261760 SHJ261760 SRF261760 TBB261760 TKX261760 TUT261760 UEP261760 UOL261760 UYH261760 VID261760 VRZ261760 WBV261760 WLR261760 WVN261760 F327296 JB327296 SX327296 ACT327296 AMP327296 AWL327296 BGH327296 BQD327296 BZZ327296 CJV327296 CTR327296 DDN327296 DNJ327296 DXF327296 EHB327296 EQX327296 FAT327296 FKP327296 FUL327296 GEH327296 GOD327296 GXZ327296 HHV327296 HRR327296 IBN327296 ILJ327296 IVF327296 JFB327296 JOX327296 JYT327296 KIP327296 KSL327296 LCH327296 LMD327296 LVZ327296 MFV327296 MPR327296 MZN327296 NJJ327296 NTF327296 ODB327296 OMX327296 OWT327296 PGP327296 PQL327296 QAH327296 QKD327296 QTZ327296 RDV327296 RNR327296 RXN327296 SHJ327296 SRF327296 TBB327296 TKX327296 TUT327296 UEP327296 UOL327296 UYH327296 VID327296 VRZ327296 WBV327296 WLR327296 WVN327296 F392832 JB392832 SX392832 ACT392832 AMP392832 AWL392832 BGH392832 BQD392832 BZZ392832 CJV392832 CTR392832 DDN392832 DNJ392832 DXF392832 EHB392832 EQX392832 FAT392832 FKP392832 FUL392832 GEH392832 GOD392832 GXZ392832 HHV392832 HRR392832 IBN392832 ILJ392832 IVF392832 JFB392832 JOX392832 JYT392832 KIP392832 KSL392832 LCH392832 LMD392832 LVZ392832 MFV392832 MPR392832 MZN392832 NJJ392832 NTF392832 ODB392832 OMX392832 OWT392832 PGP392832 PQL392832 QAH392832 QKD392832 QTZ392832 RDV392832 RNR392832 RXN392832 SHJ392832 SRF392832 TBB392832 TKX392832 TUT392832 UEP392832 UOL392832 UYH392832 VID392832 VRZ392832 WBV392832 WLR392832 WVN392832 F458368 JB458368 SX458368 ACT458368 AMP458368 AWL458368 BGH458368 BQD458368 BZZ458368 CJV458368 CTR458368 DDN458368 DNJ458368 DXF458368 EHB458368 EQX458368 FAT458368 FKP458368 FUL458368 GEH458368 GOD458368 GXZ458368 HHV458368 HRR458368 IBN458368 ILJ458368 IVF458368 JFB458368 JOX458368 JYT458368 KIP458368 KSL458368 LCH458368 LMD458368 LVZ458368 MFV458368 MPR458368 MZN458368 NJJ458368 NTF458368 ODB458368 OMX458368 OWT458368 PGP458368 PQL458368 QAH458368 QKD458368 QTZ458368 RDV458368 RNR458368 RXN458368 SHJ458368 SRF458368 TBB458368 TKX458368 TUT458368 UEP458368 UOL458368 UYH458368 VID458368 VRZ458368 WBV458368 WLR458368 WVN458368 F523904 JB523904 SX523904 ACT523904 AMP523904 AWL523904 BGH523904 BQD523904 BZZ523904 CJV523904 CTR523904 DDN523904 DNJ523904 DXF523904 EHB523904 EQX523904 FAT523904 FKP523904 FUL523904 GEH523904 GOD523904 GXZ523904 HHV523904 HRR523904 IBN523904 ILJ523904 IVF523904 JFB523904 JOX523904 JYT523904 KIP523904 KSL523904 LCH523904 LMD523904 LVZ523904 MFV523904 MPR523904 MZN523904 NJJ523904 NTF523904 ODB523904 OMX523904 OWT523904 PGP523904 PQL523904 QAH523904 QKD523904 QTZ523904 RDV523904 RNR523904 RXN523904 SHJ523904 SRF523904 TBB523904 TKX523904 TUT523904 UEP523904 UOL523904 UYH523904 VID523904 VRZ523904 WBV523904 WLR523904 WVN523904 F589440 JB589440 SX589440 ACT589440 AMP589440 AWL589440 BGH589440 BQD589440 BZZ589440 CJV589440 CTR589440 DDN589440 DNJ589440 DXF589440 EHB589440 EQX589440 FAT589440 FKP589440 FUL589440 GEH589440 GOD589440 GXZ589440 HHV589440 HRR589440 IBN589440 ILJ589440 IVF589440 JFB589440 JOX589440 JYT589440 KIP589440 KSL589440 LCH589440 LMD589440 LVZ589440 MFV589440 MPR589440 MZN589440 NJJ589440 NTF589440 ODB589440 OMX589440 OWT589440 PGP589440 PQL589440 QAH589440 QKD589440 QTZ589440 RDV589440 RNR589440 RXN589440 SHJ589440 SRF589440 TBB589440 TKX589440 TUT589440 UEP589440 UOL589440 UYH589440 VID589440 VRZ589440 WBV589440 WLR589440 WVN589440 F654976 JB654976 SX654976 ACT654976 AMP654976 AWL654976 BGH654976 BQD654976 BZZ654976 CJV654976 CTR654976 DDN654976 DNJ654976 DXF654976 EHB654976 EQX654976 FAT654976 FKP654976 FUL654976 GEH654976 GOD654976 GXZ654976 HHV654976 HRR654976 IBN654976 ILJ654976 IVF654976 JFB654976 JOX654976 JYT654976 KIP654976 KSL654976 LCH654976 LMD654976 LVZ654976 MFV654976 MPR654976 MZN654976 NJJ654976 NTF654976 ODB654976 OMX654976 OWT654976 PGP654976 PQL654976 QAH654976 QKD654976 QTZ654976 RDV654976 RNR654976 RXN654976 SHJ654976 SRF654976 TBB654976 TKX654976 TUT654976 UEP654976 UOL654976 UYH654976 VID654976 VRZ654976 WBV654976 WLR654976 WVN654976 F720512 JB720512 SX720512 ACT720512 AMP720512 AWL720512 BGH720512 BQD720512 BZZ720512 CJV720512 CTR720512 DDN720512 DNJ720512 DXF720512 EHB720512 EQX720512 FAT720512 FKP720512 FUL720512 GEH720512 GOD720512 GXZ720512 HHV720512 HRR720512 IBN720512 ILJ720512 IVF720512 JFB720512 JOX720512 JYT720512 KIP720512 KSL720512 LCH720512 LMD720512 LVZ720512 MFV720512 MPR720512 MZN720512 NJJ720512 NTF720512 ODB720512 OMX720512 OWT720512 PGP720512 PQL720512 QAH720512 QKD720512 QTZ720512 RDV720512 RNR720512 RXN720512 SHJ720512 SRF720512 TBB720512 TKX720512 TUT720512 UEP720512 UOL720512 UYH720512 VID720512 VRZ720512 WBV720512 WLR720512 WVN720512 F786048 JB786048 SX786048 ACT786048 AMP786048 AWL786048 BGH786048 BQD786048 BZZ786048 CJV786048 CTR786048 DDN786048 DNJ786048 DXF786048 EHB786048 EQX786048 FAT786048 FKP786048 FUL786048 GEH786048 GOD786048 GXZ786048 HHV786048 HRR786048 IBN786048 ILJ786048 IVF786048 JFB786048 JOX786048 JYT786048 KIP786048 KSL786048 LCH786048 LMD786048 LVZ786048 MFV786048 MPR786048 MZN786048 NJJ786048 NTF786048 ODB786048 OMX786048 OWT786048 PGP786048 PQL786048 QAH786048 QKD786048 QTZ786048 RDV786048 RNR786048 RXN786048 SHJ786048 SRF786048 TBB786048 TKX786048 TUT786048 UEP786048 UOL786048 UYH786048 VID786048 VRZ786048 WBV786048 WLR786048 WVN786048 F851584 JB851584 SX851584 ACT851584 AMP851584 AWL851584 BGH851584 BQD851584 BZZ851584 CJV851584 CTR851584 DDN851584 DNJ851584 DXF851584 EHB851584 EQX851584 FAT851584 FKP851584 FUL851584 GEH851584 GOD851584 GXZ851584 HHV851584 HRR851584 IBN851584 ILJ851584 IVF851584 JFB851584 JOX851584 JYT851584 KIP851584 KSL851584 LCH851584 LMD851584 LVZ851584 MFV851584 MPR851584 MZN851584 NJJ851584 NTF851584 ODB851584 OMX851584 OWT851584 PGP851584 PQL851584 QAH851584 QKD851584 QTZ851584 RDV851584 RNR851584 RXN851584 SHJ851584 SRF851584 TBB851584 TKX851584 TUT851584 UEP851584 UOL851584 UYH851584 VID851584 VRZ851584 WBV851584 WLR851584 WVN851584 F917120 JB917120 SX917120 ACT917120 AMP917120 AWL917120 BGH917120 BQD917120 BZZ917120 CJV917120 CTR917120 DDN917120 DNJ917120 DXF917120 EHB917120 EQX917120 FAT917120 FKP917120 FUL917120 GEH917120 GOD917120 GXZ917120 HHV917120 HRR917120 IBN917120 ILJ917120 IVF917120 JFB917120 JOX917120 JYT917120 KIP917120 KSL917120 LCH917120 LMD917120 LVZ917120 MFV917120 MPR917120 MZN917120 NJJ917120 NTF917120 ODB917120 OMX917120 OWT917120 PGP917120 PQL917120 QAH917120 QKD917120 QTZ917120 RDV917120 RNR917120 RXN917120 SHJ917120 SRF917120 TBB917120 TKX917120 TUT917120 UEP917120 UOL917120 UYH917120 VID917120 VRZ917120 WBV917120 WLR917120 WVN917120 F982656 JB982656 SX982656 ACT982656 AMP982656 AWL982656 BGH982656 BQD982656 BZZ982656 CJV982656 CTR982656 DDN982656 DNJ982656 DXF982656 EHB982656 EQX982656 FAT982656 FKP982656 FUL982656 GEH982656 GOD982656 GXZ982656 HHV982656 HRR982656 IBN982656 ILJ982656 IVF982656 JFB982656 JOX982656 JYT982656 KIP982656 KSL982656 LCH982656 LMD982656 LVZ982656 MFV982656 MPR982656 MZN982656 NJJ982656 NTF982656 ODB982656 OMX982656 OWT982656 PGP982656 PQL982656 QAH982656 QKD982656 QTZ982656 RDV982656 RNR982656 RXN982656 SHJ982656 SRF982656 TBB982656 TKX982656 TUT982656 UEP982656 UOL982656 UYH982656 VID982656 VRZ982656 WBV982656 WLR982656 WVN982656 JB65152 SX65152 ACT65152 AMP65152 AWL65152 BGH65152 BQD65152 BZZ65152 CJV65152 CTR65152 DDN65152 DNJ65152 DXF65152 EHB65152 EQX65152 FAT65152 FKP65152 FUL65152 GEH65152 GOD65152 GXZ65152 HHV65152 HRR65152 IBN65152 ILJ65152 IVF65152 JFB65152 JOX65152 JYT65152 KIP65152 KSL65152 LCH65152 LMD65152 LVZ65152 MFV65152 MPR65152 MZN65152 NJJ65152 NTF65152 ODB65152 OMX65152 OWT65152 PGP65152 PQL65152 QAH65152 QKD65152 QTZ65152 RDV65152 RNR65152 RXN65152 SHJ65152 SRF65152 TBB65152 TKX65152 TUT65152 UEP65152 UOL65152 UYH65152 VID65152 VRZ65152 WBV65152 WLR65152 WVN65152 F130688 F65152 JD2 WVP2 WLT2 WBX2 VSB2 VIF2 UYJ2 UON2 UER2 TUV2 TKZ2 TBD2 SRH2 SHL2 RXP2 RNT2 RDX2 QUB2 QKF2 QAJ2 PQN2 PGR2 OWV2 OMZ2 ODD2 NTH2 NJL2 MZP2 MPT2 MFX2 LWB2 LMF2 LCJ2 KSN2 KIR2 JYV2 JOZ2 JFD2 IVH2 ILL2 IBP2 HRT2 HHX2 GYB2 GOF2 GEJ2 FUN2 FKR2 FAV2 EQZ2 EHD2 DXH2 DNL2 DDP2 CTT2 CJX2 CAB2 BQF2 BGJ2 AWN2 AMR2 ACV2 SZ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L)ow or (M)edium" sqref="F4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s>
  <pageMargins left="0.7" right="0.7" top="0.75" bottom="0.75" header="0.3" footer="0.3"/>
  <pageSetup paperSize="9" orientation="portrait" r:id="rId1"/>
  <headerFooter>
    <oddFooter>&amp;LUnrestricted</oddFooter>
  </headerFooter>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9</vt:i4>
      </vt:variant>
    </vt:vector>
  </HeadingPairs>
  <TitlesOfParts>
    <vt:vector size="9" baseType="lpstr">
      <vt:lpstr>Run Parameters</vt:lpstr>
      <vt:lpstr>Data</vt:lpstr>
      <vt:lpstr>EXCH14</vt:lpstr>
      <vt:lpstr>NMEX5</vt:lpstr>
      <vt:lpstr>FLTY5</vt:lpstr>
      <vt:lpstr>EXCH2</vt:lpstr>
      <vt:lpstr>EXCH3</vt:lpstr>
      <vt:lpstr>FLTY17</vt:lpstr>
      <vt:lpstr>EXCH6</vt:lpstr>
    </vt:vector>
  </TitlesOfParts>
  <Company>Siemens AG</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martin.tweedie</dc:creator>
  <cp:keywords>C_Unrestricted</cp:keywords>
  <cp:lastModifiedBy>Charlotte Jones</cp:lastModifiedBy>
  <cp:lastPrinted>2015-05-06T07:29:36Z</cp:lastPrinted>
  <dcterms:created xsi:type="dcterms:W3CDTF">2015-04-10T08:42:26Z</dcterms:created>
  <dcterms:modified xsi:type="dcterms:W3CDTF">2018-08-14T10:28:22Z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-1631651649</vt:i4>
  </property>
  <property fmtid="{D5CDD505-2E9C-101B-9397-08002B2CF9AE}" pid="3" name="_NewReviewCycle">
    <vt:lpwstr/>
  </property>
  <property fmtid="{D5CDD505-2E9C-101B-9397-08002B2CF9AE}" pid="4" name="_EmailSubject">
    <vt:lpwstr>Excel datasheet</vt:lpwstr>
  </property>
  <property fmtid="{D5CDD505-2E9C-101B-9397-08002B2CF9AE}" pid="5" name="_AuthorEmail">
    <vt:lpwstr>Greg.Bliss@siemens.com</vt:lpwstr>
  </property>
  <property fmtid="{D5CDD505-2E9C-101B-9397-08002B2CF9AE}" pid="6" name="_AuthorEmailDisplayName">
    <vt:lpwstr>Bliss, Greg (RC-GB EM DG SWS MA DEV TE)</vt:lpwstr>
  </property>
  <property fmtid="{D5CDD505-2E9C-101B-9397-08002B2CF9AE}" pid="7" name="_PreviousAdHocReviewCycleID">
    <vt:i4>2009875558</vt:i4>
  </property>
  <property fmtid="{D5CDD505-2E9C-101B-9397-08002B2CF9AE}" pid="8" name="_ReviewingToolsShownOnce">
    <vt:lpwstr/>
  </property>
  <property fmtid="{D5CDD505-2E9C-101B-9397-08002B2CF9AE}" pid="9" name="Document Confidentiality">
    <vt:lpwstr>Unrestricted</vt:lpwstr>
  </property>
</Properties>
</file>